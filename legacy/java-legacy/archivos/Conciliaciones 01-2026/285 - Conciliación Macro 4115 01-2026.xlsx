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CONCILIACIÓN!$B$34:$H$985</definedName>
    <definedName name="_xlnm.Print_Area" localSheetId="3">CONCILIACIÓN!$B$2:$H$991</definedName>
    <definedName name="_xlnm.Print_Area" localSheetId="2">'LIBRO BANCO'!$D$25</definedName>
  </definedNames>
  <calcPr calcId="145621"/>
</workbook>
</file>

<file path=xl/calcChain.xml><?xml version="1.0" encoding="utf-8"?>
<calcChain xmlns="http://schemas.openxmlformats.org/spreadsheetml/2006/main">
  <c r="I18" i="3" l="1"/>
  <c r="H18" i="3"/>
  <c r="J18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F16" i="4" l="1"/>
  <c r="E23" i="4" s="1"/>
  <c r="E16" i="4"/>
  <c r="E24" i="4" s="1"/>
  <c r="F10" i="4"/>
  <c r="E22" i="4" s="1"/>
  <c r="E10" i="4"/>
  <c r="E21" i="4" s="1"/>
  <c r="E991" i="5"/>
  <c r="D991" i="5"/>
  <c r="E985" i="5"/>
  <c r="D985" i="5"/>
  <c r="E30" i="5"/>
  <c r="D30" i="5"/>
  <c r="E24" i="5"/>
  <c r="D24" i="5"/>
  <c r="D14" i="5" l="1"/>
  <c r="D15" i="5"/>
  <c r="D12" i="5"/>
  <c r="D13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<sst xmlns="http://schemas.openxmlformats.org/spreadsheetml/2006/main" count="11078" uniqueCount="296">
  <si>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</si>
  <si>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</si>
  <si>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</si>
  <si>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</si>
  <si>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</si>
  <si>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</si>
  <si>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</si>
  <si>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</si>
  <si>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</si>
  <si>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</si>
  <si>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</si>
  <si>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</si>
  <si>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</si>
  <si>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</si>
  <si>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</si>
  <si>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</si>
  <si>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</si>
  <si>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</si>
  <si>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</si>
  <si>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</si>
  <si>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</si>
  <si>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</si>
  <si>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</si>
  <si>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</si>
  <si>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</si>
  <si>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</si>
  <si>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</si>
  <si>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</si>
  <si>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</si>
  <si>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</si>
  <si>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</si>
  <si>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</si>
  <si>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</si>
  <si>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</si>
  <si>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</si>
  <si>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</si>
  <si>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</si>
  <si>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</si>
  <si>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</si>
  <si>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</si>
  <si>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</si>
  <si>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</si>
  <si>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</si>
  <si>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</si>
  <si>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</si>
  <si>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</si>
  <si>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</si>
  <si>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</si>
  <si>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</si>
  <si>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</si>
  <si>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</si>
  <si>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</si>
  <si>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</si>
  <si>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</si>
  <si>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</si>
  <si>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</si>
  <si>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</si>
  <si>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</si>
  <si>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</si>
  <si>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</si>
  <si>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</si>
  <si>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</si>
  <si>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</si>
  <si>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</si>
  <si>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</si>
  <si>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</si>
  <si>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</si>
  <si>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</si>
  <si>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</si>
  <si>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</si>
  <si>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</si>
  <si>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</si>
  <si>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</si>
  <si>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</si>
  <si>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</si>
  <si>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</si>
  <si>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</si>
  <si>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</si>
  <si>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</si>
  <si>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</si>
  <si>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</si>
  <si>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</si>
  <si>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</si>
  <si>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</si>
  <si>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</si>
  <si>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</si>
  <si>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</si>
  <si>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</si>
  <si>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</si>
  <si>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</si>
  <si>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</si>
  <si>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</si>
  <si>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</si>
  <si>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</si>
  <si>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</si>
  <si>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</si>
  <si>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</si>
  <si>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</si>
  <si>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</si>
  <si>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</si>
  <si>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</si>
  <si>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</si>
  <si>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1 - CHEQUE</t>
  </si>
  <si>
    <t>ACREDITACIONES BANCO MACRO</t>
  </si>
  <si>
    <t>VISA</t>
  </si>
  <si>
    <t>02/01/2026</t>
  </si>
  <si>
    <t>COMERVISA - COMERCIO VISA</t>
  </si>
  <si>
    <t xml:space="preserve">           </t>
  </si>
  <si>
    <t xml:space="preserve">77696623-LIQ COMER PRISMA               </t>
  </si>
  <si>
    <t xml:space="preserve">90144841-LIQ COMER PRISMA               </t>
  </si>
  <si>
    <t xml:space="preserve">90144742-LIQ COMER PRISMA               </t>
  </si>
  <si>
    <t xml:space="preserve">77696573-LIQ COMER PRISMA               </t>
  </si>
  <si>
    <t xml:space="preserve">90144676-LIQ COMER PRISMA               </t>
  </si>
  <si>
    <t xml:space="preserve">90144858-LIQ COMER PRISMA               </t>
  </si>
  <si>
    <t xml:space="preserve">73797508-LIQ COMER PRISMA               </t>
  </si>
  <si>
    <t xml:space="preserve">90144759-LIQ COMER PRISMA               </t>
  </si>
  <si>
    <t xml:space="preserve">90144734-LIQ COMER PRISMA               </t>
  </si>
  <si>
    <t>CRED.INT</t>
  </si>
  <si>
    <t>BOTON Pago- Credito Rec B</t>
  </si>
  <si>
    <t xml:space="preserve">UD BOTON DE PAGO 791048                 </t>
  </si>
  <si>
    <t>TRF.DATA</t>
  </si>
  <si>
    <t>30999147077-TRFDATANET- T</t>
  </si>
  <si>
    <t>DATANET MT MUNICIPALIDAD DE G 3099914707</t>
  </si>
  <si>
    <t>05/01/2026</t>
  </si>
  <si>
    <t>PAGO.REMUN</t>
  </si>
  <si>
    <t xml:space="preserve"> </t>
  </si>
  <si>
    <t>DBPAGREMU - DB PAGO REMUN</t>
  </si>
  <si>
    <t xml:space="preserve">                                        </t>
  </si>
  <si>
    <t>06/01/2026</t>
  </si>
  <si>
    <t>30717862453-TRPEIOFDC - C</t>
  </si>
  <si>
    <t xml:space="preserve">PCT MUNI GUAYMAL 30717862453            </t>
  </si>
  <si>
    <t>07/01/2026</t>
  </si>
  <si>
    <t>DEB.INTERN</t>
  </si>
  <si>
    <t>AJTRPEIONA- AJUSTE CREDIT</t>
  </si>
  <si>
    <t>08/01/2026</t>
  </si>
  <si>
    <t>09/01/2026</t>
  </si>
  <si>
    <t xml:space="preserve">90144767-LIQ COMER PRISMA               </t>
  </si>
  <si>
    <t xml:space="preserve">90144783-LIQ COMER PRISMA               </t>
  </si>
  <si>
    <t>12/01/2026</t>
  </si>
  <si>
    <t xml:space="preserve">77696615-LIQ COMER PRISMA               </t>
  </si>
  <si>
    <t>13/01/2026</t>
  </si>
  <si>
    <t xml:space="preserve">73797573-LIQ COMER PRISMA               </t>
  </si>
  <si>
    <t xml:space="preserve">CCARGOS BD- CONTRACARGOS </t>
  </si>
  <si>
    <t>14/01/2026</t>
  </si>
  <si>
    <t>TRFDATANET- TRANSF DATANE</t>
  </si>
  <si>
    <t>COM.TEF DN</t>
  </si>
  <si>
    <t>DNTCOMITR - COMISION TRAN</t>
  </si>
  <si>
    <t>IVA 21%</t>
  </si>
  <si>
    <t xml:space="preserve">IVA Basico 21%           </t>
  </si>
  <si>
    <t>15/01/2026</t>
  </si>
  <si>
    <t xml:space="preserve">90144684-LIQ COMER PRISMA               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</si>
  <si>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</si>
  <si>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</si>
  <si>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</si>
  <si>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</si>
  <si>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</si>
  <si>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</si>
  <si>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</si>
  <si>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 xml:space="preserve">90144833-LIQ COMER PRISMA               </t>
  </si>
  <si>
    <t>27/01/2026</t>
  </si>
  <si>
    <t>28/01/2026</t>
  </si>
  <si>
    <t xml:space="preserve">77696581-LIQ COMER PRISMA               </t>
  </si>
  <si>
    <t>29/01/2026</t>
  </si>
  <si>
    <t>30/01/2026</t>
  </si>
  <si>
    <t>SALDO FINAL</t>
  </si>
  <si>
    <t>Comisiones e IVA 01/2026</t>
  </si>
  <si>
    <t>23 Trans.A</t>
  </si>
  <si>
    <t>21 Cheq.em</t>
  </si>
  <si>
    <t>6 Transf.</t>
  </si>
  <si>
    <t>8 Recauda</t>
  </si>
  <si>
    <t xml:space="preserve">Transferencia del Supervielle al Macro </t>
  </si>
  <si>
    <t xml:space="preserve">BANCO MACRO - CAJA 06-01-2026                                         </t>
  </si>
  <si>
    <t>Payway caja 06-01-2026</t>
  </si>
  <si>
    <t>Payway</t>
  </si>
  <si>
    <t xml:space="preserve">Macro 4115                                                            </t>
  </si>
  <si>
    <t xml:space="preserve">Transferencia del Macro al Nacion 2328 </t>
  </si>
  <si>
    <t xml:space="preserve">Transferencia del Macro al Supervielle </t>
  </si>
  <si>
    <t xml:space="preserve">BANCO MACRO - CAJA 12-01-2026                                         </t>
  </si>
  <si>
    <t>QR PAYWAY</t>
  </si>
  <si>
    <t>TARJETA DEBITO PAYWAY</t>
  </si>
  <si>
    <t>ACREDIT  SUELDO 2Âº SUPLEM  ENERO/26</t>
  </si>
  <si>
    <t xml:space="preserve">Nacion 4906                                                           </t>
  </si>
  <si>
    <t xml:space="preserve">Transferencia del Nacion 4906 al Macro </t>
  </si>
  <si>
    <t xml:space="preserve">Galicia 2471                                                          </t>
  </si>
  <si>
    <t xml:space="preserve">Transferencia del Galicia al Macro </t>
  </si>
  <si>
    <t xml:space="preserve">3129-BANCO MACRO SA                                                </t>
  </si>
  <si>
    <t xml:space="preserve">Nro. 38--2026-1000            </t>
  </si>
  <si>
    <t xml:space="preserve">Nro. 896--2026-1000           </t>
  </si>
  <si>
    <t xml:space="preserve">Nro. 1561--2026-1000          </t>
  </si>
  <si>
    <t xml:space="preserve">Nro. 684--2026-1000           </t>
  </si>
  <si>
    <t xml:space="preserve">Nro. 2010--2026-1000          </t>
  </si>
  <si>
    <t xml:space="preserve">Nro. 2007--2026-1000          </t>
  </si>
  <si>
    <t>Definitivo</t>
  </si>
  <si>
    <t>Supervielle 2001</t>
  </si>
  <si>
    <t>Caja 06/01/2026 - Comp 16</t>
  </si>
  <si>
    <t>Payway - Comp 17</t>
  </si>
  <si>
    <t>Caja 12/01/2026 - Comp 61</t>
  </si>
  <si>
    <t>TD - Comp 63</t>
  </si>
  <si>
    <t>TC - Comp 186</t>
  </si>
  <si>
    <t>TD - Comp 187</t>
  </si>
  <si>
    <t>Macro Click - Comp 213</t>
  </si>
  <si>
    <t>TC - Comp 182</t>
  </si>
  <si>
    <t>TC - Comp 184</t>
  </si>
  <si>
    <t>Macro Click - Comp 157</t>
  </si>
  <si>
    <t>Pendientes 12/2025</t>
  </si>
  <si>
    <t>TC - Comp 191</t>
  </si>
  <si>
    <t>Macro Click - Comp 158</t>
  </si>
  <si>
    <t>TC - Comp 194</t>
  </si>
  <si>
    <t>Caja 07/01/2026 - Comp 28</t>
  </si>
  <si>
    <t>TC - Comp 195</t>
  </si>
  <si>
    <t>Macro Click - Comp 160</t>
  </si>
  <si>
    <t>Caja 08/01/2026 - Comp 334</t>
  </si>
  <si>
    <t>Payway - Comp 19</t>
  </si>
  <si>
    <t>TC - Comp 197</t>
  </si>
  <si>
    <t>Macro Click - Comp 161</t>
  </si>
  <si>
    <t>Caja 09/01/2026 - Comp 32</t>
  </si>
  <si>
    <t>TC - Comp 82</t>
  </si>
  <si>
    <t>TD - Comp 340</t>
  </si>
  <si>
    <t>TC - Comp 198</t>
  </si>
  <si>
    <t>Macro Click - Comp 162</t>
  </si>
  <si>
    <t>TC y Payway - Comp 33, 121 y 200</t>
  </si>
  <si>
    <t>TC - Comp 202</t>
  </si>
  <si>
    <t>Macro Click - Comp 165</t>
  </si>
  <si>
    <t>Caja 13/01/2026 - Comp 81</t>
  </si>
  <si>
    <t>TC - Comp 203</t>
  </si>
  <si>
    <t>TC - Comp 125</t>
  </si>
  <si>
    <t>Macro Click - Comp 118</t>
  </si>
  <si>
    <t>Caja 14/01/2026 - Comp 90</t>
  </si>
  <si>
    <t>TC - Comp 127</t>
  </si>
  <si>
    <t>TC - Comp 205</t>
  </si>
  <si>
    <t>TC - Comp 207</t>
  </si>
  <si>
    <t>TD - Comp 80</t>
  </si>
  <si>
    <t>Macro Click - Comp 163</t>
  </si>
  <si>
    <t>Caja 15/01/2026 - Comp 100</t>
  </si>
  <si>
    <t>TC - Comp 129</t>
  </si>
  <si>
    <t>TD - Comp 91</t>
  </si>
  <si>
    <t>TC - Comp 209</t>
  </si>
  <si>
    <t>TC - Comp 210</t>
  </si>
  <si>
    <t>Macro Click - Comp 167</t>
  </si>
  <si>
    <t>Caja 16/01/2026 - Comp 107</t>
  </si>
  <si>
    <t>TD - Comp 102</t>
  </si>
  <si>
    <t>TC - Comp 139</t>
  </si>
  <si>
    <t>Macro Click - Comp 170</t>
  </si>
  <si>
    <t>TC - Comp 140</t>
  </si>
  <si>
    <t>TD - Comp 112</t>
  </si>
  <si>
    <t>Caja 19/01/2026 - Comp 159</t>
  </si>
  <si>
    <t>TC - Comp 211</t>
  </si>
  <si>
    <t>Macro Click - Comp 172</t>
  </si>
  <si>
    <t>Caja 20/01/2026 - Comp 171</t>
  </si>
  <si>
    <t>TC - Comp 142</t>
  </si>
  <si>
    <t>TD - Comp 156</t>
  </si>
  <si>
    <t>TC - Comp 212</t>
  </si>
  <si>
    <t>Macro Click - Comp 179</t>
  </si>
  <si>
    <t>Caja 21/01/2026 - Comp 349</t>
  </si>
  <si>
    <t>TC - Comp 164</t>
  </si>
  <si>
    <t>TC - Comp 148</t>
  </si>
  <si>
    <t>TD - Comp 166</t>
  </si>
  <si>
    <t>Macro Click - Comp 188</t>
  </si>
  <si>
    <t>Caja 22/01/2026 - Comp 354</t>
  </si>
  <si>
    <t>TC y TD - Comp 350 y 351</t>
  </si>
  <si>
    <t>Macro Click - Comp 206</t>
  </si>
  <si>
    <t>TD - Comp 357</t>
  </si>
  <si>
    <t>Caja 23/01/2026 - Comp 362</t>
  </si>
  <si>
    <t>TC - Comp 361</t>
  </si>
  <si>
    <t>TC - Comp 360</t>
  </si>
  <si>
    <t>Macro Click - Comp 245</t>
  </si>
  <si>
    <t>Caja 26/01/2026 - Comp 425</t>
  </si>
  <si>
    <t>TD - Comp 363</t>
  </si>
  <si>
    <t>TC - Comp 364</t>
  </si>
  <si>
    <t>TC - Comp 365</t>
  </si>
  <si>
    <t>Macro Click - Comp 268</t>
  </si>
  <si>
    <t>TC - Comp 517</t>
  </si>
  <si>
    <t>Caja 27/01/2026 - Comp 430</t>
  </si>
  <si>
    <t>TC - Comp 426</t>
  </si>
  <si>
    <t>TC y TD - Comp 419 y 427</t>
  </si>
  <si>
    <t>Macro Click - Comp 272</t>
  </si>
  <si>
    <t>Caja 28/01/2026 - Comp 435</t>
  </si>
  <si>
    <t>TC y TD - Comp 432 y 433</t>
  </si>
  <si>
    <t>TC - Comp 434</t>
  </si>
  <si>
    <t>Macro Click - Comp 460, 461, 462 y 463</t>
  </si>
  <si>
    <t>Caja 29/01/2026 - Comp 441</t>
  </si>
  <si>
    <t>TC y TD - Comp 436 y 437</t>
  </si>
  <si>
    <t>Macro Click - Comp 319</t>
  </si>
  <si>
    <t>TC - Comp 438</t>
  </si>
  <si>
    <t>Pendientes 01/2026</t>
  </si>
  <si>
    <t>Caja 30/01/2026 - Comp 455</t>
  </si>
  <si>
    <t>TC y TD - Comp 442 y 443</t>
  </si>
  <si>
    <t>TC - Comp 444</t>
  </si>
  <si>
    <t>Macro Click - Comp 339</t>
  </si>
  <si>
    <t xml:space="preserve">Nro. 2326--2026-1000          </t>
  </si>
  <si>
    <t>GASTOS BANCARIOS</t>
  </si>
  <si>
    <t>CAJAS LB</t>
  </si>
  <si>
    <t>MACRO CLICK LB</t>
  </si>
  <si>
    <t>TARJETA DE CRÉDITO LB</t>
  </si>
  <si>
    <t>TARJETA DE DÉBITO LB</t>
  </si>
  <si>
    <t>TC, TD Y PAYWAY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</si>
</sst>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5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164" fontId="3" fillId="4" borderId="5" xfId="0" applyNumberFormat="1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3" fillId="4" borderId="6" xfId="0" applyFont="1" applyFill="1" applyBorder="1"/>
    <xf numFmtId="4" fontId="3" fillId="4" borderId="1" xfId="1" applyNumberFormat="1" applyFont="1" applyFill="1" applyBorder="1"/>
    <xf numFmtId="4" fontId="3" fillId="0" borderId="1" xfId="1" applyNumberFormat="1" applyFont="1" applyBorder="1"/>
    <xf numFmtId="4" fontId="3" fillId="0" borderId="1" xfId="0" applyNumberFormat="1" applyFont="1" applyBorder="1"/>
    <xf numFmtId="0" fontId="3" fillId="4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NumberFormat="1" applyFont="1" applyFill="1" applyBorder="1" applyAlignment="1">
      <alignment horizontal="center"/>
    </xf>
    <xf numFmtId="4" fontId="3" fillId="6" borderId="1" xfId="1" applyNumberFormat="1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6" xfId="0" applyFont="1" applyFill="1" applyBorder="1"/>
    <xf numFmtId="0" fontId="3" fillId="0" borderId="7" xfId="0" applyFont="1" applyBorder="1" applyAlignment="1">
      <alignment horizontal="left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NumberFormat="1" applyFont="1" applyFill="1" applyBorder="1" applyAlignment="1">
      <alignment horizontal="center"/>
    </xf>
    <xf numFmtId="4" fontId="3" fillId="7" borderId="1" xfId="1" applyNumberFormat="1" applyFont="1" applyFill="1" applyBorder="1"/>
    <xf numFmtId="0" fontId="3" fillId="7" borderId="1" xfId="0" applyFont="1" applyFill="1" applyBorder="1"/>
    <xf numFmtId="4" fontId="3" fillId="7" borderId="8" xfId="1" applyNumberFormat="1" applyFont="1" applyFill="1" applyBorder="1"/>
    <xf numFmtId="0" fontId="3" fillId="7" borderId="6" xfId="0" applyFont="1" applyFill="1" applyBorder="1"/>
    <xf numFmtId="164" fontId="3" fillId="7" borderId="7" xfId="0" applyNumberFormat="1" applyFont="1" applyFill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0" fontId="3" fillId="7" borderId="8" xfId="0" applyFont="1" applyFill="1" applyBorder="1"/>
    <xf numFmtId="0" fontId="3" fillId="7" borderId="8" xfId="0" applyFont="1" applyFill="1" applyBorder="1" applyAlignment="1">
      <alignment horizontal="center"/>
    </xf>
    <xf numFmtId="4" fontId="3" fillId="7" borderId="9" xfId="1" applyNumberFormat="1" applyFont="1" applyFill="1" applyBorder="1"/>
    <xf numFmtId="43" fontId="5" fillId="7" borderId="1" xfId="1" applyFont="1" applyFill="1" applyBorder="1" applyAlignment="1">
      <alignment horizontal="center"/>
    </xf>
    <xf numFmtId="0" fontId="5" fillId="7" borderId="1" xfId="0" applyFont="1" applyFill="1" applyBorder="1"/>
    <xf numFmtId="0" fontId="8" fillId="7" borderId="3" xfId="0" applyFont="1" applyFill="1" applyBorder="1"/>
    <xf numFmtId="0" fontId="5" fillId="7" borderId="3" xfId="0" applyFont="1" applyFill="1" applyBorder="1"/>
    <xf numFmtId="0" fontId="3" fillId="7" borderId="1" xfId="0" applyFont="1" applyFill="1" applyBorder="1" applyAlignment="1">
      <alignment horizontal="center"/>
    </xf>
    <xf numFmtId="0" fontId="5" fillId="7" borderId="6" xfId="0" applyFont="1" applyFill="1" applyBorder="1"/>
    <xf numFmtId="16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7" fillId="0" borderId="6" xfId="0" applyFont="1" applyBorder="1"/>
    <xf numFmtId="0" fontId="3" fillId="7" borderId="5" xfId="0" applyFont="1" applyFill="1" applyBorder="1"/>
    <xf numFmtId="0" fontId="3" fillId="4" borderId="5" xfId="0" applyFont="1" applyFill="1" applyBorder="1"/>
    <xf numFmtId="0" fontId="3" fillId="6" borderId="5" xfId="0" applyFont="1" applyFill="1" applyBorder="1"/>
    <xf numFmtId="0" fontId="7" fillId="4" borderId="6" xfId="0" applyFont="1" applyFill="1" applyBorder="1"/>
    <xf numFmtId="0" fontId="5" fillId="0" borderId="1" xfId="0" applyFont="1" applyFill="1" applyBorder="1"/>
    <xf numFmtId="0" fontId="6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111" totalsRowShown="0" headerRowDxfId="33" dataDxfId="31" headerRowBorderDxfId="32" tableBorderDxfId="30" totalsRowBorderDxfId="29">
  <autoFilter ref="B6:M1111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18" totalsRowShown="0" headerRowDxfId="16" dataDxfId="14" headerRowBorderDxfId="15" tableBorderDxfId="13" totalsRowBorderDxfId="12">
  <autoFilter ref="B6:M18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E32" sqref="E32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7" width="18.5703125" style="1" customWidth="1"/>
    <col min="8" max="8" width="26.5703125" style="1" bestFit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4" t="s">
        <v>37</v>
      </c>
      <c r="C2" s="21" t="s">
        <v>36</v>
      </c>
      <c r="D2" s="15"/>
      <c r="E2" s="15"/>
      <c r="F2" s="15"/>
      <c r="G2" s="15"/>
      <c r="H2" s="15"/>
    </row>
    <row r="3" spans="2:11" x14ac:dyDescent="0.35">
      <c r="B3" s="14" t="s">
        <v>40</v>
      </c>
      <c r="C3" s="21">
        <v>9406934115</v>
      </c>
      <c r="D3" s="15"/>
      <c r="E3" s="15"/>
      <c r="F3" s="15"/>
      <c r="G3" s="15"/>
      <c r="H3" s="15"/>
    </row>
    <row r="4" spans="2:11" x14ac:dyDescent="0.35">
      <c r="B4" s="14" t="s">
        <v>38</v>
      </c>
      <c r="C4" s="21" t="s">
        <v>41</v>
      </c>
      <c r="D4" s="15"/>
      <c r="E4" s="15"/>
      <c r="F4" s="15"/>
      <c r="G4" s="15"/>
      <c r="H4" s="15"/>
    </row>
    <row r="6" spans="2:11" x14ac:dyDescent="0.35">
      <c r="B6" s="140" t="s">
        <v>0</v>
      </c>
      <c r="C6" s="140"/>
      <c r="D6" s="140"/>
      <c r="E6" s="140"/>
      <c r="F6" s="140"/>
      <c r="G6" s="140"/>
      <c r="H6" s="140"/>
    </row>
    <row r="8" spans="2:11" s="2" customFormat="1" x14ac:dyDescent="0.35">
      <c r="B8" s="25" t="s">
        <v>2</v>
      </c>
      <c r="C8" s="26" t="s">
        <v>3</v>
      </c>
      <c r="D8" s="26" t="s">
        <v>7</v>
      </c>
      <c r="E8" s="27" t="s">
        <v>4</v>
      </c>
      <c r="F8" s="27" t="s">
        <v>5</v>
      </c>
      <c r="G8" s="26" t="s">
        <v>58</v>
      </c>
      <c r="H8" s="28" t="s">
        <v>6</v>
      </c>
      <c r="J8" s="141" t="s">
        <v>8</v>
      </c>
      <c r="K8" s="141"/>
    </row>
    <row r="9" spans="2:11" x14ac:dyDescent="0.35">
      <c r="B9" s="96">
        <v>46021</v>
      </c>
      <c r="C9" s="103">
        <v>7182</v>
      </c>
      <c r="D9" s="97" t="s">
        <v>102</v>
      </c>
      <c r="E9" s="100"/>
      <c r="F9" s="100">
        <v>36750000</v>
      </c>
      <c r="G9" s="98">
        <v>46027</v>
      </c>
      <c r="H9" s="99" t="s">
        <v>103</v>
      </c>
    </row>
    <row r="10" spans="2:11" x14ac:dyDescent="0.35">
      <c r="B10" s="88"/>
      <c r="C10" s="89"/>
      <c r="D10" s="90"/>
      <c r="E10" s="101">
        <f>SUBTOTAL(109,Tabla1[DÉBITOS])</f>
        <v>0</v>
      </c>
      <c r="F10" s="101">
        <f>SUBTOTAL(109,Tabla1[CRÉDITOS])</f>
        <v>36750000</v>
      </c>
      <c r="G10" s="90"/>
      <c r="H10" s="90"/>
      <c r="J10" s="61"/>
      <c r="K10" s="68" t="s">
        <v>94</v>
      </c>
    </row>
    <row r="11" spans="2:11" x14ac:dyDescent="0.35">
      <c r="J11" s="62"/>
      <c r="K11" s="68"/>
    </row>
    <row r="12" spans="2:11" x14ac:dyDescent="0.35">
      <c r="B12" s="140" t="s">
        <v>1</v>
      </c>
      <c r="C12" s="140"/>
      <c r="D12" s="140"/>
      <c r="E12" s="140"/>
      <c r="F12" s="140"/>
      <c r="G12" s="140"/>
      <c r="H12" s="140"/>
      <c r="J12" s="63"/>
      <c r="K12" s="68" t="s">
        <v>99</v>
      </c>
    </row>
    <row r="13" spans="2:11" x14ac:dyDescent="0.35">
      <c r="J13" s="62"/>
      <c r="K13" s="68"/>
    </row>
    <row r="14" spans="2:11" x14ac:dyDescent="0.35">
      <c r="B14" s="31" t="s">
        <v>2</v>
      </c>
      <c r="C14" s="60" t="s">
        <v>3</v>
      </c>
      <c r="D14" s="32" t="s">
        <v>7</v>
      </c>
      <c r="E14" s="33" t="s">
        <v>4</v>
      </c>
      <c r="F14" s="33" t="s">
        <v>5</v>
      </c>
      <c r="G14" s="26" t="s">
        <v>58</v>
      </c>
      <c r="H14" s="32" t="s">
        <v>6</v>
      </c>
      <c r="J14" s="64"/>
      <c r="K14" s="68" t="s">
        <v>95</v>
      </c>
    </row>
    <row r="15" spans="2:11" x14ac:dyDescent="0.35">
      <c r="B15" s="29"/>
      <c r="C15" s="54"/>
      <c r="D15" s="24"/>
      <c r="E15" s="44"/>
      <c r="F15" s="44"/>
      <c r="G15" s="24"/>
      <c r="H15" s="24"/>
      <c r="J15" s="62"/>
      <c r="K15" s="68"/>
    </row>
    <row r="16" spans="2:11" x14ac:dyDescent="0.35">
      <c r="E16" s="102">
        <f>SUBTOTAL(109,Tabla14[DÉBITOS])</f>
        <v>0</v>
      </c>
      <c r="F16" s="102">
        <f>SUBTOTAL(109,Tabla14[CRÉDITOS])</f>
        <v>0</v>
      </c>
      <c r="J16" s="65"/>
      <c r="K16" s="68" t="s">
        <v>96</v>
      </c>
    </row>
    <row r="17" spans="4:11" x14ac:dyDescent="0.35">
      <c r="J17" s="62"/>
      <c r="K17" s="68"/>
    </row>
    <row r="18" spans="4:11" x14ac:dyDescent="0.35">
      <c r="J18" s="66"/>
      <c r="K18" s="68" t="s">
        <v>97</v>
      </c>
    </row>
    <row r="19" spans="4:11" x14ac:dyDescent="0.35">
      <c r="D19" s="34" t="s">
        <v>9</v>
      </c>
      <c r="E19" s="35" t="s">
        <v>10</v>
      </c>
      <c r="J19" s="62"/>
      <c r="K19" s="68"/>
    </row>
    <row r="20" spans="4:11" x14ac:dyDescent="0.35">
      <c r="D20" s="4" t="s">
        <v>67</v>
      </c>
      <c r="E20" s="81">
        <v>-31066499.91</v>
      </c>
      <c r="J20" s="67"/>
      <c r="K20" s="69" t="s">
        <v>98</v>
      </c>
    </row>
    <row r="21" spans="4:11" x14ac:dyDescent="0.35">
      <c r="D21" s="4" t="s">
        <v>53</v>
      </c>
      <c r="E21" s="81">
        <f>+E10</f>
        <v>0</v>
      </c>
      <c r="J21" s="95"/>
      <c r="K21" s="69"/>
    </row>
    <row r="22" spans="4:11" x14ac:dyDescent="0.35">
      <c r="D22" s="4" t="s">
        <v>54</v>
      </c>
      <c r="E22" s="81">
        <f>+F10</f>
        <v>36750000</v>
      </c>
      <c r="J22" s="62"/>
      <c r="K22" s="68"/>
    </row>
    <row r="23" spans="4:11" x14ac:dyDescent="0.35">
      <c r="D23" s="4" t="s">
        <v>55</v>
      </c>
      <c r="E23" s="81">
        <f>+F16</f>
        <v>0</v>
      </c>
    </row>
    <row r="24" spans="4:11" x14ac:dyDescent="0.35">
      <c r="D24" s="4" t="s">
        <v>56</v>
      </c>
      <c r="E24" s="81">
        <f>+E16</f>
        <v>0</v>
      </c>
    </row>
    <row r="25" spans="4:11" x14ac:dyDescent="0.35">
      <c r="D25" s="4" t="s">
        <v>57</v>
      </c>
      <c r="E25" s="81">
        <f>+E20-E21+E22-E23+E24</f>
        <v>5683500.0899999999</v>
      </c>
    </row>
    <row r="26" spans="4:11" x14ac:dyDescent="0.35">
      <c r="D26" s="4" t="s">
        <v>68</v>
      </c>
      <c r="E26" s="81">
        <v>5683500.0899999999</v>
      </c>
    </row>
    <row r="27" spans="4:11" x14ac:dyDescent="0.35">
      <c r="D27" s="6" t="s">
        <v>66</v>
      </c>
      <c r="E27" s="82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111"/>
  <sheetViews>
    <sheetView showGridLines="0" workbookViewId="0">
      <selection activeCell="E18" sqref="E18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3.7109375" style="18" bestFit="1" customWidth="1"/>
    <col min="7" max="7" width="25.7109375" style="1" customWidth="1"/>
    <col min="8" max="8" width="14.85546875" style="2" customWidth="1"/>
    <col min="9" max="9" width="10.42578125" style="2" customWidth="1"/>
    <col min="10" max="10" width="37.42578125" style="1" customWidth="1"/>
    <col min="11" max="11" width="12.140625" style="18" customWidth="1"/>
    <col min="12" max="12" width="32" style="1" bestFit="1" customWidth="1"/>
    <col min="13" max="13" width="18.42578125" style="1" bestFit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5" t="s">
        <v>59</v>
      </c>
      <c r="C2" s="19" t="s">
        <v>36</v>
      </c>
      <c r="D2" s="3"/>
      <c r="E2" s="3"/>
      <c r="F2" s="22"/>
      <c r="G2" s="15"/>
      <c r="H2" s="3"/>
      <c r="I2" s="3"/>
      <c r="J2" s="15"/>
      <c r="K2" s="22"/>
      <c r="L2" s="15"/>
    </row>
    <row r="3" spans="2:16" x14ac:dyDescent="0.35">
      <c r="B3" s="14" t="s">
        <v>40</v>
      </c>
      <c r="C3" s="19">
        <v>9406934115</v>
      </c>
      <c r="D3" s="3"/>
      <c r="E3" s="3"/>
      <c r="F3" s="22"/>
      <c r="G3" s="15"/>
      <c r="H3" s="3"/>
      <c r="I3" s="3"/>
      <c r="J3" s="15"/>
      <c r="K3" s="22"/>
      <c r="L3" s="15"/>
    </row>
    <row r="4" spans="2:16" x14ac:dyDescent="0.35">
      <c r="B4" s="14" t="s">
        <v>38</v>
      </c>
      <c r="C4" s="19" t="s">
        <v>41</v>
      </c>
    </row>
    <row r="6" spans="2:16" s="2" customFormat="1" x14ac:dyDescent="0.35">
      <c r="B6" s="36" t="s">
        <v>11</v>
      </c>
      <c r="C6" s="26" t="s">
        <v>2</v>
      </c>
      <c r="D6" s="26" t="s">
        <v>3</v>
      </c>
      <c r="E6" s="26" t="s">
        <v>12</v>
      </c>
      <c r="F6" s="27" t="s">
        <v>13</v>
      </c>
      <c r="G6" s="26" t="s">
        <v>14</v>
      </c>
      <c r="H6" s="26" t="s">
        <v>15</v>
      </c>
      <c r="I6" s="26" t="s">
        <v>16</v>
      </c>
      <c r="J6" s="26" t="s">
        <v>17</v>
      </c>
      <c r="K6" s="27" t="s">
        <v>18</v>
      </c>
      <c r="L6" s="26" t="s">
        <v>6</v>
      </c>
      <c r="M6" s="132" t="s">
        <v>29</v>
      </c>
      <c r="O6" s="141" t="s">
        <v>8</v>
      </c>
      <c r="P6" s="141"/>
    </row>
    <row r="7" spans="2:16" x14ac:dyDescent="0.35">
      <c r="B7" s="4" t="s">
        <v>30</v>
      </c>
      <c r="C7" s="104"/>
      <c r="D7" s="70"/>
      <c r="E7" s="70"/>
      <c r="F7" s="101"/>
      <c r="G7" s="5"/>
      <c r="H7" s="70"/>
      <c r="I7" s="70"/>
      <c r="J7" s="5"/>
      <c r="K7" s="101">
        <v>5683500.0899999999</v>
      </c>
      <c r="L7" s="5"/>
      <c r="M7" s="133"/>
    </row>
    <row r="8" spans="2:16" x14ac:dyDescent="0.35">
      <c r="B8" s="4" t="s">
        <v>104</v>
      </c>
      <c r="C8" s="104" t="s">
        <v>105</v>
      </c>
      <c r="D8" s="105">
        <v>238075</v>
      </c>
      <c r="E8" s="105">
        <v>404</v>
      </c>
      <c r="F8" s="101">
        <v>21984.78</v>
      </c>
      <c r="G8" s="5" t="s">
        <v>106</v>
      </c>
      <c r="H8" s="105">
        <v>183</v>
      </c>
      <c r="I8" s="70" t="s">
        <v>107</v>
      </c>
      <c r="J8" s="5" t="s">
        <v>108</v>
      </c>
      <c r="K8" s="101">
        <f>+K7+Tabla6[[#This Row],[IMPORTE]]</f>
        <v>5705484.8700000001</v>
      </c>
      <c r="L8" s="5" t="s">
        <v>198</v>
      </c>
      <c r="M8" s="133" t="s">
        <v>100</v>
      </c>
      <c r="O8" s="61"/>
      <c r="P8" s="68" t="s">
        <v>94</v>
      </c>
    </row>
    <row r="9" spans="2:16" x14ac:dyDescent="0.35">
      <c r="B9" s="4" t="s">
        <v>104</v>
      </c>
      <c r="C9" s="104" t="s">
        <v>105</v>
      </c>
      <c r="D9" s="105">
        <v>238110</v>
      </c>
      <c r="E9" s="105">
        <v>404</v>
      </c>
      <c r="F9" s="101">
        <v>41771.08</v>
      </c>
      <c r="G9" s="5" t="s">
        <v>106</v>
      </c>
      <c r="H9" s="105">
        <v>183</v>
      </c>
      <c r="I9" s="70" t="s">
        <v>107</v>
      </c>
      <c r="J9" s="5" t="s">
        <v>109</v>
      </c>
      <c r="K9" s="101">
        <f>+K8+Tabla6[[#This Row],[IMPORTE]]</f>
        <v>5747255.9500000002</v>
      </c>
      <c r="L9" s="5" t="s">
        <v>198</v>
      </c>
      <c r="M9" s="133" t="s">
        <v>100</v>
      </c>
      <c r="O9" s="62"/>
      <c r="P9" s="68"/>
    </row>
    <row r="10" spans="2:16" x14ac:dyDescent="0.35">
      <c r="B10" s="4" t="s">
        <v>104</v>
      </c>
      <c r="C10" s="104" t="s">
        <v>105</v>
      </c>
      <c r="D10" s="105">
        <v>238107</v>
      </c>
      <c r="E10" s="105">
        <v>404</v>
      </c>
      <c r="F10" s="101">
        <v>42169.84</v>
      </c>
      <c r="G10" s="5" t="s">
        <v>106</v>
      </c>
      <c r="H10" s="105">
        <v>183</v>
      </c>
      <c r="I10" s="70" t="s">
        <v>107</v>
      </c>
      <c r="J10" s="5" t="s">
        <v>110</v>
      </c>
      <c r="K10" s="101">
        <f>+K9+Tabla6[[#This Row],[IMPORTE]]</f>
        <v>5789425.79</v>
      </c>
      <c r="L10" s="5" t="s">
        <v>199</v>
      </c>
      <c r="M10" s="133" t="s">
        <v>100</v>
      </c>
      <c r="O10" s="63"/>
      <c r="P10" s="68" t="s">
        <v>99</v>
      </c>
    </row>
    <row r="11" spans="2:16" x14ac:dyDescent="0.35">
      <c r="B11" s="4" t="s">
        <v>104</v>
      </c>
      <c r="C11" s="104" t="s">
        <v>105</v>
      </c>
      <c r="D11" s="105">
        <v>238073</v>
      </c>
      <c r="E11" s="105">
        <v>404</v>
      </c>
      <c r="F11" s="101">
        <v>58718.16</v>
      </c>
      <c r="G11" s="5" t="s">
        <v>106</v>
      </c>
      <c r="H11" s="105">
        <v>183</v>
      </c>
      <c r="I11" s="70" t="s">
        <v>107</v>
      </c>
      <c r="J11" s="5" t="s">
        <v>111</v>
      </c>
      <c r="K11" s="101">
        <f>+K10+Tabla6[[#This Row],[IMPORTE]]</f>
        <v>5848143.9500000002</v>
      </c>
      <c r="L11" s="5" t="s">
        <v>198</v>
      </c>
      <c r="M11" s="133" t="s">
        <v>100</v>
      </c>
      <c r="O11" s="62"/>
      <c r="P11" s="68"/>
    </row>
    <row r="12" spans="2:16" x14ac:dyDescent="0.35">
      <c r="B12" s="4" t="s">
        <v>104</v>
      </c>
      <c r="C12" s="104" t="s">
        <v>105</v>
      </c>
      <c r="D12" s="105">
        <v>238076</v>
      </c>
      <c r="E12" s="105">
        <v>404</v>
      </c>
      <c r="F12" s="101">
        <v>223192.31</v>
      </c>
      <c r="G12" s="5" t="s">
        <v>106</v>
      </c>
      <c r="H12" s="105">
        <v>183</v>
      </c>
      <c r="I12" s="70" t="s">
        <v>107</v>
      </c>
      <c r="J12" s="5" t="s">
        <v>108</v>
      </c>
      <c r="K12" s="101">
        <f>+K11+Tabla6[[#This Row],[IMPORTE]]</f>
        <v>6071336.2599999998</v>
      </c>
      <c r="L12" s="5" t="s">
        <v>199</v>
      </c>
      <c r="M12" s="133" t="s">
        <v>100</v>
      </c>
      <c r="O12" s="64"/>
      <c r="P12" s="68" t="s">
        <v>95</v>
      </c>
    </row>
    <row r="13" spans="2:16" x14ac:dyDescent="0.35">
      <c r="B13" s="4" t="s">
        <v>104</v>
      </c>
      <c r="C13" s="104" t="s">
        <v>105</v>
      </c>
      <c r="D13" s="105">
        <v>238104</v>
      </c>
      <c r="E13" s="105">
        <v>404</v>
      </c>
      <c r="F13" s="101">
        <v>249875.77</v>
      </c>
      <c r="G13" s="5" t="s">
        <v>106</v>
      </c>
      <c r="H13" s="105">
        <v>183</v>
      </c>
      <c r="I13" s="70" t="s">
        <v>107</v>
      </c>
      <c r="J13" s="5" t="s">
        <v>112</v>
      </c>
      <c r="K13" s="101">
        <f>+K12+Tabla6[[#This Row],[IMPORTE]]</f>
        <v>6321212.0299999993</v>
      </c>
      <c r="L13" s="5" t="s">
        <v>199</v>
      </c>
      <c r="M13" s="133" t="s">
        <v>100</v>
      </c>
      <c r="O13" s="62"/>
      <c r="P13" s="68"/>
    </row>
    <row r="14" spans="2:16" x14ac:dyDescent="0.35">
      <c r="B14" s="4" t="s">
        <v>104</v>
      </c>
      <c r="C14" s="104" t="s">
        <v>105</v>
      </c>
      <c r="D14" s="105">
        <v>238111</v>
      </c>
      <c r="E14" s="105">
        <v>404</v>
      </c>
      <c r="F14" s="101">
        <v>252530.07</v>
      </c>
      <c r="G14" s="5" t="s">
        <v>106</v>
      </c>
      <c r="H14" s="105">
        <v>183</v>
      </c>
      <c r="I14" s="70" t="s">
        <v>107</v>
      </c>
      <c r="J14" s="5" t="s">
        <v>109</v>
      </c>
      <c r="K14" s="101">
        <f>+K13+Tabla6[[#This Row],[IMPORTE]]</f>
        <v>6573742.0999999996</v>
      </c>
      <c r="L14" s="5" t="s">
        <v>199</v>
      </c>
      <c r="M14" s="133" t="s">
        <v>100</v>
      </c>
      <c r="O14" s="65"/>
      <c r="P14" s="68" t="s">
        <v>96</v>
      </c>
    </row>
    <row r="15" spans="2:16" x14ac:dyDescent="0.35">
      <c r="B15" s="4" t="s">
        <v>104</v>
      </c>
      <c r="C15" s="104" t="s">
        <v>105</v>
      </c>
      <c r="D15" s="105">
        <v>238112</v>
      </c>
      <c r="E15" s="105">
        <v>404</v>
      </c>
      <c r="F15" s="101">
        <v>320278.61</v>
      </c>
      <c r="G15" s="5" t="s">
        <v>106</v>
      </c>
      <c r="H15" s="105">
        <v>183</v>
      </c>
      <c r="I15" s="70" t="s">
        <v>107</v>
      </c>
      <c r="J15" s="5" t="s">
        <v>113</v>
      </c>
      <c r="K15" s="101">
        <f>+K14+Tabla6[[#This Row],[IMPORTE]]</f>
        <v>6894020.71</v>
      </c>
      <c r="L15" s="5" t="s">
        <v>199</v>
      </c>
      <c r="M15" s="133" t="s">
        <v>100</v>
      </c>
      <c r="O15" s="62"/>
      <c r="P15" s="68"/>
    </row>
    <row r="16" spans="2:16" x14ac:dyDescent="0.35">
      <c r="B16" s="4" t="s">
        <v>104</v>
      </c>
      <c r="C16" s="104" t="s">
        <v>105</v>
      </c>
      <c r="D16" s="105">
        <v>238061</v>
      </c>
      <c r="E16" s="105">
        <v>404</v>
      </c>
      <c r="F16" s="101">
        <v>554625.11</v>
      </c>
      <c r="G16" s="5" t="s">
        <v>106</v>
      </c>
      <c r="H16" s="105">
        <v>183</v>
      </c>
      <c r="I16" s="70" t="s">
        <v>107</v>
      </c>
      <c r="J16" s="5" t="s">
        <v>114</v>
      </c>
      <c r="K16" s="101">
        <f>+K15+Tabla6[[#This Row],[IMPORTE]]</f>
        <v>7448645.8200000003</v>
      </c>
      <c r="L16" s="5" t="s">
        <v>198</v>
      </c>
      <c r="M16" s="133" t="s">
        <v>100</v>
      </c>
      <c r="O16" s="66"/>
      <c r="P16" s="68" t="s">
        <v>97</v>
      </c>
    </row>
    <row r="17" spans="2:16" x14ac:dyDescent="0.35">
      <c r="B17" s="4" t="s">
        <v>104</v>
      </c>
      <c r="C17" s="104" t="s">
        <v>105</v>
      </c>
      <c r="D17" s="105">
        <v>238109</v>
      </c>
      <c r="E17" s="105">
        <v>404</v>
      </c>
      <c r="F17" s="101">
        <v>560126.43999999994</v>
      </c>
      <c r="G17" s="5" t="s">
        <v>106</v>
      </c>
      <c r="H17" s="105">
        <v>183</v>
      </c>
      <c r="I17" s="70" t="s">
        <v>107</v>
      </c>
      <c r="J17" s="5" t="s">
        <v>115</v>
      </c>
      <c r="K17" s="101">
        <f>+K16+Tabla6[[#This Row],[IMPORTE]]</f>
        <v>8008772.2599999998</v>
      </c>
      <c r="L17" s="5" t="s">
        <v>199</v>
      </c>
      <c r="M17" s="133" t="s">
        <v>100</v>
      </c>
      <c r="O17" s="62"/>
      <c r="P17" s="68"/>
    </row>
    <row r="18" spans="2:16" x14ac:dyDescent="0.35">
      <c r="B18" s="4" t="s">
        <v>104</v>
      </c>
      <c r="C18" s="104" t="s">
        <v>105</v>
      </c>
      <c r="D18" s="105">
        <v>238105</v>
      </c>
      <c r="E18" s="105">
        <v>404</v>
      </c>
      <c r="F18" s="101">
        <v>639867.81999999995</v>
      </c>
      <c r="G18" s="5" t="s">
        <v>106</v>
      </c>
      <c r="H18" s="105">
        <v>183</v>
      </c>
      <c r="I18" s="70" t="s">
        <v>107</v>
      </c>
      <c r="J18" s="5" t="s">
        <v>116</v>
      </c>
      <c r="K18" s="101">
        <f>+K17+Tabla6[[#This Row],[IMPORTE]]</f>
        <v>8648640.0800000001</v>
      </c>
      <c r="L18" s="5" t="s">
        <v>199</v>
      </c>
      <c r="M18" s="133" t="s">
        <v>100</v>
      </c>
      <c r="O18" s="67"/>
      <c r="P18" s="69" t="s">
        <v>98</v>
      </c>
    </row>
    <row r="19" spans="2:16" x14ac:dyDescent="0.35">
      <c r="B19" s="4" t="s">
        <v>104</v>
      </c>
      <c r="C19" s="104" t="s">
        <v>105</v>
      </c>
      <c r="D19" s="105">
        <v>238074</v>
      </c>
      <c r="E19" s="105">
        <v>404</v>
      </c>
      <c r="F19" s="101">
        <v>642751.47</v>
      </c>
      <c r="G19" s="5" t="s">
        <v>106</v>
      </c>
      <c r="H19" s="105">
        <v>183</v>
      </c>
      <c r="I19" s="70" t="s">
        <v>107</v>
      </c>
      <c r="J19" s="5" t="s">
        <v>111</v>
      </c>
      <c r="K19" s="101">
        <f>+K18+Tabla6[[#This Row],[IMPORTE]]</f>
        <v>9291391.5500000007</v>
      </c>
      <c r="L19" s="5" t="s">
        <v>199</v>
      </c>
      <c r="M19" s="133" t="s">
        <v>100</v>
      </c>
      <c r="O19" s="62"/>
      <c r="P19" s="68"/>
    </row>
    <row r="20" spans="2:16" x14ac:dyDescent="0.35">
      <c r="B20" s="4" t="s">
        <v>104</v>
      </c>
      <c r="C20" s="104" t="s">
        <v>105</v>
      </c>
      <c r="D20" s="105">
        <v>238106</v>
      </c>
      <c r="E20" s="105">
        <v>404</v>
      </c>
      <c r="F20" s="101">
        <v>697215.7</v>
      </c>
      <c r="G20" s="5" t="s">
        <v>106</v>
      </c>
      <c r="H20" s="105">
        <v>183</v>
      </c>
      <c r="I20" s="70" t="s">
        <v>107</v>
      </c>
      <c r="J20" s="5" t="s">
        <v>110</v>
      </c>
      <c r="K20" s="101">
        <f>+K19+Tabla6[[#This Row],[IMPORTE]]</f>
        <v>9988607.25</v>
      </c>
      <c r="L20" s="5" t="s">
        <v>198</v>
      </c>
      <c r="M20" s="133" t="s">
        <v>100</v>
      </c>
    </row>
    <row r="21" spans="2:16" x14ac:dyDescent="0.35">
      <c r="B21" s="4" t="s">
        <v>104</v>
      </c>
      <c r="C21" s="104" t="s">
        <v>105</v>
      </c>
      <c r="D21" s="105">
        <v>238108</v>
      </c>
      <c r="E21" s="105">
        <v>404</v>
      </c>
      <c r="F21" s="101">
        <v>2661067.87</v>
      </c>
      <c r="G21" s="5" t="s">
        <v>106</v>
      </c>
      <c r="H21" s="105">
        <v>183</v>
      </c>
      <c r="I21" s="70" t="s">
        <v>107</v>
      </c>
      <c r="J21" s="5" t="s">
        <v>115</v>
      </c>
      <c r="K21" s="101">
        <f>+K20+Tabla6[[#This Row],[IMPORTE]]</f>
        <v>12649675.120000001</v>
      </c>
      <c r="L21" s="5" t="s">
        <v>198</v>
      </c>
      <c r="M21" s="133" t="s">
        <v>100</v>
      </c>
    </row>
    <row r="22" spans="2:16" x14ac:dyDescent="0.35">
      <c r="B22" s="4" t="s">
        <v>117</v>
      </c>
      <c r="C22" s="104" t="s">
        <v>105</v>
      </c>
      <c r="D22" s="105">
        <v>125</v>
      </c>
      <c r="E22" s="105">
        <v>811</v>
      </c>
      <c r="F22" s="101">
        <v>3098120.2</v>
      </c>
      <c r="G22" s="5" t="s">
        <v>118</v>
      </c>
      <c r="H22" s="105">
        <v>4151</v>
      </c>
      <c r="I22" s="70" t="s">
        <v>107</v>
      </c>
      <c r="J22" s="5" t="s">
        <v>119</v>
      </c>
      <c r="K22" s="101">
        <f>+K21+Tabla6[[#This Row],[IMPORTE]]</f>
        <v>15747795.32</v>
      </c>
      <c r="L22" s="5" t="s">
        <v>200</v>
      </c>
      <c r="M22" s="133" t="s">
        <v>100</v>
      </c>
    </row>
    <row r="23" spans="2:16" x14ac:dyDescent="0.35">
      <c r="B23" s="134" t="s">
        <v>120</v>
      </c>
      <c r="C23" s="113" t="s">
        <v>105</v>
      </c>
      <c r="D23" s="114">
        <v>12145254</v>
      </c>
      <c r="E23" s="114">
        <v>404</v>
      </c>
      <c r="F23" s="115">
        <v>32000000</v>
      </c>
      <c r="G23" s="116" t="s">
        <v>121</v>
      </c>
      <c r="H23" s="114">
        <v>2018</v>
      </c>
      <c r="I23" s="114">
        <v>30999147077</v>
      </c>
      <c r="J23" s="116" t="s">
        <v>122</v>
      </c>
      <c r="K23" s="115">
        <f>+K22+Tabla6[[#This Row],[IMPORTE]]</f>
        <v>47747795.32</v>
      </c>
      <c r="L23" s="125" t="s">
        <v>186</v>
      </c>
      <c r="M23" s="118" t="s">
        <v>101</v>
      </c>
    </row>
    <row r="24" spans="2:16" x14ac:dyDescent="0.35">
      <c r="B24" s="4" t="s">
        <v>104</v>
      </c>
      <c r="C24" s="104" t="s">
        <v>123</v>
      </c>
      <c r="D24" s="105">
        <v>288797</v>
      </c>
      <c r="E24" s="105">
        <v>404</v>
      </c>
      <c r="F24" s="101">
        <v>57904.15</v>
      </c>
      <c r="G24" s="5" t="s">
        <v>106</v>
      </c>
      <c r="H24" s="105">
        <v>183</v>
      </c>
      <c r="I24" s="70" t="s">
        <v>107</v>
      </c>
      <c r="J24" s="5" t="s">
        <v>115</v>
      </c>
      <c r="K24" s="101">
        <f>+K23+Tabla6[[#This Row],[IMPORTE]]</f>
        <v>47805699.469999999</v>
      </c>
      <c r="L24" s="5" t="s">
        <v>201</v>
      </c>
      <c r="M24" s="133" t="s">
        <v>100</v>
      </c>
    </row>
    <row r="25" spans="2:16" x14ac:dyDescent="0.35">
      <c r="B25" s="4" t="s">
        <v>104</v>
      </c>
      <c r="C25" s="104" t="s">
        <v>123</v>
      </c>
      <c r="D25" s="105">
        <v>288766</v>
      </c>
      <c r="E25" s="105">
        <v>404</v>
      </c>
      <c r="F25" s="101">
        <v>65260.47</v>
      </c>
      <c r="G25" s="5" t="s">
        <v>106</v>
      </c>
      <c r="H25" s="105">
        <v>183</v>
      </c>
      <c r="I25" s="70" t="s">
        <v>107</v>
      </c>
      <c r="J25" s="5" t="s">
        <v>108</v>
      </c>
      <c r="K25" s="101">
        <f>+K24+Tabla6[[#This Row],[IMPORTE]]</f>
        <v>47870959.939999998</v>
      </c>
      <c r="L25" s="5" t="s">
        <v>202</v>
      </c>
      <c r="M25" s="133" t="s">
        <v>100</v>
      </c>
    </row>
    <row r="26" spans="2:16" x14ac:dyDescent="0.35">
      <c r="B26" s="4" t="s">
        <v>104</v>
      </c>
      <c r="C26" s="104" t="s">
        <v>123</v>
      </c>
      <c r="D26" s="105">
        <v>288798</v>
      </c>
      <c r="E26" s="105">
        <v>404</v>
      </c>
      <c r="F26" s="101">
        <v>90372.05</v>
      </c>
      <c r="G26" s="5" t="s">
        <v>106</v>
      </c>
      <c r="H26" s="105">
        <v>183</v>
      </c>
      <c r="I26" s="70" t="s">
        <v>107</v>
      </c>
      <c r="J26" s="5" t="s">
        <v>113</v>
      </c>
      <c r="K26" s="101">
        <f>+K25+Tabla6[[#This Row],[IMPORTE]]</f>
        <v>47961331.989999995</v>
      </c>
      <c r="L26" s="5" t="s">
        <v>202</v>
      </c>
      <c r="M26" s="133" t="s">
        <v>100</v>
      </c>
    </row>
    <row r="27" spans="2:16" x14ac:dyDescent="0.35">
      <c r="B27" s="4" t="s">
        <v>104</v>
      </c>
      <c r="C27" s="104" t="s">
        <v>123</v>
      </c>
      <c r="D27" s="105">
        <v>288765</v>
      </c>
      <c r="E27" s="105">
        <v>404</v>
      </c>
      <c r="F27" s="101">
        <v>101090.99</v>
      </c>
      <c r="G27" s="5" t="s">
        <v>106</v>
      </c>
      <c r="H27" s="105">
        <v>183</v>
      </c>
      <c r="I27" s="70" t="s">
        <v>107</v>
      </c>
      <c r="J27" s="5" t="s">
        <v>108</v>
      </c>
      <c r="K27" s="101">
        <f>+K26+Tabla6[[#This Row],[IMPORTE]]</f>
        <v>48062422.979999997</v>
      </c>
      <c r="L27" s="5" t="s">
        <v>201</v>
      </c>
      <c r="M27" s="133" t="s">
        <v>100</v>
      </c>
    </row>
    <row r="28" spans="2:16" x14ac:dyDescent="0.35">
      <c r="B28" s="4" t="s">
        <v>117</v>
      </c>
      <c r="C28" s="104" t="s">
        <v>123</v>
      </c>
      <c r="D28" s="105">
        <v>130</v>
      </c>
      <c r="E28" s="105">
        <v>811</v>
      </c>
      <c r="F28" s="101">
        <v>1458983.67</v>
      </c>
      <c r="G28" s="5" t="s">
        <v>118</v>
      </c>
      <c r="H28" s="105">
        <v>4151</v>
      </c>
      <c r="I28" s="70" t="s">
        <v>107</v>
      </c>
      <c r="J28" s="5" t="s">
        <v>119</v>
      </c>
      <c r="K28" s="101">
        <f>+K27+Tabla6[[#This Row],[IMPORTE]]</f>
        <v>49521406.649999999</v>
      </c>
      <c r="L28" s="5" t="s">
        <v>203</v>
      </c>
      <c r="M28" s="133" t="s">
        <v>100</v>
      </c>
    </row>
    <row r="29" spans="2:16" x14ac:dyDescent="0.35">
      <c r="B29" s="4" t="s">
        <v>104</v>
      </c>
      <c r="C29" s="104" t="s">
        <v>123</v>
      </c>
      <c r="D29" s="105">
        <v>288796</v>
      </c>
      <c r="E29" s="105">
        <v>404</v>
      </c>
      <c r="F29" s="101">
        <v>2134660.2599999998</v>
      </c>
      <c r="G29" s="5" t="s">
        <v>106</v>
      </c>
      <c r="H29" s="105">
        <v>183</v>
      </c>
      <c r="I29" s="70" t="s">
        <v>107</v>
      </c>
      <c r="J29" s="5" t="s">
        <v>112</v>
      </c>
      <c r="K29" s="101">
        <f>+K28+Tabla6[[#This Row],[IMPORTE]]</f>
        <v>51656066.909999996</v>
      </c>
      <c r="L29" s="5" t="s">
        <v>201</v>
      </c>
      <c r="M29" s="133" t="s">
        <v>100</v>
      </c>
    </row>
    <row r="30" spans="2:16" x14ac:dyDescent="0.35">
      <c r="B30" s="135" t="s">
        <v>124</v>
      </c>
      <c r="C30" s="130" t="s">
        <v>123</v>
      </c>
      <c r="D30" s="103" t="s">
        <v>125</v>
      </c>
      <c r="E30" s="131">
        <v>404</v>
      </c>
      <c r="F30" s="100">
        <v>-36750000</v>
      </c>
      <c r="G30" s="97" t="s">
        <v>126</v>
      </c>
      <c r="H30" s="131">
        <v>1693</v>
      </c>
      <c r="I30" s="103" t="s">
        <v>107</v>
      </c>
      <c r="J30" s="97" t="s">
        <v>127</v>
      </c>
      <c r="K30" s="100">
        <f>+K29+Tabla6[[#This Row],[IMPORTE]]</f>
        <v>14906066.909999996</v>
      </c>
      <c r="L30" s="97" t="s">
        <v>204</v>
      </c>
      <c r="M30" s="137" t="s">
        <v>91</v>
      </c>
    </row>
    <row r="31" spans="2:16" x14ac:dyDescent="0.35">
      <c r="B31" s="134" t="s">
        <v>117</v>
      </c>
      <c r="C31" s="113" t="s">
        <v>128</v>
      </c>
      <c r="D31" s="114">
        <v>732633</v>
      </c>
      <c r="E31" s="114">
        <v>404</v>
      </c>
      <c r="F31" s="115">
        <v>13403.78</v>
      </c>
      <c r="G31" s="116" t="s">
        <v>129</v>
      </c>
      <c r="H31" s="114">
        <v>4098</v>
      </c>
      <c r="I31" s="114">
        <v>30717862453</v>
      </c>
      <c r="J31" s="116" t="s">
        <v>130</v>
      </c>
      <c r="K31" s="115">
        <f>+K30+Tabla6[[#This Row],[IMPORTE]]</f>
        <v>14919470.689999996</v>
      </c>
      <c r="L31" s="116" t="s">
        <v>194</v>
      </c>
      <c r="M31" s="118" t="s">
        <v>85</v>
      </c>
    </row>
    <row r="32" spans="2:16" x14ac:dyDescent="0.35">
      <c r="B32" s="134" t="s">
        <v>117</v>
      </c>
      <c r="C32" s="113" t="s">
        <v>128</v>
      </c>
      <c r="D32" s="114">
        <v>26008</v>
      </c>
      <c r="E32" s="114">
        <v>404</v>
      </c>
      <c r="F32" s="115">
        <v>19311.240000000002</v>
      </c>
      <c r="G32" s="116" t="s">
        <v>129</v>
      </c>
      <c r="H32" s="114">
        <v>4098</v>
      </c>
      <c r="I32" s="114">
        <v>30717862453</v>
      </c>
      <c r="J32" s="116" t="s">
        <v>130</v>
      </c>
      <c r="K32" s="115">
        <f>+K31+Tabla6[[#This Row],[IMPORTE]]</f>
        <v>14938781.929999996</v>
      </c>
      <c r="L32" s="116" t="s">
        <v>194</v>
      </c>
      <c r="M32" s="118" t="s">
        <v>85</v>
      </c>
    </row>
    <row r="33" spans="2:13" x14ac:dyDescent="0.35">
      <c r="B33" s="134" t="s">
        <v>117</v>
      </c>
      <c r="C33" s="113" t="s">
        <v>128</v>
      </c>
      <c r="D33" s="114">
        <v>294905</v>
      </c>
      <c r="E33" s="114">
        <v>404</v>
      </c>
      <c r="F33" s="115">
        <v>25748.32</v>
      </c>
      <c r="G33" s="116" t="s">
        <v>129</v>
      </c>
      <c r="H33" s="114">
        <v>4098</v>
      </c>
      <c r="I33" s="114">
        <v>30717862453</v>
      </c>
      <c r="J33" s="116" t="s">
        <v>130</v>
      </c>
      <c r="K33" s="115">
        <f>+K32+Tabla6[[#This Row],[IMPORTE]]</f>
        <v>14964530.249999996</v>
      </c>
      <c r="L33" s="116" t="s">
        <v>194</v>
      </c>
      <c r="M33" s="118" t="s">
        <v>85</v>
      </c>
    </row>
    <row r="34" spans="2:13" x14ac:dyDescent="0.35">
      <c r="B34" s="134" t="s">
        <v>117</v>
      </c>
      <c r="C34" s="113" t="s">
        <v>128</v>
      </c>
      <c r="D34" s="114">
        <v>676927</v>
      </c>
      <c r="E34" s="114">
        <v>404</v>
      </c>
      <c r="F34" s="115">
        <v>25748.32</v>
      </c>
      <c r="G34" s="116" t="s">
        <v>129</v>
      </c>
      <c r="H34" s="114">
        <v>4098</v>
      </c>
      <c r="I34" s="114">
        <v>30717862453</v>
      </c>
      <c r="J34" s="116" t="s">
        <v>130</v>
      </c>
      <c r="K34" s="115">
        <f>+K33+Tabla6[[#This Row],[IMPORTE]]</f>
        <v>14990278.569999997</v>
      </c>
      <c r="L34" s="116" t="s">
        <v>194</v>
      </c>
      <c r="M34" s="118" t="s">
        <v>85</v>
      </c>
    </row>
    <row r="35" spans="2:13" x14ac:dyDescent="0.35">
      <c r="B35" s="134" t="s">
        <v>117</v>
      </c>
      <c r="C35" s="113" t="s">
        <v>128</v>
      </c>
      <c r="D35" s="114">
        <v>969803</v>
      </c>
      <c r="E35" s="114">
        <v>404</v>
      </c>
      <c r="F35" s="115">
        <v>26375.65</v>
      </c>
      <c r="G35" s="116" t="s">
        <v>129</v>
      </c>
      <c r="H35" s="114">
        <v>4098</v>
      </c>
      <c r="I35" s="114">
        <v>30717862453</v>
      </c>
      <c r="J35" s="116" t="s">
        <v>130</v>
      </c>
      <c r="K35" s="115">
        <f>+K34+Tabla6[[#This Row],[IMPORTE]]</f>
        <v>15016654.219999997</v>
      </c>
      <c r="L35" s="116" t="s">
        <v>194</v>
      </c>
      <c r="M35" s="118" t="s">
        <v>85</v>
      </c>
    </row>
    <row r="36" spans="2:13" x14ac:dyDescent="0.35">
      <c r="B36" s="134" t="s">
        <v>117</v>
      </c>
      <c r="C36" s="113" t="s">
        <v>128</v>
      </c>
      <c r="D36" s="114">
        <v>121760</v>
      </c>
      <c r="E36" s="114">
        <v>404</v>
      </c>
      <c r="F36" s="115">
        <v>30897.98</v>
      </c>
      <c r="G36" s="116" t="s">
        <v>129</v>
      </c>
      <c r="H36" s="114">
        <v>4098</v>
      </c>
      <c r="I36" s="114">
        <v>30717862453</v>
      </c>
      <c r="J36" s="116" t="s">
        <v>130</v>
      </c>
      <c r="K36" s="115">
        <f>+K35+Tabla6[[#This Row],[IMPORTE]]</f>
        <v>15047552.199999997</v>
      </c>
      <c r="L36" s="116" t="s">
        <v>194</v>
      </c>
      <c r="M36" s="118" t="s">
        <v>85</v>
      </c>
    </row>
    <row r="37" spans="2:13" x14ac:dyDescent="0.35">
      <c r="B37" s="134" t="s">
        <v>117</v>
      </c>
      <c r="C37" s="113" t="s">
        <v>128</v>
      </c>
      <c r="D37" s="114">
        <v>284285</v>
      </c>
      <c r="E37" s="114">
        <v>404</v>
      </c>
      <c r="F37" s="115">
        <v>30897.98</v>
      </c>
      <c r="G37" s="116" t="s">
        <v>129</v>
      </c>
      <c r="H37" s="114">
        <v>4098</v>
      </c>
      <c r="I37" s="114">
        <v>30717862453</v>
      </c>
      <c r="J37" s="116" t="s">
        <v>130</v>
      </c>
      <c r="K37" s="115">
        <f>+K36+Tabla6[[#This Row],[IMPORTE]]</f>
        <v>15078450.179999998</v>
      </c>
      <c r="L37" s="116" t="s">
        <v>194</v>
      </c>
      <c r="M37" s="118" t="s">
        <v>85</v>
      </c>
    </row>
    <row r="38" spans="2:13" x14ac:dyDescent="0.35">
      <c r="B38" s="134" t="s">
        <v>117</v>
      </c>
      <c r="C38" s="113" t="s">
        <v>128</v>
      </c>
      <c r="D38" s="114">
        <v>35124</v>
      </c>
      <c r="E38" s="114">
        <v>404</v>
      </c>
      <c r="F38" s="115">
        <v>38622.480000000003</v>
      </c>
      <c r="G38" s="116" t="s">
        <v>129</v>
      </c>
      <c r="H38" s="114">
        <v>4098</v>
      </c>
      <c r="I38" s="114">
        <v>30717862453</v>
      </c>
      <c r="J38" s="116" t="s">
        <v>130</v>
      </c>
      <c r="K38" s="115">
        <f>+K37+Tabla6[[#This Row],[IMPORTE]]</f>
        <v>15117072.659999998</v>
      </c>
      <c r="L38" s="116" t="s">
        <v>194</v>
      </c>
      <c r="M38" s="118" t="s">
        <v>85</v>
      </c>
    </row>
    <row r="39" spans="2:13" x14ac:dyDescent="0.35">
      <c r="B39" s="134" t="s">
        <v>117</v>
      </c>
      <c r="C39" s="113" t="s">
        <v>128</v>
      </c>
      <c r="D39" s="114">
        <v>48543</v>
      </c>
      <c r="E39" s="114">
        <v>404</v>
      </c>
      <c r="F39" s="115">
        <v>38622.480000000003</v>
      </c>
      <c r="G39" s="116" t="s">
        <v>129</v>
      </c>
      <c r="H39" s="114">
        <v>4098</v>
      </c>
      <c r="I39" s="114">
        <v>30717862453</v>
      </c>
      <c r="J39" s="116" t="s">
        <v>130</v>
      </c>
      <c r="K39" s="115">
        <f>+K38+Tabla6[[#This Row],[IMPORTE]]</f>
        <v>15155695.139999999</v>
      </c>
      <c r="L39" s="116" t="s">
        <v>194</v>
      </c>
      <c r="M39" s="118" t="s">
        <v>85</v>
      </c>
    </row>
    <row r="40" spans="2:13" x14ac:dyDescent="0.35">
      <c r="B40" s="134" t="s">
        <v>117</v>
      </c>
      <c r="C40" s="113" t="s">
        <v>128</v>
      </c>
      <c r="D40" s="114">
        <v>101342</v>
      </c>
      <c r="E40" s="114">
        <v>404</v>
      </c>
      <c r="F40" s="115">
        <v>38622.480000000003</v>
      </c>
      <c r="G40" s="116" t="s">
        <v>129</v>
      </c>
      <c r="H40" s="114">
        <v>4098</v>
      </c>
      <c r="I40" s="114">
        <v>30717862453</v>
      </c>
      <c r="J40" s="116" t="s">
        <v>130</v>
      </c>
      <c r="K40" s="115">
        <f>+K39+Tabla6[[#This Row],[IMPORTE]]</f>
        <v>15194317.619999999</v>
      </c>
      <c r="L40" s="116" t="s">
        <v>194</v>
      </c>
      <c r="M40" s="118" t="s">
        <v>85</v>
      </c>
    </row>
    <row r="41" spans="2:13" x14ac:dyDescent="0.35">
      <c r="B41" s="134" t="s">
        <v>117</v>
      </c>
      <c r="C41" s="113" t="s">
        <v>128</v>
      </c>
      <c r="D41" s="114">
        <v>156698</v>
      </c>
      <c r="E41" s="114">
        <v>404</v>
      </c>
      <c r="F41" s="115">
        <v>38622.480000000003</v>
      </c>
      <c r="G41" s="116" t="s">
        <v>129</v>
      </c>
      <c r="H41" s="114">
        <v>4098</v>
      </c>
      <c r="I41" s="114">
        <v>30717862453</v>
      </c>
      <c r="J41" s="116" t="s">
        <v>130</v>
      </c>
      <c r="K41" s="115">
        <f>+K40+Tabla6[[#This Row],[IMPORTE]]</f>
        <v>15232940.1</v>
      </c>
      <c r="L41" s="116" t="s">
        <v>194</v>
      </c>
      <c r="M41" s="118" t="s">
        <v>85</v>
      </c>
    </row>
    <row r="42" spans="2:13" x14ac:dyDescent="0.35">
      <c r="B42" s="134" t="s">
        <v>117</v>
      </c>
      <c r="C42" s="113" t="s">
        <v>128</v>
      </c>
      <c r="D42" s="114">
        <v>281880</v>
      </c>
      <c r="E42" s="114">
        <v>404</v>
      </c>
      <c r="F42" s="115">
        <v>38622.480000000003</v>
      </c>
      <c r="G42" s="116" t="s">
        <v>129</v>
      </c>
      <c r="H42" s="114">
        <v>4098</v>
      </c>
      <c r="I42" s="114">
        <v>30717862453</v>
      </c>
      <c r="J42" s="116" t="s">
        <v>130</v>
      </c>
      <c r="K42" s="115">
        <f>+K41+Tabla6[[#This Row],[IMPORTE]]</f>
        <v>15271562.58</v>
      </c>
      <c r="L42" s="116" t="s">
        <v>194</v>
      </c>
      <c r="M42" s="118" t="s">
        <v>85</v>
      </c>
    </row>
    <row r="43" spans="2:13" x14ac:dyDescent="0.35">
      <c r="B43" s="134" t="s">
        <v>117</v>
      </c>
      <c r="C43" s="113" t="s">
        <v>128</v>
      </c>
      <c r="D43" s="114">
        <v>304511</v>
      </c>
      <c r="E43" s="114">
        <v>404</v>
      </c>
      <c r="F43" s="115">
        <v>38622.480000000003</v>
      </c>
      <c r="G43" s="116" t="s">
        <v>129</v>
      </c>
      <c r="H43" s="114">
        <v>4098</v>
      </c>
      <c r="I43" s="114">
        <v>30717862453</v>
      </c>
      <c r="J43" s="116" t="s">
        <v>130</v>
      </c>
      <c r="K43" s="115">
        <f>+K42+Tabla6[[#This Row],[IMPORTE]]</f>
        <v>15310185.060000001</v>
      </c>
      <c r="L43" s="116" t="s">
        <v>194</v>
      </c>
      <c r="M43" s="118" t="s">
        <v>85</v>
      </c>
    </row>
    <row r="44" spans="2:13" x14ac:dyDescent="0.35">
      <c r="B44" s="134" t="s">
        <v>117</v>
      </c>
      <c r="C44" s="113" t="s">
        <v>128</v>
      </c>
      <c r="D44" s="114">
        <v>370996</v>
      </c>
      <c r="E44" s="114">
        <v>404</v>
      </c>
      <c r="F44" s="115">
        <v>38622.480000000003</v>
      </c>
      <c r="G44" s="116" t="s">
        <v>129</v>
      </c>
      <c r="H44" s="114">
        <v>4098</v>
      </c>
      <c r="I44" s="114">
        <v>30717862453</v>
      </c>
      <c r="J44" s="116" t="s">
        <v>130</v>
      </c>
      <c r="K44" s="115">
        <f>+K43+Tabla6[[#This Row],[IMPORTE]]</f>
        <v>15348807.540000001</v>
      </c>
      <c r="L44" s="116" t="s">
        <v>194</v>
      </c>
      <c r="M44" s="118" t="s">
        <v>85</v>
      </c>
    </row>
    <row r="45" spans="2:13" x14ac:dyDescent="0.35">
      <c r="B45" s="134" t="s">
        <v>117</v>
      </c>
      <c r="C45" s="113" t="s">
        <v>128</v>
      </c>
      <c r="D45" s="114">
        <v>592226</v>
      </c>
      <c r="E45" s="114">
        <v>404</v>
      </c>
      <c r="F45" s="115">
        <v>38622.480000000003</v>
      </c>
      <c r="G45" s="116" t="s">
        <v>129</v>
      </c>
      <c r="H45" s="114">
        <v>4098</v>
      </c>
      <c r="I45" s="114">
        <v>30717862453</v>
      </c>
      <c r="J45" s="116" t="s">
        <v>130</v>
      </c>
      <c r="K45" s="115">
        <f>+K44+Tabla6[[#This Row],[IMPORTE]]</f>
        <v>15387430.020000001</v>
      </c>
      <c r="L45" s="116" t="s">
        <v>194</v>
      </c>
      <c r="M45" s="118" t="s">
        <v>85</v>
      </c>
    </row>
    <row r="46" spans="2:13" x14ac:dyDescent="0.35">
      <c r="B46" s="134" t="s">
        <v>117</v>
      </c>
      <c r="C46" s="113" t="s">
        <v>128</v>
      </c>
      <c r="D46" s="114">
        <v>599700</v>
      </c>
      <c r="E46" s="114">
        <v>404</v>
      </c>
      <c r="F46" s="115">
        <v>38622.480000000003</v>
      </c>
      <c r="G46" s="116" t="s">
        <v>129</v>
      </c>
      <c r="H46" s="114">
        <v>4098</v>
      </c>
      <c r="I46" s="114">
        <v>30717862453</v>
      </c>
      <c r="J46" s="116" t="s">
        <v>130</v>
      </c>
      <c r="K46" s="115">
        <f>+K45+Tabla6[[#This Row],[IMPORTE]]</f>
        <v>15426052.500000002</v>
      </c>
      <c r="L46" s="116" t="s">
        <v>194</v>
      </c>
      <c r="M46" s="118" t="s">
        <v>85</v>
      </c>
    </row>
    <row r="47" spans="2:13" x14ac:dyDescent="0.35">
      <c r="B47" s="134" t="s">
        <v>117</v>
      </c>
      <c r="C47" s="113" t="s">
        <v>128</v>
      </c>
      <c r="D47" s="114">
        <v>631454</v>
      </c>
      <c r="E47" s="114">
        <v>404</v>
      </c>
      <c r="F47" s="115">
        <v>38622.480000000003</v>
      </c>
      <c r="G47" s="116" t="s">
        <v>129</v>
      </c>
      <c r="H47" s="114">
        <v>4098</v>
      </c>
      <c r="I47" s="114">
        <v>30717862453</v>
      </c>
      <c r="J47" s="116" t="s">
        <v>130</v>
      </c>
      <c r="K47" s="115">
        <f>+K46+Tabla6[[#This Row],[IMPORTE]]</f>
        <v>15464674.980000002</v>
      </c>
      <c r="L47" s="116" t="s">
        <v>194</v>
      </c>
      <c r="M47" s="118" t="s">
        <v>85</v>
      </c>
    </row>
    <row r="48" spans="2:13" x14ac:dyDescent="0.35">
      <c r="B48" s="134" t="s">
        <v>117</v>
      </c>
      <c r="C48" s="113" t="s">
        <v>128</v>
      </c>
      <c r="D48" s="114">
        <v>678039</v>
      </c>
      <c r="E48" s="114">
        <v>404</v>
      </c>
      <c r="F48" s="115">
        <v>38622.480000000003</v>
      </c>
      <c r="G48" s="116" t="s">
        <v>129</v>
      </c>
      <c r="H48" s="114">
        <v>4098</v>
      </c>
      <c r="I48" s="114">
        <v>30717862453</v>
      </c>
      <c r="J48" s="116" t="s">
        <v>130</v>
      </c>
      <c r="K48" s="115">
        <f>+K47+Tabla6[[#This Row],[IMPORTE]]</f>
        <v>15503297.460000003</v>
      </c>
      <c r="L48" s="116" t="s">
        <v>194</v>
      </c>
      <c r="M48" s="118" t="s">
        <v>85</v>
      </c>
    </row>
    <row r="49" spans="2:13" x14ac:dyDescent="0.35">
      <c r="B49" s="134" t="s">
        <v>117</v>
      </c>
      <c r="C49" s="113" t="s">
        <v>128</v>
      </c>
      <c r="D49" s="114">
        <v>695570</v>
      </c>
      <c r="E49" s="114">
        <v>404</v>
      </c>
      <c r="F49" s="115">
        <v>38622.480000000003</v>
      </c>
      <c r="G49" s="116" t="s">
        <v>129</v>
      </c>
      <c r="H49" s="114">
        <v>4098</v>
      </c>
      <c r="I49" s="114">
        <v>30717862453</v>
      </c>
      <c r="J49" s="116" t="s">
        <v>130</v>
      </c>
      <c r="K49" s="115">
        <f>+K48+Tabla6[[#This Row],[IMPORTE]]</f>
        <v>15541919.940000003</v>
      </c>
      <c r="L49" s="116" t="s">
        <v>194</v>
      </c>
      <c r="M49" s="118" t="s">
        <v>85</v>
      </c>
    </row>
    <row r="50" spans="2:13" x14ac:dyDescent="0.35">
      <c r="B50" s="134" t="s">
        <v>117</v>
      </c>
      <c r="C50" s="113" t="s">
        <v>128</v>
      </c>
      <c r="D50" s="114">
        <v>804645</v>
      </c>
      <c r="E50" s="114">
        <v>404</v>
      </c>
      <c r="F50" s="115">
        <v>38622.480000000003</v>
      </c>
      <c r="G50" s="116" t="s">
        <v>129</v>
      </c>
      <c r="H50" s="114">
        <v>4098</v>
      </c>
      <c r="I50" s="114">
        <v>30717862453</v>
      </c>
      <c r="J50" s="116" t="s">
        <v>130</v>
      </c>
      <c r="K50" s="115">
        <f>+K49+Tabla6[[#This Row],[IMPORTE]]</f>
        <v>15580542.420000004</v>
      </c>
      <c r="L50" s="116" t="s">
        <v>194</v>
      </c>
      <c r="M50" s="118" t="s">
        <v>85</v>
      </c>
    </row>
    <row r="51" spans="2:13" x14ac:dyDescent="0.35">
      <c r="B51" s="134" t="s">
        <v>117</v>
      </c>
      <c r="C51" s="113" t="s">
        <v>128</v>
      </c>
      <c r="D51" s="114">
        <v>857241</v>
      </c>
      <c r="E51" s="114">
        <v>404</v>
      </c>
      <c r="F51" s="115">
        <v>38622.480000000003</v>
      </c>
      <c r="G51" s="116" t="s">
        <v>129</v>
      </c>
      <c r="H51" s="114">
        <v>4098</v>
      </c>
      <c r="I51" s="114">
        <v>30717862453</v>
      </c>
      <c r="J51" s="116" t="s">
        <v>130</v>
      </c>
      <c r="K51" s="115">
        <f>+K50+Tabla6[[#This Row],[IMPORTE]]</f>
        <v>15619164.900000004</v>
      </c>
      <c r="L51" s="116" t="s">
        <v>194</v>
      </c>
      <c r="M51" s="118" t="s">
        <v>85</v>
      </c>
    </row>
    <row r="52" spans="2:13" x14ac:dyDescent="0.35">
      <c r="B52" s="134" t="s">
        <v>117</v>
      </c>
      <c r="C52" s="113" t="s">
        <v>128</v>
      </c>
      <c r="D52" s="114">
        <v>874513</v>
      </c>
      <c r="E52" s="114">
        <v>404</v>
      </c>
      <c r="F52" s="115">
        <v>38622.480000000003</v>
      </c>
      <c r="G52" s="116" t="s">
        <v>129</v>
      </c>
      <c r="H52" s="114">
        <v>4098</v>
      </c>
      <c r="I52" s="114">
        <v>30717862453</v>
      </c>
      <c r="J52" s="116" t="s">
        <v>130</v>
      </c>
      <c r="K52" s="115">
        <f>+K51+Tabla6[[#This Row],[IMPORTE]]</f>
        <v>15657787.380000005</v>
      </c>
      <c r="L52" s="116" t="s">
        <v>194</v>
      </c>
      <c r="M52" s="118" t="s">
        <v>85</v>
      </c>
    </row>
    <row r="53" spans="2:13" x14ac:dyDescent="0.35">
      <c r="B53" s="134" t="s">
        <v>117</v>
      </c>
      <c r="C53" s="113" t="s">
        <v>128</v>
      </c>
      <c r="D53" s="114">
        <v>968856</v>
      </c>
      <c r="E53" s="114">
        <v>404</v>
      </c>
      <c r="F53" s="115">
        <v>38622.480000000003</v>
      </c>
      <c r="G53" s="116" t="s">
        <v>129</v>
      </c>
      <c r="H53" s="114">
        <v>4098</v>
      </c>
      <c r="I53" s="114">
        <v>30717862453</v>
      </c>
      <c r="J53" s="116" t="s">
        <v>130</v>
      </c>
      <c r="K53" s="115">
        <f>+K52+Tabla6[[#This Row],[IMPORTE]]</f>
        <v>15696409.860000005</v>
      </c>
      <c r="L53" s="116" t="s">
        <v>194</v>
      </c>
      <c r="M53" s="118" t="s">
        <v>85</v>
      </c>
    </row>
    <row r="54" spans="2:13" x14ac:dyDescent="0.35">
      <c r="B54" s="134" t="s">
        <v>117</v>
      </c>
      <c r="C54" s="113" t="s">
        <v>128</v>
      </c>
      <c r="D54" s="114">
        <v>40525</v>
      </c>
      <c r="E54" s="114">
        <v>404</v>
      </c>
      <c r="F54" s="115">
        <v>51496.639999999999</v>
      </c>
      <c r="G54" s="116" t="s">
        <v>129</v>
      </c>
      <c r="H54" s="114">
        <v>4098</v>
      </c>
      <c r="I54" s="114">
        <v>30717862453</v>
      </c>
      <c r="J54" s="116" t="s">
        <v>130</v>
      </c>
      <c r="K54" s="115">
        <f>+K53+Tabla6[[#This Row],[IMPORTE]]</f>
        <v>15747906.500000006</v>
      </c>
      <c r="L54" s="116" t="s">
        <v>194</v>
      </c>
      <c r="M54" s="118" t="s">
        <v>85</v>
      </c>
    </row>
    <row r="55" spans="2:13" x14ac:dyDescent="0.35">
      <c r="B55" s="134" t="s">
        <v>117</v>
      </c>
      <c r="C55" s="113" t="s">
        <v>128</v>
      </c>
      <c r="D55" s="114">
        <v>301171</v>
      </c>
      <c r="E55" s="114">
        <v>404</v>
      </c>
      <c r="F55" s="115">
        <v>51496.639999999999</v>
      </c>
      <c r="G55" s="116" t="s">
        <v>129</v>
      </c>
      <c r="H55" s="114">
        <v>4098</v>
      </c>
      <c r="I55" s="114">
        <v>30717862453</v>
      </c>
      <c r="J55" s="116" t="s">
        <v>130</v>
      </c>
      <c r="K55" s="115">
        <f>+K54+Tabla6[[#This Row],[IMPORTE]]</f>
        <v>15799403.140000006</v>
      </c>
      <c r="L55" s="116" t="s">
        <v>194</v>
      </c>
      <c r="M55" s="118" t="s">
        <v>85</v>
      </c>
    </row>
    <row r="56" spans="2:13" x14ac:dyDescent="0.35">
      <c r="B56" s="134" t="s">
        <v>117</v>
      </c>
      <c r="C56" s="113" t="s">
        <v>128</v>
      </c>
      <c r="D56" s="114">
        <v>418518</v>
      </c>
      <c r="E56" s="114">
        <v>404</v>
      </c>
      <c r="F56" s="115">
        <v>51496.639999999999</v>
      </c>
      <c r="G56" s="116" t="s">
        <v>129</v>
      </c>
      <c r="H56" s="114">
        <v>4098</v>
      </c>
      <c r="I56" s="114">
        <v>30717862453</v>
      </c>
      <c r="J56" s="116" t="s">
        <v>130</v>
      </c>
      <c r="K56" s="115">
        <f>+K55+Tabla6[[#This Row],[IMPORTE]]</f>
        <v>15850899.780000007</v>
      </c>
      <c r="L56" s="116" t="s">
        <v>194</v>
      </c>
      <c r="M56" s="118" t="s">
        <v>85</v>
      </c>
    </row>
    <row r="57" spans="2:13" x14ac:dyDescent="0.35">
      <c r="B57" s="134" t="s">
        <v>117</v>
      </c>
      <c r="C57" s="113" t="s">
        <v>128</v>
      </c>
      <c r="D57" s="114">
        <v>495978</v>
      </c>
      <c r="E57" s="114">
        <v>404</v>
      </c>
      <c r="F57" s="115">
        <v>51496.639999999999</v>
      </c>
      <c r="G57" s="116" t="s">
        <v>129</v>
      </c>
      <c r="H57" s="114">
        <v>4098</v>
      </c>
      <c r="I57" s="114">
        <v>30717862453</v>
      </c>
      <c r="J57" s="116" t="s">
        <v>130</v>
      </c>
      <c r="K57" s="115">
        <f>+K56+Tabla6[[#This Row],[IMPORTE]]</f>
        <v>15902396.420000007</v>
      </c>
      <c r="L57" s="116" t="s">
        <v>194</v>
      </c>
      <c r="M57" s="118" t="s">
        <v>85</v>
      </c>
    </row>
    <row r="58" spans="2:13" x14ac:dyDescent="0.35">
      <c r="B58" s="134" t="s">
        <v>117</v>
      </c>
      <c r="C58" s="113" t="s">
        <v>128</v>
      </c>
      <c r="D58" s="114">
        <v>959294</v>
      </c>
      <c r="E58" s="114">
        <v>404</v>
      </c>
      <c r="F58" s="115">
        <v>51496.639999999999</v>
      </c>
      <c r="G58" s="116" t="s">
        <v>129</v>
      </c>
      <c r="H58" s="114">
        <v>4098</v>
      </c>
      <c r="I58" s="114">
        <v>30717862453</v>
      </c>
      <c r="J58" s="116" t="s">
        <v>130</v>
      </c>
      <c r="K58" s="115">
        <f>+K57+Tabla6[[#This Row],[IMPORTE]]</f>
        <v>15953893.060000008</v>
      </c>
      <c r="L58" s="116" t="s">
        <v>194</v>
      </c>
      <c r="M58" s="118" t="s">
        <v>85</v>
      </c>
    </row>
    <row r="59" spans="2:13" x14ac:dyDescent="0.35">
      <c r="B59" s="134" t="s">
        <v>117</v>
      </c>
      <c r="C59" s="113" t="s">
        <v>128</v>
      </c>
      <c r="D59" s="114">
        <v>490811</v>
      </c>
      <c r="E59" s="114">
        <v>404</v>
      </c>
      <c r="F59" s="115">
        <v>77244.960000000006</v>
      </c>
      <c r="G59" s="116" t="s">
        <v>129</v>
      </c>
      <c r="H59" s="114">
        <v>4098</v>
      </c>
      <c r="I59" s="114">
        <v>30717862453</v>
      </c>
      <c r="J59" s="116" t="s">
        <v>130</v>
      </c>
      <c r="K59" s="115">
        <f>+K58+Tabla6[[#This Row],[IMPORTE]]</f>
        <v>16031138.020000009</v>
      </c>
      <c r="L59" s="116" t="s">
        <v>194</v>
      </c>
      <c r="M59" s="118" t="s">
        <v>85</v>
      </c>
    </row>
    <row r="60" spans="2:13" x14ac:dyDescent="0.35">
      <c r="B60" s="134" t="s">
        <v>117</v>
      </c>
      <c r="C60" s="113" t="s">
        <v>128</v>
      </c>
      <c r="D60" s="114">
        <v>678673</v>
      </c>
      <c r="E60" s="114">
        <v>404</v>
      </c>
      <c r="F60" s="115">
        <v>77244.960000000006</v>
      </c>
      <c r="G60" s="116" t="s">
        <v>129</v>
      </c>
      <c r="H60" s="114">
        <v>4098</v>
      </c>
      <c r="I60" s="114">
        <v>30717862453</v>
      </c>
      <c r="J60" s="116" t="s">
        <v>130</v>
      </c>
      <c r="K60" s="115">
        <f>+K59+Tabla6[[#This Row],[IMPORTE]]</f>
        <v>16108382.98000001</v>
      </c>
      <c r="L60" s="116" t="s">
        <v>194</v>
      </c>
      <c r="M60" s="118" t="s">
        <v>85</v>
      </c>
    </row>
    <row r="61" spans="2:13" x14ac:dyDescent="0.35">
      <c r="B61" s="134" t="s">
        <v>117</v>
      </c>
      <c r="C61" s="113" t="s">
        <v>128</v>
      </c>
      <c r="D61" s="114">
        <v>725540</v>
      </c>
      <c r="E61" s="114">
        <v>404</v>
      </c>
      <c r="F61" s="115">
        <v>77244.960000000006</v>
      </c>
      <c r="G61" s="116" t="s">
        <v>129</v>
      </c>
      <c r="H61" s="114">
        <v>4098</v>
      </c>
      <c r="I61" s="114">
        <v>30717862453</v>
      </c>
      <c r="J61" s="116" t="s">
        <v>130</v>
      </c>
      <c r="K61" s="115">
        <f>+K60+Tabla6[[#This Row],[IMPORTE]]</f>
        <v>16185627.940000011</v>
      </c>
      <c r="L61" s="116" t="s">
        <v>194</v>
      </c>
      <c r="M61" s="118" t="s">
        <v>85</v>
      </c>
    </row>
    <row r="62" spans="2:13" x14ac:dyDescent="0.35">
      <c r="B62" s="4" t="s">
        <v>104</v>
      </c>
      <c r="C62" s="104" t="s">
        <v>128</v>
      </c>
      <c r="D62" s="105">
        <v>299361</v>
      </c>
      <c r="E62" s="105">
        <v>404</v>
      </c>
      <c r="F62" s="101">
        <v>85740.62</v>
      </c>
      <c r="G62" s="5" t="s">
        <v>106</v>
      </c>
      <c r="H62" s="105">
        <v>183</v>
      </c>
      <c r="I62" s="70" t="s">
        <v>107</v>
      </c>
      <c r="J62" s="5" t="s">
        <v>110</v>
      </c>
      <c r="K62" s="101">
        <f>+K61+Tabla6[[#This Row],[IMPORTE]]</f>
        <v>16271368.56000001</v>
      </c>
      <c r="L62" s="5" t="s">
        <v>205</v>
      </c>
      <c r="M62" s="133" t="s">
        <v>100</v>
      </c>
    </row>
    <row r="63" spans="2:13" x14ac:dyDescent="0.35">
      <c r="B63" s="134" t="s">
        <v>117</v>
      </c>
      <c r="C63" s="113" t="s">
        <v>128</v>
      </c>
      <c r="D63" s="114">
        <v>33230</v>
      </c>
      <c r="E63" s="114">
        <v>404</v>
      </c>
      <c r="F63" s="115">
        <v>430517.17</v>
      </c>
      <c r="G63" s="116" t="s">
        <v>129</v>
      </c>
      <c r="H63" s="114">
        <v>4098</v>
      </c>
      <c r="I63" s="114">
        <v>30717862453</v>
      </c>
      <c r="J63" s="116" t="s">
        <v>130</v>
      </c>
      <c r="K63" s="115">
        <f>+K62+Tabla6[[#This Row],[IMPORTE]]</f>
        <v>16701885.73000001</v>
      </c>
      <c r="L63" s="116" t="s">
        <v>194</v>
      </c>
      <c r="M63" s="118" t="s">
        <v>85</v>
      </c>
    </row>
    <row r="64" spans="2:13" x14ac:dyDescent="0.35">
      <c r="B64" s="4" t="s">
        <v>117</v>
      </c>
      <c r="C64" s="104" t="s">
        <v>128</v>
      </c>
      <c r="D64" s="105">
        <v>142</v>
      </c>
      <c r="E64" s="105">
        <v>811</v>
      </c>
      <c r="F64" s="101">
        <v>1124066.43</v>
      </c>
      <c r="G64" s="5" t="s">
        <v>118</v>
      </c>
      <c r="H64" s="105">
        <v>4151</v>
      </c>
      <c r="I64" s="70" t="s">
        <v>107</v>
      </c>
      <c r="J64" s="5" t="s">
        <v>119</v>
      </c>
      <c r="K64" s="101">
        <f>+K63+Tabla6[[#This Row],[IMPORTE]]</f>
        <v>17825952.160000011</v>
      </c>
      <c r="L64" s="5" t="s">
        <v>206</v>
      </c>
      <c r="M64" s="133" t="s">
        <v>100</v>
      </c>
    </row>
    <row r="65" spans="2:13" x14ac:dyDescent="0.35">
      <c r="B65" s="4" t="s">
        <v>104</v>
      </c>
      <c r="C65" s="104" t="s">
        <v>131</v>
      </c>
      <c r="D65" s="105">
        <v>227235</v>
      </c>
      <c r="E65" s="105">
        <v>404</v>
      </c>
      <c r="F65" s="101">
        <v>3297.72</v>
      </c>
      <c r="G65" s="5" t="s">
        <v>106</v>
      </c>
      <c r="H65" s="105">
        <v>183</v>
      </c>
      <c r="I65" s="70" t="s">
        <v>107</v>
      </c>
      <c r="J65" s="5" t="s">
        <v>113</v>
      </c>
      <c r="K65" s="101">
        <f>+K64+Tabla6[[#This Row],[IMPORTE]]</f>
        <v>17829249.88000001</v>
      </c>
      <c r="L65" s="5" t="s">
        <v>207</v>
      </c>
      <c r="M65" s="133" t="s">
        <v>100</v>
      </c>
    </row>
    <row r="66" spans="2:13" x14ac:dyDescent="0.35">
      <c r="B66" s="4" t="s">
        <v>117</v>
      </c>
      <c r="C66" s="104" t="s">
        <v>131</v>
      </c>
      <c r="D66" s="105">
        <v>768535</v>
      </c>
      <c r="E66" s="105">
        <v>404</v>
      </c>
      <c r="F66" s="101">
        <v>8038.23</v>
      </c>
      <c r="G66" s="5" t="s">
        <v>129</v>
      </c>
      <c r="H66" s="105">
        <v>4098</v>
      </c>
      <c r="I66" s="105">
        <v>30717862453</v>
      </c>
      <c r="J66" s="5" t="s">
        <v>130</v>
      </c>
      <c r="K66" s="101">
        <f>+K65+Tabla6[[#This Row],[IMPORTE]]</f>
        <v>17837288.110000011</v>
      </c>
      <c r="L66" s="5" t="s">
        <v>208</v>
      </c>
      <c r="M66" s="133" t="s">
        <v>100</v>
      </c>
    </row>
    <row r="67" spans="2:13" x14ac:dyDescent="0.35">
      <c r="B67" s="4" t="s">
        <v>117</v>
      </c>
      <c r="C67" s="104" t="s">
        <v>131</v>
      </c>
      <c r="D67" s="105">
        <v>207451</v>
      </c>
      <c r="E67" s="105">
        <v>404</v>
      </c>
      <c r="F67" s="101">
        <v>19311.240000000002</v>
      </c>
      <c r="G67" s="5" t="s">
        <v>129</v>
      </c>
      <c r="H67" s="105">
        <v>4098</v>
      </c>
      <c r="I67" s="105">
        <v>30717862453</v>
      </c>
      <c r="J67" s="5" t="s">
        <v>130</v>
      </c>
      <c r="K67" s="101">
        <f>+K66+Tabla6[[#This Row],[IMPORTE]]</f>
        <v>17856599.350000009</v>
      </c>
      <c r="L67" s="5" t="s">
        <v>208</v>
      </c>
      <c r="M67" s="133" t="s">
        <v>100</v>
      </c>
    </row>
    <row r="68" spans="2:13" x14ac:dyDescent="0.35">
      <c r="B68" s="4" t="s">
        <v>117</v>
      </c>
      <c r="C68" s="104" t="s">
        <v>131</v>
      </c>
      <c r="D68" s="105">
        <v>323915</v>
      </c>
      <c r="E68" s="105">
        <v>404</v>
      </c>
      <c r="F68" s="101">
        <v>19311.240000000002</v>
      </c>
      <c r="G68" s="5" t="s">
        <v>129</v>
      </c>
      <c r="H68" s="105">
        <v>4098</v>
      </c>
      <c r="I68" s="105">
        <v>30717862453</v>
      </c>
      <c r="J68" s="5" t="s">
        <v>130</v>
      </c>
      <c r="K68" s="101">
        <f>+K67+Tabla6[[#This Row],[IMPORTE]]</f>
        <v>17875910.590000007</v>
      </c>
      <c r="L68" s="5" t="s">
        <v>208</v>
      </c>
      <c r="M68" s="133" t="s">
        <v>100</v>
      </c>
    </row>
    <row r="69" spans="2:13" x14ac:dyDescent="0.35">
      <c r="B69" s="4" t="s">
        <v>117</v>
      </c>
      <c r="C69" s="104" t="s">
        <v>131</v>
      </c>
      <c r="D69" s="105">
        <v>436038</v>
      </c>
      <c r="E69" s="105">
        <v>404</v>
      </c>
      <c r="F69" s="101">
        <v>19311.240000000002</v>
      </c>
      <c r="G69" s="5" t="s">
        <v>129</v>
      </c>
      <c r="H69" s="105">
        <v>4098</v>
      </c>
      <c r="I69" s="105">
        <v>30717862453</v>
      </c>
      <c r="J69" s="5" t="s">
        <v>130</v>
      </c>
      <c r="K69" s="101">
        <f>+K68+Tabla6[[#This Row],[IMPORTE]]</f>
        <v>17895221.830000006</v>
      </c>
      <c r="L69" s="5" t="s">
        <v>208</v>
      </c>
      <c r="M69" s="133" t="s">
        <v>100</v>
      </c>
    </row>
    <row r="70" spans="2:13" x14ac:dyDescent="0.35">
      <c r="B70" s="4" t="s">
        <v>117</v>
      </c>
      <c r="C70" s="104" t="s">
        <v>131</v>
      </c>
      <c r="D70" s="105">
        <v>491867</v>
      </c>
      <c r="E70" s="105">
        <v>404</v>
      </c>
      <c r="F70" s="101">
        <v>19311.240000000002</v>
      </c>
      <c r="G70" s="5" t="s">
        <v>129</v>
      </c>
      <c r="H70" s="105">
        <v>4098</v>
      </c>
      <c r="I70" s="105">
        <v>30717862453</v>
      </c>
      <c r="J70" s="5" t="s">
        <v>130</v>
      </c>
      <c r="K70" s="101">
        <f>+K69+Tabla6[[#This Row],[IMPORTE]]</f>
        <v>17914533.070000004</v>
      </c>
      <c r="L70" s="5" t="s">
        <v>208</v>
      </c>
      <c r="M70" s="133" t="s">
        <v>100</v>
      </c>
    </row>
    <row r="71" spans="2:13" x14ac:dyDescent="0.35">
      <c r="B71" s="4" t="s">
        <v>117</v>
      </c>
      <c r="C71" s="104" t="s">
        <v>131</v>
      </c>
      <c r="D71" s="105">
        <v>521890</v>
      </c>
      <c r="E71" s="105">
        <v>404</v>
      </c>
      <c r="F71" s="101">
        <v>19311.240000000002</v>
      </c>
      <c r="G71" s="5" t="s">
        <v>129</v>
      </c>
      <c r="H71" s="105">
        <v>4098</v>
      </c>
      <c r="I71" s="105">
        <v>30717862453</v>
      </c>
      <c r="J71" s="5" t="s">
        <v>130</v>
      </c>
      <c r="K71" s="101">
        <f>+K70+Tabla6[[#This Row],[IMPORTE]]</f>
        <v>17933844.310000002</v>
      </c>
      <c r="L71" s="5" t="s">
        <v>208</v>
      </c>
      <c r="M71" s="133" t="s">
        <v>100</v>
      </c>
    </row>
    <row r="72" spans="2:13" x14ac:dyDescent="0.35">
      <c r="B72" s="4" t="s">
        <v>117</v>
      </c>
      <c r="C72" s="104" t="s">
        <v>131</v>
      </c>
      <c r="D72" s="105">
        <v>714052</v>
      </c>
      <c r="E72" s="105">
        <v>404</v>
      </c>
      <c r="F72" s="101">
        <v>19311.240000000002</v>
      </c>
      <c r="G72" s="5" t="s">
        <v>129</v>
      </c>
      <c r="H72" s="105">
        <v>4098</v>
      </c>
      <c r="I72" s="105">
        <v>30717862453</v>
      </c>
      <c r="J72" s="5" t="s">
        <v>130</v>
      </c>
      <c r="K72" s="101">
        <f>+K71+Tabla6[[#This Row],[IMPORTE]]</f>
        <v>17953155.550000001</v>
      </c>
      <c r="L72" s="5" t="s">
        <v>208</v>
      </c>
      <c r="M72" s="133" t="s">
        <v>100</v>
      </c>
    </row>
    <row r="73" spans="2:13" x14ac:dyDescent="0.35">
      <c r="B73" s="4" t="s">
        <v>104</v>
      </c>
      <c r="C73" s="104" t="s">
        <v>131</v>
      </c>
      <c r="D73" s="105">
        <v>227233</v>
      </c>
      <c r="E73" s="105">
        <v>404</v>
      </c>
      <c r="F73" s="101">
        <v>24670.93</v>
      </c>
      <c r="G73" s="5" t="s">
        <v>106</v>
      </c>
      <c r="H73" s="105">
        <v>183</v>
      </c>
      <c r="I73" s="70" t="s">
        <v>107</v>
      </c>
      <c r="J73" s="5" t="s">
        <v>109</v>
      </c>
      <c r="K73" s="101">
        <f>+K72+Tabla6[[#This Row],[IMPORTE]]</f>
        <v>17977826.48</v>
      </c>
      <c r="L73" s="5" t="s">
        <v>209</v>
      </c>
      <c r="M73" s="133" t="s">
        <v>100</v>
      </c>
    </row>
    <row r="74" spans="2:13" x14ac:dyDescent="0.35">
      <c r="B74" s="4" t="s">
        <v>117</v>
      </c>
      <c r="C74" s="104" t="s">
        <v>131</v>
      </c>
      <c r="D74" s="105">
        <v>721681</v>
      </c>
      <c r="E74" s="105">
        <v>404</v>
      </c>
      <c r="F74" s="101">
        <v>30618.71</v>
      </c>
      <c r="G74" s="5" t="s">
        <v>129</v>
      </c>
      <c r="H74" s="105">
        <v>4098</v>
      </c>
      <c r="I74" s="105">
        <v>30717862453</v>
      </c>
      <c r="J74" s="5" t="s">
        <v>130</v>
      </c>
      <c r="K74" s="101">
        <f>+K73+Tabla6[[#This Row],[IMPORTE]]</f>
        <v>18008445.190000001</v>
      </c>
      <c r="L74" s="5" t="s">
        <v>208</v>
      </c>
      <c r="M74" s="133" t="s">
        <v>100</v>
      </c>
    </row>
    <row r="75" spans="2:13" x14ac:dyDescent="0.35">
      <c r="B75" s="4" t="s">
        <v>117</v>
      </c>
      <c r="C75" s="104" t="s">
        <v>131</v>
      </c>
      <c r="D75" s="105">
        <v>39954</v>
      </c>
      <c r="E75" s="105">
        <v>404</v>
      </c>
      <c r="F75" s="101">
        <v>30897.98</v>
      </c>
      <c r="G75" s="5" t="s">
        <v>129</v>
      </c>
      <c r="H75" s="105">
        <v>4098</v>
      </c>
      <c r="I75" s="105">
        <v>30717862453</v>
      </c>
      <c r="J75" s="5" t="s">
        <v>130</v>
      </c>
      <c r="K75" s="101">
        <f>+K74+Tabla6[[#This Row],[IMPORTE]]</f>
        <v>18039343.170000002</v>
      </c>
      <c r="L75" s="5" t="s">
        <v>208</v>
      </c>
      <c r="M75" s="133" t="s">
        <v>100</v>
      </c>
    </row>
    <row r="76" spans="2:13" x14ac:dyDescent="0.35">
      <c r="B76" s="4" t="s">
        <v>117</v>
      </c>
      <c r="C76" s="104" t="s">
        <v>131</v>
      </c>
      <c r="D76" s="105">
        <v>146286</v>
      </c>
      <c r="E76" s="105">
        <v>404</v>
      </c>
      <c r="F76" s="101">
        <v>30897.98</v>
      </c>
      <c r="G76" s="5" t="s">
        <v>129</v>
      </c>
      <c r="H76" s="105">
        <v>4098</v>
      </c>
      <c r="I76" s="105">
        <v>30717862453</v>
      </c>
      <c r="J76" s="5" t="s">
        <v>130</v>
      </c>
      <c r="K76" s="101">
        <f>+K75+Tabla6[[#This Row],[IMPORTE]]</f>
        <v>18070241.150000002</v>
      </c>
      <c r="L76" s="5" t="s">
        <v>208</v>
      </c>
      <c r="M76" s="133" t="s">
        <v>100</v>
      </c>
    </row>
    <row r="77" spans="2:13" x14ac:dyDescent="0.35">
      <c r="B77" s="4" t="s">
        <v>117</v>
      </c>
      <c r="C77" s="104" t="s">
        <v>131</v>
      </c>
      <c r="D77" s="105">
        <v>160703</v>
      </c>
      <c r="E77" s="105">
        <v>404</v>
      </c>
      <c r="F77" s="101">
        <v>30897.98</v>
      </c>
      <c r="G77" s="5" t="s">
        <v>129</v>
      </c>
      <c r="H77" s="105">
        <v>4098</v>
      </c>
      <c r="I77" s="105">
        <v>30717862453</v>
      </c>
      <c r="J77" s="5" t="s">
        <v>130</v>
      </c>
      <c r="K77" s="101">
        <f>+K76+Tabla6[[#This Row],[IMPORTE]]</f>
        <v>18101139.130000003</v>
      </c>
      <c r="L77" s="5" t="s">
        <v>208</v>
      </c>
      <c r="M77" s="133" t="s">
        <v>100</v>
      </c>
    </row>
    <row r="78" spans="2:13" x14ac:dyDescent="0.35">
      <c r="B78" s="4" t="s">
        <v>117</v>
      </c>
      <c r="C78" s="104" t="s">
        <v>131</v>
      </c>
      <c r="D78" s="105">
        <v>265172</v>
      </c>
      <c r="E78" s="105">
        <v>404</v>
      </c>
      <c r="F78" s="101">
        <v>30897.98</v>
      </c>
      <c r="G78" s="5" t="s">
        <v>129</v>
      </c>
      <c r="H78" s="105">
        <v>4098</v>
      </c>
      <c r="I78" s="105">
        <v>30717862453</v>
      </c>
      <c r="J78" s="5" t="s">
        <v>130</v>
      </c>
      <c r="K78" s="101">
        <f>+K77+Tabla6[[#This Row],[IMPORTE]]</f>
        <v>18132037.110000003</v>
      </c>
      <c r="L78" s="5" t="s">
        <v>208</v>
      </c>
      <c r="M78" s="133" t="s">
        <v>100</v>
      </c>
    </row>
    <row r="79" spans="2:13" x14ac:dyDescent="0.35">
      <c r="B79" s="4" t="s">
        <v>117</v>
      </c>
      <c r="C79" s="104" t="s">
        <v>131</v>
      </c>
      <c r="D79" s="105">
        <v>314047</v>
      </c>
      <c r="E79" s="105">
        <v>404</v>
      </c>
      <c r="F79" s="101">
        <v>30897.98</v>
      </c>
      <c r="G79" s="5" t="s">
        <v>129</v>
      </c>
      <c r="H79" s="105">
        <v>4098</v>
      </c>
      <c r="I79" s="105">
        <v>30717862453</v>
      </c>
      <c r="J79" s="5" t="s">
        <v>130</v>
      </c>
      <c r="K79" s="101">
        <f>+K78+Tabla6[[#This Row],[IMPORTE]]</f>
        <v>18162935.090000004</v>
      </c>
      <c r="L79" s="5" t="s">
        <v>208</v>
      </c>
      <c r="M79" s="133" t="s">
        <v>100</v>
      </c>
    </row>
    <row r="80" spans="2:13" x14ac:dyDescent="0.35">
      <c r="B80" s="4" t="s">
        <v>117</v>
      </c>
      <c r="C80" s="104" t="s">
        <v>131</v>
      </c>
      <c r="D80" s="105">
        <v>544702</v>
      </c>
      <c r="E80" s="105">
        <v>404</v>
      </c>
      <c r="F80" s="101">
        <v>30897.98</v>
      </c>
      <c r="G80" s="5" t="s">
        <v>129</v>
      </c>
      <c r="H80" s="105">
        <v>4098</v>
      </c>
      <c r="I80" s="105">
        <v>30717862453</v>
      </c>
      <c r="J80" s="5" t="s">
        <v>130</v>
      </c>
      <c r="K80" s="101">
        <f>+K79+Tabla6[[#This Row],[IMPORTE]]</f>
        <v>18193833.070000004</v>
      </c>
      <c r="L80" s="5" t="s">
        <v>208</v>
      </c>
      <c r="M80" s="133" t="s">
        <v>100</v>
      </c>
    </row>
    <row r="81" spans="2:13" x14ac:dyDescent="0.35">
      <c r="B81" s="4" t="s">
        <v>117</v>
      </c>
      <c r="C81" s="104" t="s">
        <v>131</v>
      </c>
      <c r="D81" s="105">
        <v>654645</v>
      </c>
      <c r="E81" s="105">
        <v>404</v>
      </c>
      <c r="F81" s="101">
        <v>30897.98</v>
      </c>
      <c r="G81" s="5" t="s">
        <v>129</v>
      </c>
      <c r="H81" s="105">
        <v>4098</v>
      </c>
      <c r="I81" s="105">
        <v>30717862453</v>
      </c>
      <c r="J81" s="5" t="s">
        <v>130</v>
      </c>
      <c r="K81" s="101">
        <f>+K80+Tabla6[[#This Row],[IMPORTE]]</f>
        <v>18224731.050000004</v>
      </c>
      <c r="L81" s="5" t="s">
        <v>208</v>
      </c>
      <c r="M81" s="133" t="s">
        <v>100</v>
      </c>
    </row>
    <row r="82" spans="2:13" x14ac:dyDescent="0.35">
      <c r="B82" s="4" t="s">
        <v>117</v>
      </c>
      <c r="C82" s="104" t="s">
        <v>131</v>
      </c>
      <c r="D82" s="105">
        <v>661238</v>
      </c>
      <c r="E82" s="105">
        <v>404</v>
      </c>
      <c r="F82" s="101">
        <v>30897.98</v>
      </c>
      <c r="G82" s="5" t="s">
        <v>129</v>
      </c>
      <c r="H82" s="105">
        <v>4098</v>
      </c>
      <c r="I82" s="105">
        <v>30717862453</v>
      </c>
      <c r="J82" s="5" t="s">
        <v>130</v>
      </c>
      <c r="K82" s="101">
        <f>+K81+Tabla6[[#This Row],[IMPORTE]]</f>
        <v>18255629.030000005</v>
      </c>
      <c r="L82" s="5" t="s">
        <v>208</v>
      </c>
      <c r="M82" s="133" t="s">
        <v>100</v>
      </c>
    </row>
    <row r="83" spans="2:13" x14ac:dyDescent="0.35">
      <c r="B83" s="4" t="s">
        <v>117</v>
      </c>
      <c r="C83" s="104" t="s">
        <v>131</v>
      </c>
      <c r="D83" s="105">
        <v>916439</v>
      </c>
      <c r="E83" s="105">
        <v>404</v>
      </c>
      <c r="F83" s="101">
        <v>30897.98</v>
      </c>
      <c r="G83" s="5" t="s">
        <v>129</v>
      </c>
      <c r="H83" s="105">
        <v>4098</v>
      </c>
      <c r="I83" s="105">
        <v>30717862453</v>
      </c>
      <c r="J83" s="5" t="s">
        <v>130</v>
      </c>
      <c r="K83" s="101">
        <f>+K82+Tabla6[[#This Row],[IMPORTE]]</f>
        <v>18286527.010000005</v>
      </c>
      <c r="L83" s="5" t="s">
        <v>208</v>
      </c>
      <c r="M83" s="133" t="s">
        <v>100</v>
      </c>
    </row>
    <row r="84" spans="2:13" x14ac:dyDescent="0.35">
      <c r="B84" s="4" t="s">
        <v>117</v>
      </c>
      <c r="C84" s="104" t="s">
        <v>131</v>
      </c>
      <c r="D84" s="105">
        <v>60894</v>
      </c>
      <c r="E84" s="105">
        <v>404</v>
      </c>
      <c r="F84" s="101">
        <v>38622.480000000003</v>
      </c>
      <c r="G84" s="5" t="s">
        <v>129</v>
      </c>
      <c r="H84" s="105">
        <v>4098</v>
      </c>
      <c r="I84" s="105">
        <v>30717862453</v>
      </c>
      <c r="J84" s="5" t="s">
        <v>130</v>
      </c>
      <c r="K84" s="101">
        <f>+K83+Tabla6[[#This Row],[IMPORTE]]</f>
        <v>18325149.490000006</v>
      </c>
      <c r="L84" s="5" t="s">
        <v>208</v>
      </c>
      <c r="M84" s="133" t="s">
        <v>100</v>
      </c>
    </row>
    <row r="85" spans="2:13" x14ac:dyDescent="0.35">
      <c r="B85" s="4" t="s">
        <v>117</v>
      </c>
      <c r="C85" s="104" t="s">
        <v>131</v>
      </c>
      <c r="D85" s="105">
        <v>89643</v>
      </c>
      <c r="E85" s="105">
        <v>404</v>
      </c>
      <c r="F85" s="101">
        <v>38622.480000000003</v>
      </c>
      <c r="G85" s="5" t="s">
        <v>129</v>
      </c>
      <c r="H85" s="105">
        <v>4098</v>
      </c>
      <c r="I85" s="105">
        <v>30717862453</v>
      </c>
      <c r="J85" s="5" t="s">
        <v>130</v>
      </c>
      <c r="K85" s="101">
        <f>+K84+Tabla6[[#This Row],[IMPORTE]]</f>
        <v>18363771.970000006</v>
      </c>
      <c r="L85" s="5" t="s">
        <v>208</v>
      </c>
      <c r="M85" s="133" t="s">
        <v>100</v>
      </c>
    </row>
    <row r="86" spans="2:13" x14ac:dyDescent="0.35">
      <c r="B86" s="4" t="s">
        <v>117</v>
      </c>
      <c r="C86" s="104" t="s">
        <v>131</v>
      </c>
      <c r="D86" s="105">
        <v>107312</v>
      </c>
      <c r="E86" s="105">
        <v>404</v>
      </c>
      <c r="F86" s="101">
        <v>38622.480000000003</v>
      </c>
      <c r="G86" s="5" t="s">
        <v>129</v>
      </c>
      <c r="H86" s="105">
        <v>4098</v>
      </c>
      <c r="I86" s="105">
        <v>30717862453</v>
      </c>
      <c r="J86" s="5" t="s">
        <v>130</v>
      </c>
      <c r="K86" s="101">
        <f>+K85+Tabla6[[#This Row],[IMPORTE]]</f>
        <v>18402394.450000007</v>
      </c>
      <c r="L86" s="5" t="s">
        <v>208</v>
      </c>
      <c r="M86" s="133" t="s">
        <v>100</v>
      </c>
    </row>
    <row r="87" spans="2:13" x14ac:dyDescent="0.35">
      <c r="B87" s="4" t="s">
        <v>117</v>
      </c>
      <c r="C87" s="104" t="s">
        <v>131</v>
      </c>
      <c r="D87" s="105">
        <v>108388</v>
      </c>
      <c r="E87" s="105">
        <v>404</v>
      </c>
      <c r="F87" s="101">
        <v>38622.480000000003</v>
      </c>
      <c r="G87" s="5" t="s">
        <v>129</v>
      </c>
      <c r="H87" s="105">
        <v>4098</v>
      </c>
      <c r="I87" s="105">
        <v>30717862453</v>
      </c>
      <c r="J87" s="5" t="s">
        <v>130</v>
      </c>
      <c r="K87" s="101">
        <f>+K86+Tabla6[[#This Row],[IMPORTE]]</f>
        <v>18441016.930000007</v>
      </c>
      <c r="L87" s="5" t="s">
        <v>208</v>
      </c>
      <c r="M87" s="133" t="s">
        <v>100</v>
      </c>
    </row>
    <row r="88" spans="2:13" x14ac:dyDescent="0.35">
      <c r="B88" s="4" t="s">
        <v>117</v>
      </c>
      <c r="C88" s="104" t="s">
        <v>131</v>
      </c>
      <c r="D88" s="105">
        <v>121529</v>
      </c>
      <c r="E88" s="105">
        <v>404</v>
      </c>
      <c r="F88" s="101">
        <v>38622.480000000003</v>
      </c>
      <c r="G88" s="5" t="s">
        <v>129</v>
      </c>
      <c r="H88" s="105">
        <v>4098</v>
      </c>
      <c r="I88" s="105">
        <v>30717862453</v>
      </c>
      <c r="J88" s="5" t="s">
        <v>130</v>
      </c>
      <c r="K88" s="101">
        <f>+K87+Tabla6[[#This Row],[IMPORTE]]</f>
        <v>18479639.410000008</v>
      </c>
      <c r="L88" s="5" t="s">
        <v>208</v>
      </c>
      <c r="M88" s="133" t="s">
        <v>100</v>
      </c>
    </row>
    <row r="89" spans="2:13" x14ac:dyDescent="0.35">
      <c r="B89" s="4" t="s">
        <v>117</v>
      </c>
      <c r="C89" s="104" t="s">
        <v>131</v>
      </c>
      <c r="D89" s="105">
        <v>146311</v>
      </c>
      <c r="E89" s="105">
        <v>404</v>
      </c>
      <c r="F89" s="101">
        <v>38622.480000000003</v>
      </c>
      <c r="G89" s="5" t="s">
        <v>129</v>
      </c>
      <c r="H89" s="105">
        <v>4098</v>
      </c>
      <c r="I89" s="105">
        <v>30717862453</v>
      </c>
      <c r="J89" s="5" t="s">
        <v>130</v>
      </c>
      <c r="K89" s="101">
        <f>+K88+Tabla6[[#This Row],[IMPORTE]]</f>
        <v>18518261.890000008</v>
      </c>
      <c r="L89" s="5" t="s">
        <v>208</v>
      </c>
      <c r="M89" s="133" t="s">
        <v>100</v>
      </c>
    </row>
    <row r="90" spans="2:13" x14ac:dyDescent="0.35">
      <c r="B90" s="4" t="s">
        <v>117</v>
      </c>
      <c r="C90" s="104" t="s">
        <v>131</v>
      </c>
      <c r="D90" s="105">
        <v>155703</v>
      </c>
      <c r="E90" s="105">
        <v>404</v>
      </c>
      <c r="F90" s="101">
        <v>38622.480000000003</v>
      </c>
      <c r="G90" s="5" t="s">
        <v>129</v>
      </c>
      <c r="H90" s="105">
        <v>4098</v>
      </c>
      <c r="I90" s="105">
        <v>30717862453</v>
      </c>
      <c r="J90" s="5" t="s">
        <v>130</v>
      </c>
      <c r="K90" s="101">
        <f>+K89+Tabla6[[#This Row],[IMPORTE]]</f>
        <v>18556884.370000008</v>
      </c>
      <c r="L90" s="5" t="s">
        <v>208</v>
      </c>
      <c r="M90" s="133" t="s">
        <v>100</v>
      </c>
    </row>
    <row r="91" spans="2:13" x14ac:dyDescent="0.35">
      <c r="B91" s="4" t="s">
        <v>117</v>
      </c>
      <c r="C91" s="104" t="s">
        <v>131</v>
      </c>
      <c r="D91" s="105">
        <v>165588</v>
      </c>
      <c r="E91" s="105">
        <v>404</v>
      </c>
      <c r="F91" s="101">
        <v>38622.480000000003</v>
      </c>
      <c r="G91" s="5" t="s">
        <v>129</v>
      </c>
      <c r="H91" s="105">
        <v>4098</v>
      </c>
      <c r="I91" s="105">
        <v>30717862453</v>
      </c>
      <c r="J91" s="5" t="s">
        <v>130</v>
      </c>
      <c r="K91" s="101">
        <f>+K90+Tabla6[[#This Row],[IMPORTE]]</f>
        <v>18595506.850000009</v>
      </c>
      <c r="L91" s="5" t="s">
        <v>208</v>
      </c>
      <c r="M91" s="133" t="s">
        <v>100</v>
      </c>
    </row>
    <row r="92" spans="2:13" x14ac:dyDescent="0.35">
      <c r="B92" s="4" t="s">
        <v>117</v>
      </c>
      <c r="C92" s="104" t="s">
        <v>131</v>
      </c>
      <c r="D92" s="105">
        <v>189460</v>
      </c>
      <c r="E92" s="105">
        <v>404</v>
      </c>
      <c r="F92" s="101">
        <v>38622.480000000003</v>
      </c>
      <c r="G92" s="5" t="s">
        <v>129</v>
      </c>
      <c r="H92" s="105">
        <v>4098</v>
      </c>
      <c r="I92" s="105">
        <v>30717862453</v>
      </c>
      <c r="J92" s="5" t="s">
        <v>130</v>
      </c>
      <c r="K92" s="101">
        <f>+K91+Tabla6[[#This Row],[IMPORTE]]</f>
        <v>18634129.330000009</v>
      </c>
      <c r="L92" s="5" t="s">
        <v>208</v>
      </c>
      <c r="M92" s="133" t="s">
        <v>100</v>
      </c>
    </row>
    <row r="93" spans="2:13" x14ac:dyDescent="0.35">
      <c r="B93" s="4" t="s">
        <v>117</v>
      </c>
      <c r="C93" s="104" t="s">
        <v>131</v>
      </c>
      <c r="D93" s="105">
        <v>239181</v>
      </c>
      <c r="E93" s="105">
        <v>404</v>
      </c>
      <c r="F93" s="101">
        <v>38622.480000000003</v>
      </c>
      <c r="G93" s="5" t="s">
        <v>129</v>
      </c>
      <c r="H93" s="105">
        <v>4098</v>
      </c>
      <c r="I93" s="105">
        <v>30717862453</v>
      </c>
      <c r="J93" s="5" t="s">
        <v>130</v>
      </c>
      <c r="K93" s="101">
        <f>+K92+Tabla6[[#This Row],[IMPORTE]]</f>
        <v>18672751.81000001</v>
      </c>
      <c r="L93" s="5" t="s">
        <v>208</v>
      </c>
      <c r="M93" s="133" t="s">
        <v>100</v>
      </c>
    </row>
    <row r="94" spans="2:13" x14ac:dyDescent="0.35">
      <c r="B94" s="4" t="s">
        <v>117</v>
      </c>
      <c r="C94" s="104" t="s">
        <v>131</v>
      </c>
      <c r="D94" s="105">
        <v>260224</v>
      </c>
      <c r="E94" s="105">
        <v>404</v>
      </c>
      <c r="F94" s="101">
        <v>38622.480000000003</v>
      </c>
      <c r="G94" s="5" t="s">
        <v>129</v>
      </c>
      <c r="H94" s="105">
        <v>4098</v>
      </c>
      <c r="I94" s="105">
        <v>30717862453</v>
      </c>
      <c r="J94" s="5" t="s">
        <v>130</v>
      </c>
      <c r="K94" s="101">
        <f>+K93+Tabla6[[#This Row],[IMPORTE]]</f>
        <v>18711374.29000001</v>
      </c>
      <c r="L94" s="5" t="s">
        <v>208</v>
      </c>
      <c r="M94" s="133" t="s">
        <v>100</v>
      </c>
    </row>
    <row r="95" spans="2:13" x14ac:dyDescent="0.35">
      <c r="B95" s="4" t="s">
        <v>117</v>
      </c>
      <c r="C95" s="104" t="s">
        <v>131</v>
      </c>
      <c r="D95" s="105">
        <v>290102</v>
      </c>
      <c r="E95" s="105">
        <v>404</v>
      </c>
      <c r="F95" s="101">
        <v>38622.480000000003</v>
      </c>
      <c r="G95" s="5" t="s">
        <v>129</v>
      </c>
      <c r="H95" s="105">
        <v>4098</v>
      </c>
      <c r="I95" s="105">
        <v>30717862453</v>
      </c>
      <c r="J95" s="5" t="s">
        <v>130</v>
      </c>
      <c r="K95" s="101">
        <f>+K94+Tabla6[[#This Row],[IMPORTE]]</f>
        <v>18749996.770000011</v>
      </c>
      <c r="L95" s="5" t="s">
        <v>208</v>
      </c>
      <c r="M95" s="133" t="s">
        <v>100</v>
      </c>
    </row>
    <row r="96" spans="2:13" x14ac:dyDescent="0.35">
      <c r="B96" s="4" t="s">
        <v>117</v>
      </c>
      <c r="C96" s="104" t="s">
        <v>131</v>
      </c>
      <c r="D96" s="105">
        <v>324221</v>
      </c>
      <c r="E96" s="105">
        <v>404</v>
      </c>
      <c r="F96" s="101">
        <v>38622.480000000003</v>
      </c>
      <c r="G96" s="5" t="s">
        <v>129</v>
      </c>
      <c r="H96" s="105">
        <v>4098</v>
      </c>
      <c r="I96" s="105">
        <v>30717862453</v>
      </c>
      <c r="J96" s="5" t="s">
        <v>130</v>
      </c>
      <c r="K96" s="101">
        <f>+K95+Tabla6[[#This Row],[IMPORTE]]</f>
        <v>18788619.250000011</v>
      </c>
      <c r="L96" s="5" t="s">
        <v>208</v>
      </c>
      <c r="M96" s="133" t="s">
        <v>100</v>
      </c>
    </row>
    <row r="97" spans="2:13" x14ac:dyDescent="0.35">
      <c r="B97" s="4" t="s">
        <v>117</v>
      </c>
      <c r="C97" s="104" t="s">
        <v>131</v>
      </c>
      <c r="D97" s="105">
        <v>346262</v>
      </c>
      <c r="E97" s="105">
        <v>404</v>
      </c>
      <c r="F97" s="101">
        <v>38622.480000000003</v>
      </c>
      <c r="G97" s="5" t="s">
        <v>129</v>
      </c>
      <c r="H97" s="105">
        <v>4098</v>
      </c>
      <c r="I97" s="105">
        <v>30717862453</v>
      </c>
      <c r="J97" s="5" t="s">
        <v>130</v>
      </c>
      <c r="K97" s="101">
        <f>+K96+Tabla6[[#This Row],[IMPORTE]]</f>
        <v>18827241.730000012</v>
      </c>
      <c r="L97" s="5" t="s">
        <v>208</v>
      </c>
      <c r="M97" s="133" t="s">
        <v>100</v>
      </c>
    </row>
    <row r="98" spans="2:13" x14ac:dyDescent="0.35">
      <c r="B98" s="4" t="s">
        <v>117</v>
      </c>
      <c r="C98" s="104" t="s">
        <v>131</v>
      </c>
      <c r="D98" s="105">
        <v>356164</v>
      </c>
      <c r="E98" s="105">
        <v>404</v>
      </c>
      <c r="F98" s="101">
        <v>38622.480000000003</v>
      </c>
      <c r="G98" s="5" t="s">
        <v>129</v>
      </c>
      <c r="H98" s="105">
        <v>4098</v>
      </c>
      <c r="I98" s="105">
        <v>30717862453</v>
      </c>
      <c r="J98" s="5" t="s">
        <v>130</v>
      </c>
      <c r="K98" s="101">
        <f>+K97+Tabla6[[#This Row],[IMPORTE]]</f>
        <v>18865864.210000012</v>
      </c>
      <c r="L98" s="5" t="s">
        <v>208</v>
      </c>
      <c r="M98" s="133" t="s">
        <v>100</v>
      </c>
    </row>
    <row r="99" spans="2:13" x14ac:dyDescent="0.35">
      <c r="B99" s="4" t="s">
        <v>117</v>
      </c>
      <c r="C99" s="104" t="s">
        <v>131</v>
      </c>
      <c r="D99" s="105">
        <v>498203</v>
      </c>
      <c r="E99" s="105">
        <v>404</v>
      </c>
      <c r="F99" s="101">
        <v>38622.480000000003</v>
      </c>
      <c r="G99" s="5" t="s">
        <v>129</v>
      </c>
      <c r="H99" s="105">
        <v>4098</v>
      </c>
      <c r="I99" s="105">
        <v>30717862453</v>
      </c>
      <c r="J99" s="5" t="s">
        <v>130</v>
      </c>
      <c r="K99" s="101">
        <f>+K98+Tabla6[[#This Row],[IMPORTE]]</f>
        <v>18904486.690000013</v>
      </c>
      <c r="L99" s="5" t="s">
        <v>208</v>
      </c>
      <c r="M99" s="133" t="s">
        <v>100</v>
      </c>
    </row>
    <row r="100" spans="2:13" x14ac:dyDescent="0.35">
      <c r="B100" s="4" t="s">
        <v>117</v>
      </c>
      <c r="C100" s="104" t="s">
        <v>131</v>
      </c>
      <c r="D100" s="105">
        <v>502122</v>
      </c>
      <c r="E100" s="105">
        <v>404</v>
      </c>
      <c r="F100" s="101">
        <v>38622.480000000003</v>
      </c>
      <c r="G100" s="5" t="s">
        <v>129</v>
      </c>
      <c r="H100" s="105">
        <v>4098</v>
      </c>
      <c r="I100" s="105">
        <v>30717862453</v>
      </c>
      <c r="J100" s="5" t="s">
        <v>130</v>
      </c>
      <c r="K100" s="101">
        <f>+K99+Tabla6[[#This Row],[IMPORTE]]</f>
        <v>18943109.170000013</v>
      </c>
      <c r="L100" s="5" t="s">
        <v>208</v>
      </c>
      <c r="M100" s="133" t="s">
        <v>100</v>
      </c>
    </row>
    <row r="101" spans="2:13" x14ac:dyDescent="0.35">
      <c r="B101" s="4" t="s">
        <v>117</v>
      </c>
      <c r="C101" s="104" t="s">
        <v>131</v>
      </c>
      <c r="D101" s="105">
        <v>513771</v>
      </c>
      <c r="E101" s="105">
        <v>404</v>
      </c>
      <c r="F101" s="101">
        <v>38622.480000000003</v>
      </c>
      <c r="G101" s="5" t="s">
        <v>129</v>
      </c>
      <c r="H101" s="105">
        <v>4098</v>
      </c>
      <c r="I101" s="105">
        <v>30717862453</v>
      </c>
      <c r="J101" s="5" t="s">
        <v>130</v>
      </c>
      <c r="K101" s="101">
        <f>+K100+Tabla6[[#This Row],[IMPORTE]]</f>
        <v>18981731.650000013</v>
      </c>
      <c r="L101" s="5" t="s">
        <v>208</v>
      </c>
      <c r="M101" s="133" t="s">
        <v>100</v>
      </c>
    </row>
    <row r="102" spans="2:13" x14ac:dyDescent="0.35">
      <c r="B102" s="4" t="s">
        <v>117</v>
      </c>
      <c r="C102" s="104" t="s">
        <v>131</v>
      </c>
      <c r="D102" s="105">
        <v>545334</v>
      </c>
      <c r="E102" s="105">
        <v>404</v>
      </c>
      <c r="F102" s="101">
        <v>38622.480000000003</v>
      </c>
      <c r="G102" s="5" t="s">
        <v>129</v>
      </c>
      <c r="H102" s="105">
        <v>4098</v>
      </c>
      <c r="I102" s="105">
        <v>30717862453</v>
      </c>
      <c r="J102" s="5" t="s">
        <v>130</v>
      </c>
      <c r="K102" s="101">
        <f>+K101+Tabla6[[#This Row],[IMPORTE]]</f>
        <v>19020354.130000014</v>
      </c>
      <c r="L102" s="5" t="s">
        <v>208</v>
      </c>
      <c r="M102" s="133" t="s">
        <v>100</v>
      </c>
    </row>
    <row r="103" spans="2:13" x14ac:dyDescent="0.35">
      <c r="B103" s="4" t="s">
        <v>117</v>
      </c>
      <c r="C103" s="104" t="s">
        <v>131</v>
      </c>
      <c r="D103" s="105">
        <v>559376</v>
      </c>
      <c r="E103" s="105">
        <v>404</v>
      </c>
      <c r="F103" s="101">
        <v>38622.480000000003</v>
      </c>
      <c r="G103" s="5" t="s">
        <v>129</v>
      </c>
      <c r="H103" s="105">
        <v>4098</v>
      </c>
      <c r="I103" s="105">
        <v>30717862453</v>
      </c>
      <c r="J103" s="5" t="s">
        <v>130</v>
      </c>
      <c r="K103" s="101">
        <f>+K102+Tabla6[[#This Row],[IMPORTE]]</f>
        <v>19058976.610000014</v>
      </c>
      <c r="L103" s="5" t="s">
        <v>208</v>
      </c>
      <c r="M103" s="133" t="s">
        <v>100</v>
      </c>
    </row>
    <row r="104" spans="2:13" x14ac:dyDescent="0.35">
      <c r="B104" s="4" t="s">
        <v>117</v>
      </c>
      <c r="C104" s="104" t="s">
        <v>131</v>
      </c>
      <c r="D104" s="105">
        <v>564112</v>
      </c>
      <c r="E104" s="105">
        <v>404</v>
      </c>
      <c r="F104" s="101">
        <v>38622.480000000003</v>
      </c>
      <c r="G104" s="5" t="s">
        <v>129</v>
      </c>
      <c r="H104" s="105">
        <v>4098</v>
      </c>
      <c r="I104" s="105">
        <v>30717862453</v>
      </c>
      <c r="J104" s="5" t="s">
        <v>130</v>
      </c>
      <c r="K104" s="101">
        <f>+K103+Tabla6[[#This Row],[IMPORTE]]</f>
        <v>19097599.090000015</v>
      </c>
      <c r="L104" s="5" t="s">
        <v>208</v>
      </c>
      <c r="M104" s="133" t="s">
        <v>100</v>
      </c>
    </row>
    <row r="105" spans="2:13" x14ac:dyDescent="0.35">
      <c r="B105" s="4" t="s">
        <v>117</v>
      </c>
      <c r="C105" s="104" t="s">
        <v>131</v>
      </c>
      <c r="D105" s="105">
        <v>569235</v>
      </c>
      <c r="E105" s="105">
        <v>404</v>
      </c>
      <c r="F105" s="101">
        <v>38622.480000000003</v>
      </c>
      <c r="G105" s="5" t="s">
        <v>129</v>
      </c>
      <c r="H105" s="105">
        <v>4098</v>
      </c>
      <c r="I105" s="105">
        <v>30717862453</v>
      </c>
      <c r="J105" s="5" t="s">
        <v>130</v>
      </c>
      <c r="K105" s="101">
        <f>+K104+Tabla6[[#This Row],[IMPORTE]]</f>
        <v>19136221.570000015</v>
      </c>
      <c r="L105" s="5" t="s">
        <v>208</v>
      </c>
      <c r="M105" s="133" t="s">
        <v>100</v>
      </c>
    </row>
    <row r="106" spans="2:13" x14ac:dyDescent="0.35">
      <c r="B106" s="4" t="s">
        <v>117</v>
      </c>
      <c r="C106" s="104" t="s">
        <v>131</v>
      </c>
      <c r="D106" s="105">
        <v>589638</v>
      </c>
      <c r="E106" s="105">
        <v>404</v>
      </c>
      <c r="F106" s="101">
        <v>38622.480000000003</v>
      </c>
      <c r="G106" s="5" t="s">
        <v>129</v>
      </c>
      <c r="H106" s="105">
        <v>4098</v>
      </c>
      <c r="I106" s="105">
        <v>30717862453</v>
      </c>
      <c r="J106" s="5" t="s">
        <v>130</v>
      </c>
      <c r="K106" s="101">
        <f>+K105+Tabla6[[#This Row],[IMPORTE]]</f>
        <v>19174844.050000016</v>
      </c>
      <c r="L106" s="5" t="s">
        <v>208</v>
      </c>
      <c r="M106" s="133" t="s">
        <v>100</v>
      </c>
    </row>
    <row r="107" spans="2:13" x14ac:dyDescent="0.35">
      <c r="B107" s="4" t="s">
        <v>117</v>
      </c>
      <c r="C107" s="104" t="s">
        <v>131</v>
      </c>
      <c r="D107" s="105">
        <v>592436</v>
      </c>
      <c r="E107" s="105">
        <v>404</v>
      </c>
      <c r="F107" s="101">
        <v>38622.480000000003</v>
      </c>
      <c r="G107" s="5" t="s">
        <v>129</v>
      </c>
      <c r="H107" s="105">
        <v>4098</v>
      </c>
      <c r="I107" s="105">
        <v>30717862453</v>
      </c>
      <c r="J107" s="5" t="s">
        <v>130</v>
      </c>
      <c r="K107" s="101">
        <f>+K106+Tabla6[[#This Row],[IMPORTE]]</f>
        <v>19213466.530000016</v>
      </c>
      <c r="L107" s="5" t="s">
        <v>208</v>
      </c>
      <c r="M107" s="133" t="s">
        <v>100</v>
      </c>
    </row>
    <row r="108" spans="2:13" x14ac:dyDescent="0.35">
      <c r="B108" s="4" t="s">
        <v>117</v>
      </c>
      <c r="C108" s="104" t="s">
        <v>131</v>
      </c>
      <c r="D108" s="105">
        <v>629204</v>
      </c>
      <c r="E108" s="105">
        <v>404</v>
      </c>
      <c r="F108" s="101">
        <v>38622.480000000003</v>
      </c>
      <c r="G108" s="5" t="s">
        <v>129</v>
      </c>
      <c r="H108" s="105">
        <v>4098</v>
      </c>
      <c r="I108" s="105">
        <v>30717862453</v>
      </c>
      <c r="J108" s="5" t="s">
        <v>130</v>
      </c>
      <c r="K108" s="101">
        <f>+K107+Tabla6[[#This Row],[IMPORTE]]</f>
        <v>19252089.010000017</v>
      </c>
      <c r="L108" s="5" t="s">
        <v>208</v>
      </c>
      <c r="M108" s="133" t="s">
        <v>100</v>
      </c>
    </row>
    <row r="109" spans="2:13" x14ac:dyDescent="0.35">
      <c r="B109" s="4" t="s">
        <v>117</v>
      </c>
      <c r="C109" s="104" t="s">
        <v>131</v>
      </c>
      <c r="D109" s="105">
        <v>664070</v>
      </c>
      <c r="E109" s="105">
        <v>404</v>
      </c>
      <c r="F109" s="101">
        <v>38622.480000000003</v>
      </c>
      <c r="G109" s="5" t="s">
        <v>129</v>
      </c>
      <c r="H109" s="105">
        <v>4098</v>
      </c>
      <c r="I109" s="105">
        <v>30717862453</v>
      </c>
      <c r="J109" s="5" t="s">
        <v>130</v>
      </c>
      <c r="K109" s="101">
        <f>+K108+Tabla6[[#This Row],[IMPORTE]]</f>
        <v>19290711.490000017</v>
      </c>
      <c r="L109" s="5" t="s">
        <v>208</v>
      </c>
      <c r="M109" s="133" t="s">
        <v>100</v>
      </c>
    </row>
    <row r="110" spans="2:13" x14ac:dyDescent="0.35">
      <c r="B110" s="4" t="s">
        <v>117</v>
      </c>
      <c r="C110" s="104" t="s">
        <v>131</v>
      </c>
      <c r="D110" s="105">
        <v>682074</v>
      </c>
      <c r="E110" s="105">
        <v>404</v>
      </c>
      <c r="F110" s="101">
        <v>38622.480000000003</v>
      </c>
      <c r="G110" s="5" t="s">
        <v>129</v>
      </c>
      <c r="H110" s="105">
        <v>4098</v>
      </c>
      <c r="I110" s="105">
        <v>30717862453</v>
      </c>
      <c r="J110" s="5" t="s">
        <v>130</v>
      </c>
      <c r="K110" s="101">
        <f>+K109+Tabla6[[#This Row],[IMPORTE]]</f>
        <v>19329333.970000017</v>
      </c>
      <c r="L110" s="5" t="s">
        <v>208</v>
      </c>
      <c r="M110" s="133" t="s">
        <v>100</v>
      </c>
    </row>
    <row r="111" spans="2:13" x14ac:dyDescent="0.35">
      <c r="B111" s="4" t="s">
        <v>117</v>
      </c>
      <c r="C111" s="104" t="s">
        <v>131</v>
      </c>
      <c r="D111" s="105">
        <v>717398</v>
      </c>
      <c r="E111" s="105">
        <v>404</v>
      </c>
      <c r="F111" s="101">
        <v>38622.480000000003</v>
      </c>
      <c r="G111" s="5" t="s">
        <v>129</v>
      </c>
      <c r="H111" s="105">
        <v>4098</v>
      </c>
      <c r="I111" s="105">
        <v>30717862453</v>
      </c>
      <c r="J111" s="5" t="s">
        <v>130</v>
      </c>
      <c r="K111" s="101">
        <f>+K110+Tabla6[[#This Row],[IMPORTE]]</f>
        <v>19367956.450000018</v>
      </c>
      <c r="L111" s="5" t="s">
        <v>208</v>
      </c>
      <c r="M111" s="133" t="s">
        <v>100</v>
      </c>
    </row>
    <row r="112" spans="2:13" x14ac:dyDescent="0.35">
      <c r="B112" s="4" t="s">
        <v>117</v>
      </c>
      <c r="C112" s="104" t="s">
        <v>131</v>
      </c>
      <c r="D112" s="105">
        <v>727653</v>
      </c>
      <c r="E112" s="105">
        <v>404</v>
      </c>
      <c r="F112" s="101">
        <v>38622.480000000003</v>
      </c>
      <c r="G112" s="5" t="s">
        <v>129</v>
      </c>
      <c r="H112" s="105">
        <v>4098</v>
      </c>
      <c r="I112" s="105">
        <v>30717862453</v>
      </c>
      <c r="J112" s="5" t="s">
        <v>130</v>
      </c>
      <c r="K112" s="101">
        <f>+K111+Tabla6[[#This Row],[IMPORTE]]</f>
        <v>19406578.930000018</v>
      </c>
      <c r="L112" s="5" t="s">
        <v>208</v>
      </c>
      <c r="M112" s="133" t="s">
        <v>100</v>
      </c>
    </row>
    <row r="113" spans="2:13" x14ac:dyDescent="0.35">
      <c r="B113" s="4" t="s">
        <v>117</v>
      </c>
      <c r="C113" s="104" t="s">
        <v>131</v>
      </c>
      <c r="D113" s="105">
        <v>734551</v>
      </c>
      <c r="E113" s="105">
        <v>404</v>
      </c>
      <c r="F113" s="101">
        <v>38622.480000000003</v>
      </c>
      <c r="G113" s="5" t="s">
        <v>129</v>
      </c>
      <c r="H113" s="105">
        <v>4098</v>
      </c>
      <c r="I113" s="105">
        <v>30717862453</v>
      </c>
      <c r="J113" s="5" t="s">
        <v>130</v>
      </c>
      <c r="K113" s="101">
        <f>+K112+Tabla6[[#This Row],[IMPORTE]]</f>
        <v>19445201.410000019</v>
      </c>
      <c r="L113" s="5" t="s">
        <v>208</v>
      </c>
      <c r="M113" s="133" t="s">
        <v>100</v>
      </c>
    </row>
    <row r="114" spans="2:13" x14ac:dyDescent="0.35">
      <c r="B114" s="4" t="s">
        <v>117</v>
      </c>
      <c r="C114" s="104" t="s">
        <v>131</v>
      </c>
      <c r="D114" s="105">
        <v>759599</v>
      </c>
      <c r="E114" s="105">
        <v>404</v>
      </c>
      <c r="F114" s="101">
        <v>38622.480000000003</v>
      </c>
      <c r="G114" s="5" t="s">
        <v>129</v>
      </c>
      <c r="H114" s="105">
        <v>4098</v>
      </c>
      <c r="I114" s="105">
        <v>30717862453</v>
      </c>
      <c r="J114" s="5" t="s">
        <v>130</v>
      </c>
      <c r="K114" s="101">
        <f>+K113+Tabla6[[#This Row],[IMPORTE]]</f>
        <v>19483823.890000019</v>
      </c>
      <c r="L114" s="5" t="s">
        <v>208</v>
      </c>
      <c r="M114" s="133" t="s">
        <v>100</v>
      </c>
    </row>
    <row r="115" spans="2:13" x14ac:dyDescent="0.35">
      <c r="B115" s="4" t="s">
        <v>117</v>
      </c>
      <c r="C115" s="104" t="s">
        <v>131</v>
      </c>
      <c r="D115" s="105">
        <v>764689</v>
      </c>
      <c r="E115" s="105">
        <v>404</v>
      </c>
      <c r="F115" s="101">
        <v>38622.480000000003</v>
      </c>
      <c r="G115" s="5" t="s">
        <v>129</v>
      </c>
      <c r="H115" s="105">
        <v>4098</v>
      </c>
      <c r="I115" s="105">
        <v>30717862453</v>
      </c>
      <c r="J115" s="5" t="s">
        <v>130</v>
      </c>
      <c r="K115" s="101">
        <f>+K114+Tabla6[[#This Row],[IMPORTE]]</f>
        <v>19522446.37000002</v>
      </c>
      <c r="L115" s="5" t="s">
        <v>208</v>
      </c>
      <c r="M115" s="133" t="s">
        <v>100</v>
      </c>
    </row>
    <row r="116" spans="2:13" x14ac:dyDescent="0.35">
      <c r="B116" s="4" t="s">
        <v>117</v>
      </c>
      <c r="C116" s="104" t="s">
        <v>131</v>
      </c>
      <c r="D116" s="105">
        <v>765348</v>
      </c>
      <c r="E116" s="105">
        <v>404</v>
      </c>
      <c r="F116" s="101">
        <v>38622.480000000003</v>
      </c>
      <c r="G116" s="5" t="s">
        <v>129</v>
      </c>
      <c r="H116" s="105">
        <v>4098</v>
      </c>
      <c r="I116" s="105">
        <v>30717862453</v>
      </c>
      <c r="J116" s="5" t="s">
        <v>130</v>
      </c>
      <c r="K116" s="101">
        <f>+K115+Tabla6[[#This Row],[IMPORTE]]</f>
        <v>19561068.85000002</v>
      </c>
      <c r="L116" s="5" t="s">
        <v>208</v>
      </c>
      <c r="M116" s="133" t="s">
        <v>100</v>
      </c>
    </row>
    <row r="117" spans="2:13" x14ac:dyDescent="0.35">
      <c r="B117" s="4" t="s">
        <v>117</v>
      </c>
      <c r="C117" s="104" t="s">
        <v>131</v>
      </c>
      <c r="D117" s="105">
        <v>790342</v>
      </c>
      <c r="E117" s="105">
        <v>404</v>
      </c>
      <c r="F117" s="101">
        <v>38622.480000000003</v>
      </c>
      <c r="G117" s="5" t="s">
        <v>129</v>
      </c>
      <c r="H117" s="105">
        <v>4098</v>
      </c>
      <c r="I117" s="105">
        <v>30717862453</v>
      </c>
      <c r="J117" s="5" t="s">
        <v>130</v>
      </c>
      <c r="K117" s="101">
        <f>+K116+Tabla6[[#This Row],[IMPORTE]]</f>
        <v>19599691.330000021</v>
      </c>
      <c r="L117" s="5" t="s">
        <v>208</v>
      </c>
      <c r="M117" s="133" t="s">
        <v>100</v>
      </c>
    </row>
    <row r="118" spans="2:13" x14ac:dyDescent="0.35">
      <c r="B118" s="4" t="s">
        <v>117</v>
      </c>
      <c r="C118" s="104" t="s">
        <v>131</v>
      </c>
      <c r="D118" s="105">
        <v>806763</v>
      </c>
      <c r="E118" s="105">
        <v>404</v>
      </c>
      <c r="F118" s="101">
        <v>38622.480000000003</v>
      </c>
      <c r="G118" s="5" t="s">
        <v>129</v>
      </c>
      <c r="H118" s="105">
        <v>4098</v>
      </c>
      <c r="I118" s="105">
        <v>30717862453</v>
      </c>
      <c r="J118" s="5" t="s">
        <v>130</v>
      </c>
      <c r="K118" s="101">
        <f>+K117+Tabla6[[#This Row],[IMPORTE]]</f>
        <v>19638313.810000021</v>
      </c>
      <c r="L118" s="5" t="s">
        <v>208</v>
      </c>
      <c r="M118" s="133" t="s">
        <v>100</v>
      </c>
    </row>
    <row r="119" spans="2:13" x14ac:dyDescent="0.35">
      <c r="B119" s="4" t="s">
        <v>117</v>
      </c>
      <c r="C119" s="104" t="s">
        <v>131</v>
      </c>
      <c r="D119" s="105">
        <v>838864</v>
      </c>
      <c r="E119" s="105">
        <v>404</v>
      </c>
      <c r="F119" s="101">
        <v>38622.480000000003</v>
      </c>
      <c r="G119" s="5" t="s">
        <v>129</v>
      </c>
      <c r="H119" s="105">
        <v>4098</v>
      </c>
      <c r="I119" s="105">
        <v>30717862453</v>
      </c>
      <c r="J119" s="5" t="s">
        <v>130</v>
      </c>
      <c r="K119" s="101">
        <f>+K118+Tabla6[[#This Row],[IMPORTE]]</f>
        <v>19676936.290000021</v>
      </c>
      <c r="L119" s="5" t="s">
        <v>208</v>
      </c>
      <c r="M119" s="133" t="s">
        <v>100</v>
      </c>
    </row>
    <row r="120" spans="2:13" x14ac:dyDescent="0.35">
      <c r="B120" s="4" t="s">
        <v>117</v>
      </c>
      <c r="C120" s="104" t="s">
        <v>131</v>
      </c>
      <c r="D120" s="105">
        <v>855400</v>
      </c>
      <c r="E120" s="105">
        <v>404</v>
      </c>
      <c r="F120" s="101">
        <v>38622.480000000003</v>
      </c>
      <c r="G120" s="5" t="s">
        <v>129</v>
      </c>
      <c r="H120" s="105">
        <v>4098</v>
      </c>
      <c r="I120" s="105">
        <v>30717862453</v>
      </c>
      <c r="J120" s="5" t="s">
        <v>130</v>
      </c>
      <c r="K120" s="101">
        <f>+K119+Tabla6[[#This Row],[IMPORTE]]</f>
        <v>19715558.770000022</v>
      </c>
      <c r="L120" s="5" t="s">
        <v>208</v>
      </c>
      <c r="M120" s="133" t="s">
        <v>100</v>
      </c>
    </row>
    <row r="121" spans="2:13" x14ac:dyDescent="0.35">
      <c r="B121" s="4" t="s">
        <v>117</v>
      </c>
      <c r="C121" s="104" t="s">
        <v>131</v>
      </c>
      <c r="D121" s="105">
        <v>889331</v>
      </c>
      <c r="E121" s="105">
        <v>404</v>
      </c>
      <c r="F121" s="101">
        <v>38622.480000000003</v>
      </c>
      <c r="G121" s="5" t="s">
        <v>129</v>
      </c>
      <c r="H121" s="105">
        <v>4098</v>
      </c>
      <c r="I121" s="105">
        <v>30717862453</v>
      </c>
      <c r="J121" s="5" t="s">
        <v>130</v>
      </c>
      <c r="K121" s="101">
        <f>+K120+Tabla6[[#This Row],[IMPORTE]]</f>
        <v>19754181.250000022</v>
      </c>
      <c r="L121" s="5" t="s">
        <v>208</v>
      </c>
      <c r="M121" s="133" t="s">
        <v>100</v>
      </c>
    </row>
    <row r="122" spans="2:13" x14ac:dyDescent="0.35">
      <c r="B122" s="4" t="s">
        <v>117</v>
      </c>
      <c r="C122" s="104" t="s">
        <v>131</v>
      </c>
      <c r="D122" s="105">
        <v>952143</v>
      </c>
      <c r="E122" s="105">
        <v>404</v>
      </c>
      <c r="F122" s="101">
        <v>38622.480000000003</v>
      </c>
      <c r="G122" s="5" t="s">
        <v>129</v>
      </c>
      <c r="H122" s="105">
        <v>4098</v>
      </c>
      <c r="I122" s="105">
        <v>30717862453</v>
      </c>
      <c r="J122" s="5" t="s">
        <v>130</v>
      </c>
      <c r="K122" s="101">
        <f>+K121+Tabla6[[#This Row],[IMPORTE]]</f>
        <v>19792803.730000023</v>
      </c>
      <c r="L122" s="5" t="s">
        <v>208</v>
      </c>
      <c r="M122" s="133" t="s">
        <v>100</v>
      </c>
    </row>
    <row r="123" spans="2:13" x14ac:dyDescent="0.35">
      <c r="B123" s="4" t="s">
        <v>117</v>
      </c>
      <c r="C123" s="104" t="s">
        <v>131</v>
      </c>
      <c r="D123" s="105">
        <v>985316</v>
      </c>
      <c r="E123" s="105">
        <v>404</v>
      </c>
      <c r="F123" s="101">
        <v>38622.480000000003</v>
      </c>
      <c r="G123" s="5" t="s">
        <v>129</v>
      </c>
      <c r="H123" s="105">
        <v>4098</v>
      </c>
      <c r="I123" s="105">
        <v>30717862453</v>
      </c>
      <c r="J123" s="5" t="s">
        <v>130</v>
      </c>
      <c r="K123" s="101">
        <f>+K122+Tabla6[[#This Row],[IMPORTE]]</f>
        <v>19831426.210000023</v>
      </c>
      <c r="L123" s="5" t="s">
        <v>208</v>
      </c>
      <c r="M123" s="133" t="s">
        <v>100</v>
      </c>
    </row>
    <row r="124" spans="2:13" x14ac:dyDescent="0.35">
      <c r="B124" s="4" t="s">
        <v>117</v>
      </c>
      <c r="C124" s="104" t="s">
        <v>131</v>
      </c>
      <c r="D124" s="105">
        <v>987987</v>
      </c>
      <c r="E124" s="105">
        <v>404</v>
      </c>
      <c r="F124" s="101">
        <v>38622.480000000003</v>
      </c>
      <c r="G124" s="5" t="s">
        <v>129</v>
      </c>
      <c r="H124" s="105">
        <v>4098</v>
      </c>
      <c r="I124" s="105">
        <v>30717862453</v>
      </c>
      <c r="J124" s="5" t="s">
        <v>130</v>
      </c>
      <c r="K124" s="101">
        <f>+K123+Tabla6[[#This Row],[IMPORTE]]</f>
        <v>19870048.690000024</v>
      </c>
      <c r="L124" s="5" t="s">
        <v>208</v>
      </c>
      <c r="M124" s="133" t="s">
        <v>100</v>
      </c>
    </row>
    <row r="125" spans="2:13" x14ac:dyDescent="0.35">
      <c r="B125" s="4" t="s">
        <v>117</v>
      </c>
      <c r="C125" s="104" t="s">
        <v>131</v>
      </c>
      <c r="D125" s="105">
        <v>198968</v>
      </c>
      <c r="E125" s="105">
        <v>404</v>
      </c>
      <c r="F125" s="101">
        <v>51496.639999999999</v>
      </c>
      <c r="G125" s="5" t="s">
        <v>129</v>
      </c>
      <c r="H125" s="105">
        <v>4098</v>
      </c>
      <c r="I125" s="105">
        <v>30717862453</v>
      </c>
      <c r="J125" s="5" t="s">
        <v>130</v>
      </c>
      <c r="K125" s="101">
        <f>+K124+Tabla6[[#This Row],[IMPORTE]]</f>
        <v>19921545.330000024</v>
      </c>
      <c r="L125" s="5" t="s">
        <v>208</v>
      </c>
      <c r="M125" s="133" t="s">
        <v>100</v>
      </c>
    </row>
    <row r="126" spans="2:13" x14ac:dyDescent="0.35">
      <c r="B126" s="4" t="s">
        <v>117</v>
      </c>
      <c r="C126" s="104" t="s">
        <v>131</v>
      </c>
      <c r="D126" s="105">
        <v>353717</v>
      </c>
      <c r="E126" s="105">
        <v>404</v>
      </c>
      <c r="F126" s="101">
        <v>51496.639999999999</v>
      </c>
      <c r="G126" s="5" t="s">
        <v>129</v>
      </c>
      <c r="H126" s="105">
        <v>4098</v>
      </c>
      <c r="I126" s="105">
        <v>30717862453</v>
      </c>
      <c r="J126" s="5" t="s">
        <v>130</v>
      </c>
      <c r="K126" s="101">
        <f>+K125+Tabla6[[#This Row],[IMPORTE]]</f>
        <v>19973041.970000025</v>
      </c>
      <c r="L126" s="5" t="s">
        <v>208</v>
      </c>
      <c r="M126" s="133" t="s">
        <v>100</v>
      </c>
    </row>
    <row r="127" spans="2:13" x14ac:dyDescent="0.35">
      <c r="B127" s="4" t="s">
        <v>117</v>
      </c>
      <c r="C127" s="104" t="s">
        <v>131</v>
      </c>
      <c r="D127" s="105">
        <v>376819</v>
      </c>
      <c r="E127" s="105">
        <v>404</v>
      </c>
      <c r="F127" s="101">
        <v>51496.639999999999</v>
      </c>
      <c r="G127" s="5" t="s">
        <v>129</v>
      </c>
      <c r="H127" s="105">
        <v>4098</v>
      </c>
      <c r="I127" s="105">
        <v>30717862453</v>
      </c>
      <c r="J127" s="5" t="s">
        <v>130</v>
      </c>
      <c r="K127" s="101">
        <f>+K126+Tabla6[[#This Row],[IMPORTE]]</f>
        <v>20024538.610000025</v>
      </c>
      <c r="L127" s="5" t="s">
        <v>208</v>
      </c>
      <c r="M127" s="133" t="s">
        <v>100</v>
      </c>
    </row>
    <row r="128" spans="2:13" x14ac:dyDescent="0.35">
      <c r="B128" s="4" t="s">
        <v>117</v>
      </c>
      <c r="C128" s="104" t="s">
        <v>131</v>
      </c>
      <c r="D128" s="105">
        <v>405995</v>
      </c>
      <c r="E128" s="105">
        <v>404</v>
      </c>
      <c r="F128" s="101">
        <v>51496.639999999999</v>
      </c>
      <c r="G128" s="5" t="s">
        <v>129</v>
      </c>
      <c r="H128" s="105">
        <v>4098</v>
      </c>
      <c r="I128" s="105">
        <v>30717862453</v>
      </c>
      <c r="J128" s="5" t="s">
        <v>130</v>
      </c>
      <c r="K128" s="101">
        <f>+K127+Tabla6[[#This Row],[IMPORTE]]</f>
        <v>20076035.250000026</v>
      </c>
      <c r="L128" s="5" t="s">
        <v>208</v>
      </c>
      <c r="M128" s="133" t="s">
        <v>100</v>
      </c>
    </row>
    <row r="129" spans="2:13" x14ac:dyDescent="0.35">
      <c r="B129" s="4" t="s">
        <v>117</v>
      </c>
      <c r="C129" s="104" t="s">
        <v>131</v>
      </c>
      <c r="D129" s="105">
        <v>421556</v>
      </c>
      <c r="E129" s="105">
        <v>404</v>
      </c>
      <c r="F129" s="101">
        <v>51496.639999999999</v>
      </c>
      <c r="G129" s="5" t="s">
        <v>129</v>
      </c>
      <c r="H129" s="105">
        <v>4098</v>
      </c>
      <c r="I129" s="105">
        <v>30717862453</v>
      </c>
      <c r="J129" s="5" t="s">
        <v>130</v>
      </c>
      <c r="K129" s="101">
        <f>+K128+Tabla6[[#This Row],[IMPORTE]]</f>
        <v>20127531.890000027</v>
      </c>
      <c r="L129" s="5" t="s">
        <v>208</v>
      </c>
      <c r="M129" s="133" t="s">
        <v>100</v>
      </c>
    </row>
    <row r="130" spans="2:13" x14ac:dyDescent="0.35">
      <c r="B130" s="4" t="s">
        <v>117</v>
      </c>
      <c r="C130" s="104" t="s">
        <v>131</v>
      </c>
      <c r="D130" s="105">
        <v>493859</v>
      </c>
      <c r="E130" s="105">
        <v>404</v>
      </c>
      <c r="F130" s="101">
        <v>51496.639999999999</v>
      </c>
      <c r="G130" s="5" t="s">
        <v>129</v>
      </c>
      <c r="H130" s="105">
        <v>4098</v>
      </c>
      <c r="I130" s="105">
        <v>30717862453</v>
      </c>
      <c r="J130" s="5" t="s">
        <v>130</v>
      </c>
      <c r="K130" s="101">
        <f>+K129+Tabla6[[#This Row],[IMPORTE]]</f>
        <v>20179028.530000027</v>
      </c>
      <c r="L130" s="5" t="s">
        <v>208</v>
      </c>
      <c r="M130" s="133" t="s">
        <v>100</v>
      </c>
    </row>
    <row r="131" spans="2:13" x14ac:dyDescent="0.35">
      <c r="B131" s="4" t="s">
        <v>117</v>
      </c>
      <c r="C131" s="104" t="s">
        <v>131</v>
      </c>
      <c r="D131" s="105">
        <v>642769</v>
      </c>
      <c r="E131" s="105">
        <v>404</v>
      </c>
      <c r="F131" s="101">
        <v>51496.639999999999</v>
      </c>
      <c r="G131" s="5" t="s">
        <v>129</v>
      </c>
      <c r="H131" s="105">
        <v>4098</v>
      </c>
      <c r="I131" s="105">
        <v>30717862453</v>
      </c>
      <c r="J131" s="5" t="s">
        <v>130</v>
      </c>
      <c r="K131" s="101">
        <f>+K130+Tabla6[[#This Row],[IMPORTE]]</f>
        <v>20230525.170000028</v>
      </c>
      <c r="L131" s="5" t="s">
        <v>208</v>
      </c>
      <c r="M131" s="133" t="s">
        <v>100</v>
      </c>
    </row>
    <row r="132" spans="2:13" x14ac:dyDescent="0.35">
      <c r="B132" s="4" t="s">
        <v>117</v>
      </c>
      <c r="C132" s="104" t="s">
        <v>131</v>
      </c>
      <c r="D132" s="105">
        <v>780496</v>
      </c>
      <c r="E132" s="105">
        <v>404</v>
      </c>
      <c r="F132" s="101">
        <v>51496.639999999999</v>
      </c>
      <c r="G132" s="5" t="s">
        <v>129</v>
      </c>
      <c r="H132" s="105">
        <v>4098</v>
      </c>
      <c r="I132" s="105">
        <v>30717862453</v>
      </c>
      <c r="J132" s="5" t="s">
        <v>130</v>
      </c>
      <c r="K132" s="101">
        <f>+K131+Tabla6[[#This Row],[IMPORTE]]</f>
        <v>20282021.810000028</v>
      </c>
      <c r="L132" s="5" t="s">
        <v>208</v>
      </c>
      <c r="M132" s="133" t="s">
        <v>100</v>
      </c>
    </row>
    <row r="133" spans="2:13" x14ac:dyDescent="0.35">
      <c r="B133" s="4" t="s">
        <v>117</v>
      </c>
      <c r="C133" s="104" t="s">
        <v>131</v>
      </c>
      <c r="D133" s="105">
        <v>828760</v>
      </c>
      <c r="E133" s="105">
        <v>404</v>
      </c>
      <c r="F133" s="101">
        <v>51496.639999999999</v>
      </c>
      <c r="G133" s="5" t="s">
        <v>129</v>
      </c>
      <c r="H133" s="105">
        <v>4098</v>
      </c>
      <c r="I133" s="105">
        <v>30717862453</v>
      </c>
      <c r="J133" s="5" t="s">
        <v>130</v>
      </c>
      <c r="K133" s="101">
        <f>+K132+Tabla6[[#This Row],[IMPORTE]]</f>
        <v>20333518.450000029</v>
      </c>
      <c r="L133" s="5" t="s">
        <v>208</v>
      </c>
      <c r="M133" s="133" t="s">
        <v>100</v>
      </c>
    </row>
    <row r="134" spans="2:13" x14ac:dyDescent="0.35">
      <c r="B134" s="4" t="s">
        <v>117</v>
      </c>
      <c r="C134" s="104" t="s">
        <v>131</v>
      </c>
      <c r="D134" s="105">
        <v>24087</v>
      </c>
      <c r="E134" s="105">
        <v>404</v>
      </c>
      <c r="F134" s="101">
        <v>77244.960000000006</v>
      </c>
      <c r="G134" s="5" t="s">
        <v>129</v>
      </c>
      <c r="H134" s="105">
        <v>4098</v>
      </c>
      <c r="I134" s="105">
        <v>30717862453</v>
      </c>
      <c r="J134" s="5" t="s">
        <v>130</v>
      </c>
      <c r="K134" s="101">
        <f>+K133+Tabla6[[#This Row],[IMPORTE]]</f>
        <v>20410763.41000003</v>
      </c>
      <c r="L134" s="5" t="s">
        <v>208</v>
      </c>
      <c r="M134" s="133" t="s">
        <v>100</v>
      </c>
    </row>
    <row r="135" spans="2:13" x14ac:dyDescent="0.35">
      <c r="B135" s="4" t="s">
        <v>117</v>
      </c>
      <c r="C135" s="104" t="s">
        <v>131</v>
      </c>
      <c r="D135" s="105">
        <v>64697</v>
      </c>
      <c r="E135" s="105">
        <v>404</v>
      </c>
      <c r="F135" s="101">
        <v>77244.960000000006</v>
      </c>
      <c r="G135" s="5" t="s">
        <v>129</v>
      </c>
      <c r="H135" s="105">
        <v>4098</v>
      </c>
      <c r="I135" s="105">
        <v>30717862453</v>
      </c>
      <c r="J135" s="5" t="s">
        <v>130</v>
      </c>
      <c r="K135" s="101">
        <f>+K134+Tabla6[[#This Row],[IMPORTE]]</f>
        <v>20488008.370000031</v>
      </c>
      <c r="L135" s="5" t="s">
        <v>208</v>
      </c>
      <c r="M135" s="133" t="s">
        <v>100</v>
      </c>
    </row>
    <row r="136" spans="2:13" x14ac:dyDescent="0.35">
      <c r="B136" s="4" t="s">
        <v>117</v>
      </c>
      <c r="C136" s="104" t="s">
        <v>131</v>
      </c>
      <c r="D136" s="105">
        <v>209276</v>
      </c>
      <c r="E136" s="105">
        <v>404</v>
      </c>
      <c r="F136" s="101">
        <v>102993.28</v>
      </c>
      <c r="G136" s="5" t="s">
        <v>129</v>
      </c>
      <c r="H136" s="105">
        <v>4098</v>
      </c>
      <c r="I136" s="105">
        <v>30717862453</v>
      </c>
      <c r="J136" s="5" t="s">
        <v>130</v>
      </c>
      <c r="K136" s="101">
        <f>+K135+Tabla6[[#This Row],[IMPORTE]]</f>
        <v>20591001.650000032</v>
      </c>
      <c r="L136" s="5" t="s">
        <v>208</v>
      </c>
      <c r="M136" s="133" t="s">
        <v>100</v>
      </c>
    </row>
    <row r="137" spans="2:13" x14ac:dyDescent="0.35">
      <c r="B137" s="134" t="s">
        <v>104</v>
      </c>
      <c r="C137" s="113" t="s">
        <v>131</v>
      </c>
      <c r="D137" s="114">
        <v>227230</v>
      </c>
      <c r="E137" s="114">
        <v>404</v>
      </c>
      <c r="F137" s="115">
        <v>128427</v>
      </c>
      <c r="G137" s="116" t="s">
        <v>106</v>
      </c>
      <c r="H137" s="114">
        <v>183</v>
      </c>
      <c r="I137" s="128" t="s">
        <v>107</v>
      </c>
      <c r="J137" s="116" t="s">
        <v>110</v>
      </c>
      <c r="K137" s="115">
        <f>+K136+Tabla6[[#This Row],[IMPORTE]]</f>
        <v>20719428.650000032</v>
      </c>
      <c r="L137" s="125" t="s">
        <v>195</v>
      </c>
      <c r="M137" s="118" t="s">
        <v>85</v>
      </c>
    </row>
    <row r="138" spans="2:13" x14ac:dyDescent="0.35">
      <c r="B138" s="134" t="s">
        <v>104</v>
      </c>
      <c r="C138" s="113" t="s">
        <v>131</v>
      </c>
      <c r="D138" s="114">
        <v>227232</v>
      </c>
      <c r="E138" s="114">
        <v>404</v>
      </c>
      <c r="F138" s="115">
        <v>133564.07999999999</v>
      </c>
      <c r="G138" s="116" t="s">
        <v>106</v>
      </c>
      <c r="H138" s="114">
        <v>183</v>
      </c>
      <c r="I138" s="128" t="s">
        <v>107</v>
      </c>
      <c r="J138" s="116" t="s">
        <v>115</v>
      </c>
      <c r="K138" s="115">
        <f>+K137+Tabla6[[#This Row],[IMPORTE]]</f>
        <v>20852992.73000003</v>
      </c>
      <c r="L138" s="125" t="s">
        <v>195</v>
      </c>
      <c r="M138" s="118" t="s">
        <v>85</v>
      </c>
    </row>
    <row r="139" spans="2:13" x14ac:dyDescent="0.35">
      <c r="B139" s="4" t="s">
        <v>117</v>
      </c>
      <c r="C139" s="104" t="s">
        <v>131</v>
      </c>
      <c r="D139" s="105">
        <v>131</v>
      </c>
      <c r="E139" s="105">
        <v>811</v>
      </c>
      <c r="F139" s="101">
        <v>153256.4</v>
      </c>
      <c r="G139" s="5" t="s">
        <v>118</v>
      </c>
      <c r="H139" s="105">
        <v>4151</v>
      </c>
      <c r="I139" s="70" t="s">
        <v>107</v>
      </c>
      <c r="J139" s="5" t="s">
        <v>119</v>
      </c>
      <c r="K139" s="101">
        <f>+K138+Tabla6[[#This Row],[IMPORTE]]</f>
        <v>21006249.130000029</v>
      </c>
      <c r="L139" s="5" t="s">
        <v>210</v>
      </c>
      <c r="M139" s="133" t="s">
        <v>100</v>
      </c>
    </row>
    <row r="140" spans="2:13" x14ac:dyDescent="0.35">
      <c r="B140" s="134" t="s">
        <v>104</v>
      </c>
      <c r="C140" s="113" t="s">
        <v>131</v>
      </c>
      <c r="D140" s="114">
        <v>227236</v>
      </c>
      <c r="E140" s="114">
        <v>404</v>
      </c>
      <c r="F140" s="115">
        <v>160999.85</v>
      </c>
      <c r="G140" s="116" t="s">
        <v>106</v>
      </c>
      <c r="H140" s="114">
        <v>183</v>
      </c>
      <c r="I140" s="128" t="s">
        <v>107</v>
      </c>
      <c r="J140" s="116" t="s">
        <v>113</v>
      </c>
      <c r="K140" s="115">
        <f>+K139+Tabla6[[#This Row],[IMPORTE]]</f>
        <v>21167248.98000003</v>
      </c>
      <c r="L140" s="125" t="s">
        <v>195</v>
      </c>
      <c r="M140" s="118" t="s">
        <v>85</v>
      </c>
    </row>
    <row r="141" spans="2:13" x14ac:dyDescent="0.35">
      <c r="B141" s="4" t="s">
        <v>117</v>
      </c>
      <c r="C141" s="104" t="s">
        <v>131</v>
      </c>
      <c r="D141" s="105">
        <v>31813</v>
      </c>
      <c r="E141" s="105">
        <v>404</v>
      </c>
      <c r="F141" s="101">
        <v>161287.48000000001</v>
      </c>
      <c r="G141" s="5" t="s">
        <v>129</v>
      </c>
      <c r="H141" s="105">
        <v>4098</v>
      </c>
      <c r="I141" s="105">
        <v>30717862453</v>
      </c>
      <c r="J141" s="5" t="s">
        <v>130</v>
      </c>
      <c r="K141" s="101">
        <f>+K140+Tabla6[[#This Row],[IMPORTE]]</f>
        <v>21328536.460000031</v>
      </c>
      <c r="L141" s="5" t="s">
        <v>208</v>
      </c>
      <c r="M141" s="133" t="s">
        <v>100</v>
      </c>
    </row>
    <row r="142" spans="2:13" x14ac:dyDescent="0.35">
      <c r="B142" s="4" t="s">
        <v>117</v>
      </c>
      <c r="C142" s="104" t="s">
        <v>131</v>
      </c>
      <c r="D142" s="105">
        <v>132899</v>
      </c>
      <c r="E142" s="105">
        <v>404</v>
      </c>
      <c r="F142" s="101">
        <v>163513.56</v>
      </c>
      <c r="G142" s="5" t="s">
        <v>129</v>
      </c>
      <c r="H142" s="105">
        <v>4098</v>
      </c>
      <c r="I142" s="105">
        <v>30717862453</v>
      </c>
      <c r="J142" s="5" t="s">
        <v>130</v>
      </c>
      <c r="K142" s="101">
        <f>+K141+Tabla6[[#This Row],[IMPORTE]]</f>
        <v>21492050.020000029</v>
      </c>
      <c r="L142" s="5" t="s">
        <v>208</v>
      </c>
      <c r="M142" s="133" t="s">
        <v>100</v>
      </c>
    </row>
    <row r="143" spans="2:13" x14ac:dyDescent="0.35">
      <c r="B143" s="4" t="s">
        <v>104</v>
      </c>
      <c r="C143" s="104" t="s">
        <v>131</v>
      </c>
      <c r="D143" s="105">
        <v>227229</v>
      </c>
      <c r="E143" s="105">
        <v>404</v>
      </c>
      <c r="F143" s="101">
        <v>183289.23</v>
      </c>
      <c r="G143" s="5" t="s">
        <v>106</v>
      </c>
      <c r="H143" s="105">
        <v>183</v>
      </c>
      <c r="I143" s="70" t="s">
        <v>107</v>
      </c>
      <c r="J143" s="5" t="s">
        <v>112</v>
      </c>
      <c r="K143" s="101">
        <f>+K142+Tabla6[[#This Row],[IMPORTE]]</f>
        <v>21675339.25000003</v>
      </c>
      <c r="L143" s="5" t="s">
        <v>207</v>
      </c>
      <c r="M143" s="133" t="s">
        <v>100</v>
      </c>
    </row>
    <row r="144" spans="2:13" x14ac:dyDescent="0.35">
      <c r="B144" s="4" t="s">
        <v>117</v>
      </c>
      <c r="C144" s="104" t="s">
        <v>131</v>
      </c>
      <c r="D144" s="105">
        <v>291079</v>
      </c>
      <c r="E144" s="105">
        <v>404</v>
      </c>
      <c r="F144" s="101">
        <v>215049.96</v>
      </c>
      <c r="G144" s="5" t="s">
        <v>129</v>
      </c>
      <c r="H144" s="105">
        <v>4098</v>
      </c>
      <c r="I144" s="105">
        <v>30717862453</v>
      </c>
      <c r="J144" s="5" t="s">
        <v>130</v>
      </c>
      <c r="K144" s="101">
        <f>+K143+Tabla6[[#This Row],[IMPORTE]]</f>
        <v>21890389.210000031</v>
      </c>
      <c r="L144" s="5" t="s">
        <v>208</v>
      </c>
      <c r="M144" s="133" t="s">
        <v>100</v>
      </c>
    </row>
    <row r="145" spans="2:13" x14ac:dyDescent="0.35">
      <c r="B145" s="134" t="s">
        <v>104</v>
      </c>
      <c r="C145" s="113" t="s">
        <v>131</v>
      </c>
      <c r="D145" s="114">
        <v>227234</v>
      </c>
      <c r="E145" s="114">
        <v>404</v>
      </c>
      <c r="F145" s="115">
        <v>222915.58</v>
      </c>
      <c r="G145" s="116" t="s">
        <v>106</v>
      </c>
      <c r="H145" s="114">
        <v>183</v>
      </c>
      <c r="I145" s="128" t="s">
        <v>107</v>
      </c>
      <c r="J145" s="116" t="s">
        <v>109</v>
      </c>
      <c r="K145" s="115">
        <f>+K144+Tabla6[[#This Row],[IMPORTE]]</f>
        <v>22113304.790000029</v>
      </c>
      <c r="L145" s="125" t="s">
        <v>195</v>
      </c>
      <c r="M145" s="118" t="s">
        <v>85</v>
      </c>
    </row>
    <row r="146" spans="2:13" x14ac:dyDescent="0.35">
      <c r="B146" s="4" t="s">
        <v>104</v>
      </c>
      <c r="C146" s="104" t="s">
        <v>131</v>
      </c>
      <c r="D146" s="105">
        <v>227231</v>
      </c>
      <c r="E146" s="105">
        <v>404</v>
      </c>
      <c r="F146" s="101">
        <v>268000.25</v>
      </c>
      <c r="G146" s="5" t="s">
        <v>106</v>
      </c>
      <c r="H146" s="105">
        <v>183</v>
      </c>
      <c r="I146" s="70" t="s">
        <v>107</v>
      </c>
      <c r="J146" s="5" t="s">
        <v>115</v>
      </c>
      <c r="K146" s="101">
        <f>+K145+Tabla6[[#This Row],[IMPORTE]]</f>
        <v>22381305.040000029</v>
      </c>
      <c r="L146" s="5" t="s">
        <v>207</v>
      </c>
      <c r="M146" s="133" t="s">
        <v>100</v>
      </c>
    </row>
    <row r="147" spans="2:13" x14ac:dyDescent="0.35">
      <c r="B147" s="4" t="s">
        <v>104</v>
      </c>
      <c r="C147" s="104" t="s">
        <v>131</v>
      </c>
      <c r="D147" s="105">
        <v>227210</v>
      </c>
      <c r="E147" s="105">
        <v>404</v>
      </c>
      <c r="F147" s="101">
        <v>508941.36</v>
      </c>
      <c r="G147" s="5" t="s">
        <v>106</v>
      </c>
      <c r="H147" s="105">
        <v>183</v>
      </c>
      <c r="I147" s="70" t="s">
        <v>107</v>
      </c>
      <c r="J147" s="5" t="s">
        <v>111</v>
      </c>
      <c r="K147" s="101">
        <f>+K146+Tabla6[[#This Row],[IMPORTE]]</f>
        <v>22890246.400000028</v>
      </c>
      <c r="L147" s="5" t="s">
        <v>207</v>
      </c>
      <c r="M147" s="133" t="s">
        <v>100</v>
      </c>
    </row>
    <row r="148" spans="2:13" x14ac:dyDescent="0.35">
      <c r="B148" s="4" t="s">
        <v>132</v>
      </c>
      <c r="C148" s="104" t="s">
        <v>131</v>
      </c>
      <c r="D148" s="105">
        <v>401725</v>
      </c>
      <c r="E148" s="105">
        <v>404</v>
      </c>
      <c r="F148" s="101">
        <v>-38622.480000000003</v>
      </c>
      <c r="G148" s="5" t="s">
        <v>133</v>
      </c>
      <c r="H148" s="105">
        <v>4100</v>
      </c>
      <c r="I148" s="105">
        <v>30692264785</v>
      </c>
      <c r="J148" s="5" t="s">
        <v>127</v>
      </c>
      <c r="K148" s="101">
        <f>+K147+Tabla6[[#This Row],[IMPORTE]]</f>
        <v>22851623.920000028</v>
      </c>
      <c r="L148" s="5" t="s">
        <v>208</v>
      </c>
      <c r="M148" s="133" t="s">
        <v>100</v>
      </c>
    </row>
    <row r="149" spans="2:13" x14ac:dyDescent="0.35">
      <c r="B149" s="4" t="s">
        <v>117</v>
      </c>
      <c r="C149" s="104" t="s">
        <v>134</v>
      </c>
      <c r="D149" s="105">
        <v>936211</v>
      </c>
      <c r="E149" s="105">
        <v>404</v>
      </c>
      <c r="F149" s="101">
        <v>5489.59</v>
      </c>
      <c r="G149" s="5" t="s">
        <v>129</v>
      </c>
      <c r="H149" s="105">
        <v>4098</v>
      </c>
      <c r="I149" s="105">
        <v>30717862453</v>
      </c>
      <c r="J149" s="5" t="s">
        <v>130</v>
      </c>
      <c r="K149" s="101">
        <f>+K148+Tabla6[[#This Row],[IMPORTE]]</f>
        <v>22857113.510000028</v>
      </c>
      <c r="L149" s="5" t="s">
        <v>211</v>
      </c>
      <c r="M149" s="133" t="s">
        <v>100</v>
      </c>
    </row>
    <row r="150" spans="2:13" x14ac:dyDescent="0.35">
      <c r="B150" s="4" t="s">
        <v>117</v>
      </c>
      <c r="C150" s="104" t="s">
        <v>134</v>
      </c>
      <c r="D150" s="105">
        <v>357568</v>
      </c>
      <c r="E150" s="105">
        <v>404</v>
      </c>
      <c r="F150" s="101">
        <v>6651.49</v>
      </c>
      <c r="G150" s="5" t="s">
        <v>129</v>
      </c>
      <c r="H150" s="105">
        <v>4098</v>
      </c>
      <c r="I150" s="105">
        <v>30717862453</v>
      </c>
      <c r="J150" s="5" t="s">
        <v>130</v>
      </c>
      <c r="K150" s="101">
        <f>+K149+Tabla6[[#This Row],[IMPORTE]]</f>
        <v>22863765.000000026</v>
      </c>
      <c r="L150" s="5" t="s">
        <v>211</v>
      </c>
      <c r="M150" s="133" t="s">
        <v>100</v>
      </c>
    </row>
    <row r="151" spans="2:13" x14ac:dyDescent="0.35">
      <c r="B151" s="4" t="s">
        <v>117</v>
      </c>
      <c r="C151" s="104" t="s">
        <v>134</v>
      </c>
      <c r="D151" s="105">
        <v>207637</v>
      </c>
      <c r="E151" s="105">
        <v>404</v>
      </c>
      <c r="F151" s="101">
        <v>12303.34</v>
      </c>
      <c r="G151" s="5" t="s">
        <v>129</v>
      </c>
      <c r="H151" s="105">
        <v>4098</v>
      </c>
      <c r="I151" s="105">
        <v>30717862453</v>
      </c>
      <c r="J151" s="5" t="s">
        <v>130</v>
      </c>
      <c r="K151" s="101">
        <f>+K150+Tabla6[[#This Row],[IMPORTE]]</f>
        <v>22876068.340000026</v>
      </c>
      <c r="L151" s="5" t="s">
        <v>211</v>
      </c>
      <c r="M151" s="133" t="s">
        <v>100</v>
      </c>
    </row>
    <row r="152" spans="2:13" x14ac:dyDescent="0.35">
      <c r="B152" s="4" t="s">
        <v>117</v>
      </c>
      <c r="C152" s="104" t="s">
        <v>134</v>
      </c>
      <c r="D152" s="105">
        <v>976407</v>
      </c>
      <c r="E152" s="105">
        <v>404</v>
      </c>
      <c r="F152" s="101">
        <v>13368.13</v>
      </c>
      <c r="G152" s="5" t="s">
        <v>129</v>
      </c>
      <c r="H152" s="105">
        <v>4098</v>
      </c>
      <c r="I152" s="105">
        <v>30717862453</v>
      </c>
      <c r="J152" s="5" t="s">
        <v>130</v>
      </c>
      <c r="K152" s="101">
        <f>+K151+Tabla6[[#This Row],[IMPORTE]]</f>
        <v>22889436.470000025</v>
      </c>
      <c r="L152" s="5" t="s">
        <v>211</v>
      </c>
      <c r="M152" s="133" t="s">
        <v>100</v>
      </c>
    </row>
    <row r="153" spans="2:13" x14ac:dyDescent="0.35">
      <c r="B153" s="4" t="s">
        <v>117</v>
      </c>
      <c r="C153" s="104" t="s">
        <v>134</v>
      </c>
      <c r="D153" s="105">
        <v>782949</v>
      </c>
      <c r="E153" s="105">
        <v>404</v>
      </c>
      <c r="F153" s="101">
        <v>13492.91</v>
      </c>
      <c r="G153" s="5" t="s">
        <v>129</v>
      </c>
      <c r="H153" s="105">
        <v>4098</v>
      </c>
      <c r="I153" s="105">
        <v>30717862453</v>
      </c>
      <c r="J153" s="5" t="s">
        <v>130</v>
      </c>
      <c r="K153" s="101">
        <f>+K152+Tabla6[[#This Row],[IMPORTE]]</f>
        <v>22902929.380000025</v>
      </c>
      <c r="L153" s="5" t="s">
        <v>211</v>
      </c>
      <c r="M153" s="133" t="s">
        <v>100</v>
      </c>
    </row>
    <row r="154" spans="2:13" x14ac:dyDescent="0.35">
      <c r="B154" s="4" t="s">
        <v>117</v>
      </c>
      <c r="C154" s="104" t="s">
        <v>134</v>
      </c>
      <c r="D154" s="105">
        <v>651117</v>
      </c>
      <c r="E154" s="105">
        <v>404</v>
      </c>
      <c r="F154" s="101">
        <v>14251.3</v>
      </c>
      <c r="G154" s="5" t="s">
        <v>129</v>
      </c>
      <c r="H154" s="105">
        <v>4098</v>
      </c>
      <c r="I154" s="105">
        <v>30717862453</v>
      </c>
      <c r="J154" s="5" t="s">
        <v>130</v>
      </c>
      <c r="K154" s="101">
        <f>+K153+Tabla6[[#This Row],[IMPORTE]]</f>
        <v>22917180.680000026</v>
      </c>
      <c r="L154" s="5" t="s">
        <v>211</v>
      </c>
      <c r="M154" s="133" t="s">
        <v>100</v>
      </c>
    </row>
    <row r="155" spans="2:13" x14ac:dyDescent="0.35">
      <c r="B155" s="4" t="s">
        <v>117</v>
      </c>
      <c r="C155" s="104" t="s">
        <v>134</v>
      </c>
      <c r="D155" s="105">
        <v>457371</v>
      </c>
      <c r="E155" s="105">
        <v>404</v>
      </c>
      <c r="F155" s="101">
        <v>15532.65</v>
      </c>
      <c r="G155" s="5" t="s">
        <v>129</v>
      </c>
      <c r="H155" s="105">
        <v>4098</v>
      </c>
      <c r="I155" s="105">
        <v>30717862453</v>
      </c>
      <c r="J155" s="5" t="s">
        <v>130</v>
      </c>
      <c r="K155" s="101">
        <f>+K154+Tabla6[[#This Row],[IMPORTE]]</f>
        <v>22932713.330000024</v>
      </c>
      <c r="L155" s="5" t="s">
        <v>211</v>
      </c>
      <c r="M155" s="133" t="s">
        <v>100</v>
      </c>
    </row>
    <row r="156" spans="2:13" x14ac:dyDescent="0.35">
      <c r="B156" s="4" t="s">
        <v>117</v>
      </c>
      <c r="C156" s="104" t="s">
        <v>134</v>
      </c>
      <c r="D156" s="105">
        <v>18132</v>
      </c>
      <c r="E156" s="105">
        <v>404</v>
      </c>
      <c r="F156" s="101">
        <v>19311.240000000002</v>
      </c>
      <c r="G156" s="5" t="s">
        <v>129</v>
      </c>
      <c r="H156" s="105">
        <v>4098</v>
      </c>
      <c r="I156" s="105">
        <v>30717862453</v>
      </c>
      <c r="J156" s="5" t="s">
        <v>130</v>
      </c>
      <c r="K156" s="101">
        <f>+K155+Tabla6[[#This Row],[IMPORTE]]</f>
        <v>22952024.570000023</v>
      </c>
      <c r="L156" s="5" t="s">
        <v>211</v>
      </c>
      <c r="M156" s="133" t="s">
        <v>100</v>
      </c>
    </row>
    <row r="157" spans="2:13" x14ac:dyDescent="0.35">
      <c r="B157" s="4" t="s">
        <v>117</v>
      </c>
      <c r="C157" s="104" t="s">
        <v>134</v>
      </c>
      <c r="D157" s="105">
        <v>366324</v>
      </c>
      <c r="E157" s="105">
        <v>404</v>
      </c>
      <c r="F157" s="101">
        <v>19311.240000000002</v>
      </c>
      <c r="G157" s="5" t="s">
        <v>129</v>
      </c>
      <c r="H157" s="105">
        <v>4098</v>
      </c>
      <c r="I157" s="105">
        <v>30717862453</v>
      </c>
      <c r="J157" s="5" t="s">
        <v>130</v>
      </c>
      <c r="K157" s="101">
        <f>+K156+Tabla6[[#This Row],[IMPORTE]]</f>
        <v>22971335.810000021</v>
      </c>
      <c r="L157" s="5" t="s">
        <v>211</v>
      </c>
      <c r="M157" s="133" t="s">
        <v>100</v>
      </c>
    </row>
    <row r="158" spans="2:13" x14ac:dyDescent="0.35">
      <c r="B158" s="4" t="s">
        <v>117</v>
      </c>
      <c r="C158" s="104" t="s">
        <v>134</v>
      </c>
      <c r="D158" s="105">
        <v>333851</v>
      </c>
      <c r="E158" s="105">
        <v>404</v>
      </c>
      <c r="F158" s="101">
        <v>23652.67</v>
      </c>
      <c r="G158" s="5" t="s">
        <v>129</v>
      </c>
      <c r="H158" s="105">
        <v>4098</v>
      </c>
      <c r="I158" s="105">
        <v>30717862453</v>
      </c>
      <c r="J158" s="5" t="s">
        <v>130</v>
      </c>
      <c r="K158" s="101">
        <f>+K157+Tabla6[[#This Row],[IMPORTE]]</f>
        <v>22994988.480000023</v>
      </c>
      <c r="L158" s="5" t="s">
        <v>211</v>
      </c>
      <c r="M158" s="133" t="s">
        <v>100</v>
      </c>
    </row>
    <row r="159" spans="2:13" x14ac:dyDescent="0.35">
      <c r="B159" s="4" t="s">
        <v>117</v>
      </c>
      <c r="C159" s="104" t="s">
        <v>134</v>
      </c>
      <c r="D159" s="105">
        <v>940845</v>
      </c>
      <c r="E159" s="105">
        <v>404</v>
      </c>
      <c r="F159" s="101">
        <v>25748.32</v>
      </c>
      <c r="G159" s="5" t="s">
        <v>129</v>
      </c>
      <c r="H159" s="105">
        <v>4098</v>
      </c>
      <c r="I159" s="105">
        <v>30717862453</v>
      </c>
      <c r="J159" s="5" t="s">
        <v>130</v>
      </c>
      <c r="K159" s="101">
        <f>+K158+Tabla6[[#This Row],[IMPORTE]]</f>
        <v>23020736.800000023</v>
      </c>
      <c r="L159" s="5" t="s">
        <v>211</v>
      </c>
      <c r="M159" s="133" t="s">
        <v>100</v>
      </c>
    </row>
    <row r="160" spans="2:13" x14ac:dyDescent="0.35">
      <c r="B160" s="4" t="s">
        <v>117</v>
      </c>
      <c r="C160" s="104" t="s">
        <v>134</v>
      </c>
      <c r="D160" s="105">
        <v>14676</v>
      </c>
      <c r="E160" s="105">
        <v>404</v>
      </c>
      <c r="F160" s="101">
        <v>38622.480000000003</v>
      </c>
      <c r="G160" s="5" t="s">
        <v>129</v>
      </c>
      <c r="H160" s="105">
        <v>4098</v>
      </c>
      <c r="I160" s="105">
        <v>30717862453</v>
      </c>
      <c r="J160" s="5" t="s">
        <v>130</v>
      </c>
      <c r="K160" s="101">
        <f>+K159+Tabla6[[#This Row],[IMPORTE]]</f>
        <v>23059359.280000024</v>
      </c>
      <c r="L160" s="5" t="s">
        <v>211</v>
      </c>
      <c r="M160" s="133" t="s">
        <v>100</v>
      </c>
    </row>
    <row r="161" spans="2:13" x14ac:dyDescent="0.35">
      <c r="B161" s="4" t="s">
        <v>117</v>
      </c>
      <c r="C161" s="104" t="s">
        <v>134</v>
      </c>
      <c r="D161" s="105">
        <v>75573</v>
      </c>
      <c r="E161" s="105">
        <v>404</v>
      </c>
      <c r="F161" s="101">
        <v>38622.480000000003</v>
      </c>
      <c r="G161" s="5" t="s">
        <v>129</v>
      </c>
      <c r="H161" s="105">
        <v>4098</v>
      </c>
      <c r="I161" s="105">
        <v>30717862453</v>
      </c>
      <c r="J161" s="5" t="s">
        <v>130</v>
      </c>
      <c r="K161" s="101">
        <f>+K160+Tabla6[[#This Row],[IMPORTE]]</f>
        <v>23097981.760000024</v>
      </c>
      <c r="L161" s="5" t="s">
        <v>211</v>
      </c>
      <c r="M161" s="133" t="s">
        <v>100</v>
      </c>
    </row>
    <row r="162" spans="2:13" x14ac:dyDescent="0.35">
      <c r="B162" s="4" t="s">
        <v>117</v>
      </c>
      <c r="C162" s="104" t="s">
        <v>134</v>
      </c>
      <c r="D162" s="105">
        <v>80426</v>
      </c>
      <c r="E162" s="105">
        <v>404</v>
      </c>
      <c r="F162" s="101">
        <v>38622.480000000003</v>
      </c>
      <c r="G162" s="5" t="s">
        <v>129</v>
      </c>
      <c r="H162" s="105">
        <v>4098</v>
      </c>
      <c r="I162" s="105">
        <v>30717862453</v>
      </c>
      <c r="J162" s="5" t="s">
        <v>130</v>
      </c>
      <c r="K162" s="101">
        <f>+K161+Tabla6[[#This Row],[IMPORTE]]</f>
        <v>23136604.240000024</v>
      </c>
      <c r="L162" s="5" t="s">
        <v>211</v>
      </c>
      <c r="M162" s="133" t="s">
        <v>100</v>
      </c>
    </row>
    <row r="163" spans="2:13" x14ac:dyDescent="0.35">
      <c r="B163" s="4" t="s">
        <v>117</v>
      </c>
      <c r="C163" s="104" t="s">
        <v>134</v>
      </c>
      <c r="D163" s="105">
        <v>109495</v>
      </c>
      <c r="E163" s="105">
        <v>404</v>
      </c>
      <c r="F163" s="101">
        <v>38622.480000000003</v>
      </c>
      <c r="G163" s="5" t="s">
        <v>129</v>
      </c>
      <c r="H163" s="105">
        <v>4098</v>
      </c>
      <c r="I163" s="105">
        <v>30717862453</v>
      </c>
      <c r="J163" s="5" t="s">
        <v>130</v>
      </c>
      <c r="K163" s="101">
        <f>+K162+Tabla6[[#This Row],[IMPORTE]]</f>
        <v>23175226.720000025</v>
      </c>
      <c r="L163" s="5" t="s">
        <v>211</v>
      </c>
      <c r="M163" s="133" t="s">
        <v>100</v>
      </c>
    </row>
    <row r="164" spans="2:13" x14ac:dyDescent="0.35">
      <c r="B164" s="4" t="s">
        <v>117</v>
      </c>
      <c r="C164" s="104" t="s">
        <v>134</v>
      </c>
      <c r="D164" s="105">
        <v>152846</v>
      </c>
      <c r="E164" s="105">
        <v>404</v>
      </c>
      <c r="F164" s="101">
        <v>38622.480000000003</v>
      </c>
      <c r="G164" s="5" t="s">
        <v>129</v>
      </c>
      <c r="H164" s="105">
        <v>4098</v>
      </c>
      <c r="I164" s="105">
        <v>30717862453</v>
      </c>
      <c r="J164" s="5" t="s">
        <v>130</v>
      </c>
      <c r="K164" s="101">
        <f>+K163+Tabla6[[#This Row],[IMPORTE]]</f>
        <v>23213849.200000025</v>
      </c>
      <c r="L164" s="5" t="s">
        <v>211</v>
      </c>
      <c r="M164" s="133" t="s">
        <v>100</v>
      </c>
    </row>
    <row r="165" spans="2:13" x14ac:dyDescent="0.35">
      <c r="B165" s="4" t="s">
        <v>117</v>
      </c>
      <c r="C165" s="104" t="s">
        <v>134</v>
      </c>
      <c r="D165" s="105">
        <v>182914</v>
      </c>
      <c r="E165" s="105">
        <v>404</v>
      </c>
      <c r="F165" s="101">
        <v>38622.480000000003</v>
      </c>
      <c r="G165" s="5" t="s">
        <v>129</v>
      </c>
      <c r="H165" s="105">
        <v>4098</v>
      </c>
      <c r="I165" s="105">
        <v>30717862453</v>
      </c>
      <c r="J165" s="5" t="s">
        <v>130</v>
      </c>
      <c r="K165" s="101">
        <f>+K164+Tabla6[[#This Row],[IMPORTE]]</f>
        <v>23252471.680000026</v>
      </c>
      <c r="L165" s="5" t="s">
        <v>211</v>
      </c>
      <c r="M165" s="133" t="s">
        <v>100</v>
      </c>
    </row>
    <row r="166" spans="2:13" x14ac:dyDescent="0.35">
      <c r="B166" s="4" t="s">
        <v>117</v>
      </c>
      <c r="C166" s="104" t="s">
        <v>134</v>
      </c>
      <c r="D166" s="105">
        <v>184053</v>
      </c>
      <c r="E166" s="105">
        <v>404</v>
      </c>
      <c r="F166" s="101">
        <v>38622.480000000003</v>
      </c>
      <c r="G166" s="5" t="s">
        <v>129</v>
      </c>
      <c r="H166" s="105">
        <v>4098</v>
      </c>
      <c r="I166" s="105">
        <v>30717862453</v>
      </c>
      <c r="J166" s="5" t="s">
        <v>130</v>
      </c>
      <c r="K166" s="101">
        <f>+K165+Tabla6[[#This Row],[IMPORTE]]</f>
        <v>23291094.160000026</v>
      </c>
      <c r="L166" s="5" t="s">
        <v>211</v>
      </c>
      <c r="M166" s="133" t="s">
        <v>100</v>
      </c>
    </row>
    <row r="167" spans="2:13" x14ac:dyDescent="0.35">
      <c r="B167" s="4" t="s">
        <v>117</v>
      </c>
      <c r="C167" s="104" t="s">
        <v>134</v>
      </c>
      <c r="D167" s="105">
        <v>204388</v>
      </c>
      <c r="E167" s="105">
        <v>404</v>
      </c>
      <c r="F167" s="101">
        <v>38622.480000000003</v>
      </c>
      <c r="G167" s="5" t="s">
        <v>129</v>
      </c>
      <c r="H167" s="105">
        <v>4098</v>
      </c>
      <c r="I167" s="105">
        <v>30717862453</v>
      </c>
      <c r="J167" s="5" t="s">
        <v>130</v>
      </c>
      <c r="K167" s="101">
        <f>+K166+Tabla6[[#This Row],[IMPORTE]]</f>
        <v>23329716.640000027</v>
      </c>
      <c r="L167" s="5" t="s">
        <v>211</v>
      </c>
      <c r="M167" s="133" t="s">
        <v>100</v>
      </c>
    </row>
    <row r="168" spans="2:13" x14ac:dyDescent="0.35">
      <c r="B168" s="4" t="s">
        <v>117</v>
      </c>
      <c r="C168" s="104" t="s">
        <v>134</v>
      </c>
      <c r="D168" s="105">
        <v>205811</v>
      </c>
      <c r="E168" s="105">
        <v>404</v>
      </c>
      <c r="F168" s="101">
        <v>38622.480000000003</v>
      </c>
      <c r="G168" s="5" t="s">
        <v>129</v>
      </c>
      <c r="H168" s="105">
        <v>4098</v>
      </c>
      <c r="I168" s="105">
        <v>30717862453</v>
      </c>
      <c r="J168" s="5" t="s">
        <v>130</v>
      </c>
      <c r="K168" s="101">
        <f>+K167+Tabla6[[#This Row],[IMPORTE]]</f>
        <v>23368339.120000027</v>
      </c>
      <c r="L168" s="5" t="s">
        <v>211</v>
      </c>
      <c r="M168" s="133" t="s">
        <v>100</v>
      </c>
    </row>
    <row r="169" spans="2:13" x14ac:dyDescent="0.35">
      <c r="B169" s="4" t="s">
        <v>117</v>
      </c>
      <c r="C169" s="104" t="s">
        <v>134</v>
      </c>
      <c r="D169" s="105">
        <v>243027</v>
      </c>
      <c r="E169" s="105">
        <v>404</v>
      </c>
      <c r="F169" s="101">
        <v>38622.480000000003</v>
      </c>
      <c r="G169" s="5" t="s">
        <v>129</v>
      </c>
      <c r="H169" s="105">
        <v>4098</v>
      </c>
      <c r="I169" s="105">
        <v>30717862453</v>
      </c>
      <c r="J169" s="5" t="s">
        <v>130</v>
      </c>
      <c r="K169" s="101">
        <f>+K168+Tabla6[[#This Row],[IMPORTE]]</f>
        <v>23406961.600000028</v>
      </c>
      <c r="L169" s="5" t="s">
        <v>211</v>
      </c>
      <c r="M169" s="133" t="s">
        <v>100</v>
      </c>
    </row>
    <row r="170" spans="2:13" x14ac:dyDescent="0.35">
      <c r="B170" s="4" t="s">
        <v>117</v>
      </c>
      <c r="C170" s="104" t="s">
        <v>134</v>
      </c>
      <c r="D170" s="105">
        <v>264532</v>
      </c>
      <c r="E170" s="105">
        <v>404</v>
      </c>
      <c r="F170" s="101">
        <v>38622.480000000003</v>
      </c>
      <c r="G170" s="5" t="s">
        <v>129</v>
      </c>
      <c r="H170" s="105">
        <v>4098</v>
      </c>
      <c r="I170" s="105">
        <v>30717862453</v>
      </c>
      <c r="J170" s="5" t="s">
        <v>130</v>
      </c>
      <c r="K170" s="101">
        <f>+K169+Tabla6[[#This Row],[IMPORTE]]</f>
        <v>23445584.080000028</v>
      </c>
      <c r="L170" s="5" t="s">
        <v>211</v>
      </c>
      <c r="M170" s="133" t="s">
        <v>100</v>
      </c>
    </row>
    <row r="171" spans="2:13" x14ac:dyDescent="0.35">
      <c r="B171" s="4" t="s">
        <v>117</v>
      </c>
      <c r="C171" s="104" t="s">
        <v>134</v>
      </c>
      <c r="D171" s="105">
        <v>281464</v>
      </c>
      <c r="E171" s="105">
        <v>404</v>
      </c>
      <c r="F171" s="101">
        <v>38622.480000000003</v>
      </c>
      <c r="G171" s="5" t="s">
        <v>129</v>
      </c>
      <c r="H171" s="105">
        <v>4098</v>
      </c>
      <c r="I171" s="105">
        <v>30717862453</v>
      </c>
      <c r="J171" s="5" t="s">
        <v>130</v>
      </c>
      <c r="K171" s="101">
        <f>+K170+Tabla6[[#This Row],[IMPORTE]]</f>
        <v>23484206.560000028</v>
      </c>
      <c r="L171" s="5" t="s">
        <v>211</v>
      </c>
      <c r="M171" s="133" t="s">
        <v>100</v>
      </c>
    </row>
    <row r="172" spans="2:13" x14ac:dyDescent="0.35">
      <c r="B172" s="4" t="s">
        <v>117</v>
      </c>
      <c r="C172" s="104" t="s">
        <v>134</v>
      </c>
      <c r="D172" s="105">
        <v>308659</v>
      </c>
      <c r="E172" s="105">
        <v>404</v>
      </c>
      <c r="F172" s="101">
        <v>38622.480000000003</v>
      </c>
      <c r="G172" s="5" t="s">
        <v>129</v>
      </c>
      <c r="H172" s="105">
        <v>4098</v>
      </c>
      <c r="I172" s="105">
        <v>30717862453</v>
      </c>
      <c r="J172" s="5" t="s">
        <v>130</v>
      </c>
      <c r="K172" s="101">
        <f>+K171+Tabla6[[#This Row],[IMPORTE]]</f>
        <v>23522829.040000029</v>
      </c>
      <c r="L172" s="5" t="s">
        <v>211</v>
      </c>
      <c r="M172" s="133" t="s">
        <v>100</v>
      </c>
    </row>
    <row r="173" spans="2:13" x14ac:dyDescent="0.35">
      <c r="B173" s="4" t="s">
        <v>117</v>
      </c>
      <c r="C173" s="104" t="s">
        <v>134</v>
      </c>
      <c r="D173" s="105">
        <v>326030</v>
      </c>
      <c r="E173" s="105">
        <v>404</v>
      </c>
      <c r="F173" s="101">
        <v>38622.480000000003</v>
      </c>
      <c r="G173" s="5" t="s">
        <v>129</v>
      </c>
      <c r="H173" s="105">
        <v>4098</v>
      </c>
      <c r="I173" s="105">
        <v>30717862453</v>
      </c>
      <c r="J173" s="5" t="s">
        <v>130</v>
      </c>
      <c r="K173" s="101">
        <f>+K172+Tabla6[[#This Row],[IMPORTE]]</f>
        <v>23561451.520000029</v>
      </c>
      <c r="L173" s="5" t="s">
        <v>211</v>
      </c>
      <c r="M173" s="133" t="s">
        <v>100</v>
      </c>
    </row>
    <row r="174" spans="2:13" x14ac:dyDescent="0.35">
      <c r="B174" s="4" t="s">
        <v>117</v>
      </c>
      <c r="C174" s="104" t="s">
        <v>134</v>
      </c>
      <c r="D174" s="105">
        <v>331862</v>
      </c>
      <c r="E174" s="105">
        <v>404</v>
      </c>
      <c r="F174" s="101">
        <v>38622.480000000003</v>
      </c>
      <c r="G174" s="5" t="s">
        <v>129</v>
      </c>
      <c r="H174" s="105">
        <v>4098</v>
      </c>
      <c r="I174" s="105">
        <v>30717862453</v>
      </c>
      <c r="J174" s="5" t="s">
        <v>130</v>
      </c>
      <c r="K174" s="101">
        <f>+K173+Tabla6[[#This Row],[IMPORTE]]</f>
        <v>23600074.00000003</v>
      </c>
      <c r="L174" s="5" t="s">
        <v>211</v>
      </c>
      <c r="M174" s="133" t="s">
        <v>100</v>
      </c>
    </row>
    <row r="175" spans="2:13" x14ac:dyDescent="0.35">
      <c r="B175" s="4" t="s">
        <v>117</v>
      </c>
      <c r="C175" s="104" t="s">
        <v>134</v>
      </c>
      <c r="D175" s="105">
        <v>355142</v>
      </c>
      <c r="E175" s="105">
        <v>404</v>
      </c>
      <c r="F175" s="101">
        <v>38622.480000000003</v>
      </c>
      <c r="G175" s="5" t="s">
        <v>129</v>
      </c>
      <c r="H175" s="105">
        <v>4098</v>
      </c>
      <c r="I175" s="105">
        <v>30717862453</v>
      </c>
      <c r="J175" s="5" t="s">
        <v>130</v>
      </c>
      <c r="K175" s="101">
        <f>+K174+Tabla6[[#This Row],[IMPORTE]]</f>
        <v>23638696.48000003</v>
      </c>
      <c r="L175" s="5" t="s">
        <v>211</v>
      </c>
      <c r="M175" s="133" t="s">
        <v>100</v>
      </c>
    </row>
    <row r="176" spans="2:13" x14ac:dyDescent="0.35">
      <c r="B176" s="4" t="s">
        <v>117</v>
      </c>
      <c r="C176" s="104" t="s">
        <v>134</v>
      </c>
      <c r="D176" s="105">
        <v>359672</v>
      </c>
      <c r="E176" s="105">
        <v>404</v>
      </c>
      <c r="F176" s="101">
        <v>38622.480000000003</v>
      </c>
      <c r="G176" s="5" t="s">
        <v>129</v>
      </c>
      <c r="H176" s="105">
        <v>4098</v>
      </c>
      <c r="I176" s="105">
        <v>30717862453</v>
      </c>
      <c r="J176" s="5" t="s">
        <v>130</v>
      </c>
      <c r="K176" s="101">
        <f>+K175+Tabla6[[#This Row],[IMPORTE]]</f>
        <v>23677318.960000031</v>
      </c>
      <c r="L176" s="5" t="s">
        <v>211</v>
      </c>
      <c r="M176" s="133" t="s">
        <v>100</v>
      </c>
    </row>
    <row r="177" spans="2:13" x14ac:dyDescent="0.35">
      <c r="B177" s="4" t="s">
        <v>117</v>
      </c>
      <c r="C177" s="104" t="s">
        <v>134</v>
      </c>
      <c r="D177" s="105">
        <v>473685</v>
      </c>
      <c r="E177" s="105">
        <v>404</v>
      </c>
      <c r="F177" s="101">
        <v>38622.480000000003</v>
      </c>
      <c r="G177" s="5" t="s">
        <v>129</v>
      </c>
      <c r="H177" s="105">
        <v>4098</v>
      </c>
      <c r="I177" s="105">
        <v>30717862453</v>
      </c>
      <c r="J177" s="5" t="s">
        <v>130</v>
      </c>
      <c r="K177" s="101">
        <f>+K176+Tabla6[[#This Row],[IMPORTE]]</f>
        <v>23715941.440000031</v>
      </c>
      <c r="L177" s="5" t="s">
        <v>211</v>
      </c>
      <c r="M177" s="133" t="s">
        <v>100</v>
      </c>
    </row>
    <row r="178" spans="2:13" x14ac:dyDescent="0.35">
      <c r="B178" s="4" t="s">
        <v>117</v>
      </c>
      <c r="C178" s="104" t="s">
        <v>134</v>
      </c>
      <c r="D178" s="105">
        <v>482299</v>
      </c>
      <c r="E178" s="105">
        <v>404</v>
      </c>
      <c r="F178" s="101">
        <v>38622.480000000003</v>
      </c>
      <c r="G178" s="5" t="s">
        <v>129</v>
      </c>
      <c r="H178" s="105">
        <v>4098</v>
      </c>
      <c r="I178" s="105">
        <v>30717862453</v>
      </c>
      <c r="J178" s="5" t="s">
        <v>130</v>
      </c>
      <c r="K178" s="101">
        <f>+K177+Tabla6[[#This Row],[IMPORTE]]</f>
        <v>23754563.920000032</v>
      </c>
      <c r="L178" s="5" t="s">
        <v>211</v>
      </c>
      <c r="M178" s="133" t="s">
        <v>100</v>
      </c>
    </row>
    <row r="179" spans="2:13" x14ac:dyDescent="0.35">
      <c r="B179" s="4" t="s">
        <v>117</v>
      </c>
      <c r="C179" s="104" t="s">
        <v>134</v>
      </c>
      <c r="D179" s="105">
        <v>483930</v>
      </c>
      <c r="E179" s="105">
        <v>404</v>
      </c>
      <c r="F179" s="101">
        <v>38622.480000000003</v>
      </c>
      <c r="G179" s="5" t="s">
        <v>129</v>
      </c>
      <c r="H179" s="105">
        <v>4098</v>
      </c>
      <c r="I179" s="105">
        <v>30717862453</v>
      </c>
      <c r="J179" s="5" t="s">
        <v>130</v>
      </c>
      <c r="K179" s="101">
        <f>+K178+Tabla6[[#This Row],[IMPORTE]]</f>
        <v>23793186.400000032</v>
      </c>
      <c r="L179" s="5" t="s">
        <v>211</v>
      </c>
      <c r="M179" s="133" t="s">
        <v>100</v>
      </c>
    </row>
    <row r="180" spans="2:13" x14ac:dyDescent="0.35">
      <c r="B180" s="4" t="s">
        <v>117</v>
      </c>
      <c r="C180" s="104" t="s">
        <v>134</v>
      </c>
      <c r="D180" s="105">
        <v>500794</v>
      </c>
      <c r="E180" s="105">
        <v>404</v>
      </c>
      <c r="F180" s="101">
        <v>38622.480000000003</v>
      </c>
      <c r="G180" s="5" t="s">
        <v>129</v>
      </c>
      <c r="H180" s="105">
        <v>4098</v>
      </c>
      <c r="I180" s="105">
        <v>30717862453</v>
      </c>
      <c r="J180" s="5" t="s">
        <v>130</v>
      </c>
      <c r="K180" s="101">
        <f>+K179+Tabla6[[#This Row],[IMPORTE]]</f>
        <v>23831808.880000032</v>
      </c>
      <c r="L180" s="5" t="s">
        <v>211</v>
      </c>
      <c r="M180" s="133" t="s">
        <v>100</v>
      </c>
    </row>
    <row r="181" spans="2:13" x14ac:dyDescent="0.35">
      <c r="B181" s="4" t="s">
        <v>117</v>
      </c>
      <c r="C181" s="104" t="s">
        <v>134</v>
      </c>
      <c r="D181" s="105">
        <v>515619</v>
      </c>
      <c r="E181" s="105">
        <v>404</v>
      </c>
      <c r="F181" s="101">
        <v>38622.480000000003</v>
      </c>
      <c r="G181" s="5" t="s">
        <v>129</v>
      </c>
      <c r="H181" s="105">
        <v>4098</v>
      </c>
      <c r="I181" s="105">
        <v>30717862453</v>
      </c>
      <c r="J181" s="5" t="s">
        <v>130</v>
      </c>
      <c r="K181" s="101">
        <f>+K180+Tabla6[[#This Row],[IMPORTE]]</f>
        <v>23870431.360000033</v>
      </c>
      <c r="L181" s="5" t="s">
        <v>211</v>
      </c>
      <c r="M181" s="133" t="s">
        <v>100</v>
      </c>
    </row>
    <row r="182" spans="2:13" x14ac:dyDescent="0.35">
      <c r="B182" s="4" t="s">
        <v>117</v>
      </c>
      <c r="C182" s="104" t="s">
        <v>134</v>
      </c>
      <c r="D182" s="105">
        <v>521842</v>
      </c>
      <c r="E182" s="105">
        <v>404</v>
      </c>
      <c r="F182" s="101">
        <v>38622.480000000003</v>
      </c>
      <c r="G182" s="5" t="s">
        <v>129</v>
      </c>
      <c r="H182" s="105">
        <v>4098</v>
      </c>
      <c r="I182" s="105">
        <v>30717862453</v>
      </c>
      <c r="J182" s="5" t="s">
        <v>130</v>
      </c>
      <c r="K182" s="101">
        <f>+K181+Tabla6[[#This Row],[IMPORTE]]</f>
        <v>23909053.840000033</v>
      </c>
      <c r="L182" s="5" t="s">
        <v>211</v>
      </c>
      <c r="M182" s="133" t="s">
        <v>100</v>
      </c>
    </row>
    <row r="183" spans="2:13" x14ac:dyDescent="0.35">
      <c r="B183" s="4" t="s">
        <v>117</v>
      </c>
      <c r="C183" s="104" t="s">
        <v>134</v>
      </c>
      <c r="D183" s="105">
        <v>550804</v>
      </c>
      <c r="E183" s="105">
        <v>404</v>
      </c>
      <c r="F183" s="101">
        <v>38622.480000000003</v>
      </c>
      <c r="G183" s="5" t="s">
        <v>129</v>
      </c>
      <c r="H183" s="105">
        <v>4098</v>
      </c>
      <c r="I183" s="105">
        <v>30717862453</v>
      </c>
      <c r="J183" s="5" t="s">
        <v>130</v>
      </c>
      <c r="K183" s="101">
        <f>+K182+Tabla6[[#This Row],[IMPORTE]]</f>
        <v>23947676.320000034</v>
      </c>
      <c r="L183" s="5" t="s">
        <v>211</v>
      </c>
      <c r="M183" s="133" t="s">
        <v>100</v>
      </c>
    </row>
    <row r="184" spans="2:13" x14ac:dyDescent="0.35">
      <c r="B184" s="4" t="s">
        <v>117</v>
      </c>
      <c r="C184" s="104" t="s">
        <v>134</v>
      </c>
      <c r="D184" s="105">
        <v>556225</v>
      </c>
      <c r="E184" s="105">
        <v>404</v>
      </c>
      <c r="F184" s="101">
        <v>38622.480000000003</v>
      </c>
      <c r="G184" s="5" t="s">
        <v>129</v>
      </c>
      <c r="H184" s="105">
        <v>4098</v>
      </c>
      <c r="I184" s="105">
        <v>30717862453</v>
      </c>
      <c r="J184" s="5" t="s">
        <v>130</v>
      </c>
      <c r="K184" s="101">
        <f>+K183+Tabla6[[#This Row],[IMPORTE]]</f>
        <v>23986298.800000034</v>
      </c>
      <c r="L184" s="5" t="s">
        <v>211</v>
      </c>
      <c r="M184" s="133" t="s">
        <v>100</v>
      </c>
    </row>
    <row r="185" spans="2:13" x14ac:dyDescent="0.35">
      <c r="B185" s="4" t="s">
        <v>117</v>
      </c>
      <c r="C185" s="104" t="s">
        <v>134</v>
      </c>
      <c r="D185" s="105">
        <v>564237</v>
      </c>
      <c r="E185" s="105">
        <v>404</v>
      </c>
      <c r="F185" s="101">
        <v>38622.480000000003</v>
      </c>
      <c r="G185" s="5" t="s">
        <v>129</v>
      </c>
      <c r="H185" s="105">
        <v>4098</v>
      </c>
      <c r="I185" s="105">
        <v>30717862453</v>
      </c>
      <c r="J185" s="5" t="s">
        <v>130</v>
      </c>
      <c r="K185" s="101">
        <f>+K184+Tabla6[[#This Row],[IMPORTE]]</f>
        <v>24024921.280000035</v>
      </c>
      <c r="L185" s="5" t="s">
        <v>211</v>
      </c>
      <c r="M185" s="133" t="s">
        <v>100</v>
      </c>
    </row>
    <row r="186" spans="2:13" x14ac:dyDescent="0.35">
      <c r="B186" s="4" t="s">
        <v>117</v>
      </c>
      <c r="C186" s="104" t="s">
        <v>134</v>
      </c>
      <c r="D186" s="105">
        <v>636748</v>
      </c>
      <c r="E186" s="105">
        <v>404</v>
      </c>
      <c r="F186" s="101">
        <v>38622.480000000003</v>
      </c>
      <c r="G186" s="5" t="s">
        <v>129</v>
      </c>
      <c r="H186" s="105">
        <v>4098</v>
      </c>
      <c r="I186" s="105">
        <v>30717862453</v>
      </c>
      <c r="J186" s="5" t="s">
        <v>130</v>
      </c>
      <c r="K186" s="101">
        <f>+K185+Tabla6[[#This Row],[IMPORTE]]</f>
        <v>24063543.760000035</v>
      </c>
      <c r="L186" s="5" t="s">
        <v>211</v>
      </c>
      <c r="M186" s="133" t="s">
        <v>100</v>
      </c>
    </row>
    <row r="187" spans="2:13" x14ac:dyDescent="0.35">
      <c r="B187" s="4" t="s">
        <v>117</v>
      </c>
      <c r="C187" s="104" t="s">
        <v>134</v>
      </c>
      <c r="D187" s="105">
        <v>637749</v>
      </c>
      <c r="E187" s="105">
        <v>404</v>
      </c>
      <c r="F187" s="101">
        <v>38622.480000000003</v>
      </c>
      <c r="G187" s="5" t="s">
        <v>129</v>
      </c>
      <c r="H187" s="105">
        <v>4098</v>
      </c>
      <c r="I187" s="105">
        <v>30717862453</v>
      </c>
      <c r="J187" s="5" t="s">
        <v>130</v>
      </c>
      <c r="K187" s="101">
        <f>+K186+Tabla6[[#This Row],[IMPORTE]]</f>
        <v>24102166.240000036</v>
      </c>
      <c r="L187" s="5" t="s">
        <v>211</v>
      </c>
      <c r="M187" s="133" t="s">
        <v>100</v>
      </c>
    </row>
    <row r="188" spans="2:13" x14ac:dyDescent="0.35">
      <c r="B188" s="4" t="s">
        <v>117</v>
      </c>
      <c r="C188" s="104" t="s">
        <v>134</v>
      </c>
      <c r="D188" s="105">
        <v>641077</v>
      </c>
      <c r="E188" s="105">
        <v>404</v>
      </c>
      <c r="F188" s="101">
        <v>38622.480000000003</v>
      </c>
      <c r="G188" s="5" t="s">
        <v>129</v>
      </c>
      <c r="H188" s="105">
        <v>4098</v>
      </c>
      <c r="I188" s="105">
        <v>30717862453</v>
      </c>
      <c r="J188" s="5" t="s">
        <v>130</v>
      </c>
      <c r="K188" s="101">
        <f>+K187+Tabla6[[#This Row],[IMPORTE]]</f>
        <v>24140788.720000036</v>
      </c>
      <c r="L188" s="5" t="s">
        <v>211</v>
      </c>
      <c r="M188" s="133" t="s">
        <v>100</v>
      </c>
    </row>
    <row r="189" spans="2:13" x14ac:dyDescent="0.35">
      <c r="B189" s="4" t="s">
        <v>117</v>
      </c>
      <c r="C189" s="104" t="s">
        <v>134</v>
      </c>
      <c r="D189" s="105">
        <v>651140</v>
      </c>
      <c r="E189" s="105">
        <v>404</v>
      </c>
      <c r="F189" s="101">
        <v>38622.480000000003</v>
      </c>
      <c r="G189" s="5" t="s">
        <v>129</v>
      </c>
      <c r="H189" s="105">
        <v>4098</v>
      </c>
      <c r="I189" s="105">
        <v>30717862453</v>
      </c>
      <c r="J189" s="5" t="s">
        <v>130</v>
      </c>
      <c r="K189" s="101">
        <f>+K188+Tabla6[[#This Row],[IMPORTE]]</f>
        <v>24179411.200000037</v>
      </c>
      <c r="L189" s="5" t="s">
        <v>211</v>
      </c>
      <c r="M189" s="133" t="s">
        <v>100</v>
      </c>
    </row>
    <row r="190" spans="2:13" x14ac:dyDescent="0.35">
      <c r="B190" s="4" t="s">
        <v>117</v>
      </c>
      <c r="C190" s="104" t="s">
        <v>134</v>
      </c>
      <c r="D190" s="105">
        <v>679942</v>
      </c>
      <c r="E190" s="105">
        <v>404</v>
      </c>
      <c r="F190" s="101">
        <v>38622.480000000003</v>
      </c>
      <c r="G190" s="5" t="s">
        <v>129</v>
      </c>
      <c r="H190" s="105">
        <v>4098</v>
      </c>
      <c r="I190" s="105">
        <v>30717862453</v>
      </c>
      <c r="J190" s="5" t="s">
        <v>130</v>
      </c>
      <c r="K190" s="101">
        <f>+K189+Tabla6[[#This Row],[IMPORTE]]</f>
        <v>24218033.680000037</v>
      </c>
      <c r="L190" s="5" t="s">
        <v>211</v>
      </c>
      <c r="M190" s="133" t="s">
        <v>100</v>
      </c>
    </row>
    <row r="191" spans="2:13" x14ac:dyDescent="0.35">
      <c r="B191" s="4" t="s">
        <v>117</v>
      </c>
      <c r="C191" s="104" t="s">
        <v>134</v>
      </c>
      <c r="D191" s="105">
        <v>743820</v>
      </c>
      <c r="E191" s="105">
        <v>404</v>
      </c>
      <c r="F191" s="101">
        <v>38622.480000000003</v>
      </c>
      <c r="G191" s="5" t="s">
        <v>129</v>
      </c>
      <c r="H191" s="105">
        <v>4098</v>
      </c>
      <c r="I191" s="105">
        <v>30717862453</v>
      </c>
      <c r="J191" s="5" t="s">
        <v>130</v>
      </c>
      <c r="K191" s="101">
        <f>+K190+Tabla6[[#This Row],[IMPORTE]]</f>
        <v>24256656.160000037</v>
      </c>
      <c r="L191" s="5" t="s">
        <v>211</v>
      </c>
      <c r="M191" s="133" t="s">
        <v>100</v>
      </c>
    </row>
    <row r="192" spans="2:13" x14ac:dyDescent="0.35">
      <c r="B192" s="4" t="s">
        <v>117</v>
      </c>
      <c r="C192" s="104" t="s">
        <v>134</v>
      </c>
      <c r="D192" s="105">
        <v>758637</v>
      </c>
      <c r="E192" s="105">
        <v>404</v>
      </c>
      <c r="F192" s="101">
        <v>38622.480000000003</v>
      </c>
      <c r="G192" s="5" t="s">
        <v>129</v>
      </c>
      <c r="H192" s="105">
        <v>4098</v>
      </c>
      <c r="I192" s="105">
        <v>30717862453</v>
      </c>
      <c r="J192" s="5" t="s">
        <v>130</v>
      </c>
      <c r="K192" s="101">
        <f>+K191+Tabla6[[#This Row],[IMPORTE]]</f>
        <v>24295278.640000038</v>
      </c>
      <c r="L192" s="5" t="s">
        <v>211</v>
      </c>
      <c r="M192" s="133" t="s">
        <v>100</v>
      </c>
    </row>
    <row r="193" spans="2:13" x14ac:dyDescent="0.35">
      <c r="B193" s="4" t="s">
        <v>117</v>
      </c>
      <c r="C193" s="104" t="s">
        <v>134</v>
      </c>
      <c r="D193" s="105">
        <v>760580</v>
      </c>
      <c r="E193" s="105">
        <v>404</v>
      </c>
      <c r="F193" s="101">
        <v>38622.480000000003</v>
      </c>
      <c r="G193" s="5" t="s">
        <v>129</v>
      </c>
      <c r="H193" s="105">
        <v>4098</v>
      </c>
      <c r="I193" s="105">
        <v>30717862453</v>
      </c>
      <c r="J193" s="5" t="s">
        <v>130</v>
      </c>
      <c r="K193" s="101">
        <f>+K192+Tabla6[[#This Row],[IMPORTE]]</f>
        <v>24333901.120000038</v>
      </c>
      <c r="L193" s="5" t="s">
        <v>211</v>
      </c>
      <c r="M193" s="133" t="s">
        <v>100</v>
      </c>
    </row>
    <row r="194" spans="2:13" x14ac:dyDescent="0.35">
      <c r="B194" s="4" t="s">
        <v>117</v>
      </c>
      <c r="C194" s="104" t="s">
        <v>134</v>
      </c>
      <c r="D194" s="105">
        <v>761398</v>
      </c>
      <c r="E194" s="105">
        <v>404</v>
      </c>
      <c r="F194" s="101">
        <v>38622.480000000003</v>
      </c>
      <c r="G194" s="5" t="s">
        <v>129</v>
      </c>
      <c r="H194" s="105">
        <v>4098</v>
      </c>
      <c r="I194" s="105">
        <v>30717862453</v>
      </c>
      <c r="J194" s="5" t="s">
        <v>130</v>
      </c>
      <c r="K194" s="101">
        <f>+K193+Tabla6[[#This Row],[IMPORTE]]</f>
        <v>24372523.600000039</v>
      </c>
      <c r="L194" s="5" t="s">
        <v>211</v>
      </c>
      <c r="M194" s="133" t="s">
        <v>100</v>
      </c>
    </row>
    <row r="195" spans="2:13" x14ac:dyDescent="0.35">
      <c r="B195" s="4" t="s">
        <v>117</v>
      </c>
      <c r="C195" s="104" t="s">
        <v>134</v>
      </c>
      <c r="D195" s="105">
        <v>781331</v>
      </c>
      <c r="E195" s="105">
        <v>404</v>
      </c>
      <c r="F195" s="101">
        <v>38622.480000000003</v>
      </c>
      <c r="G195" s="5" t="s">
        <v>129</v>
      </c>
      <c r="H195" s="105">
        <v>4098</v>
      </c>
      <c r="I195" s="105">
        <v>30717862453</v>
      </c>
      <c r="J195" s="5" t="s">
        <v>130</v>
      </c>
      <c r="K195" s="101">
        <f>+K194+Tabla6[[#This Row],[IMPORTE]]</f>
        <v>24411146.080000039</v>
      </c>
      <c r="L195" s="5" t="s">
        <v>211</v>
      </c>
      <c r="M195" s="133" t="s">
        <v>100</v>
      </c>
    </row>
    <row r="196" spans="2:13" x14ac:dyDescent="0.35">
      <c r="B196" s="4" t="s">
        <v>117</v>
      </c>
      <c r="C196" s="104" t="s">
        <v>134</v>
      </c>
      <c r="D196" s="105">
        <v>787984</v>
      </c>
      <c r="E196" s="105">
        <v>404</v>
      </c>
      <c r="F196" s="101">
        <v>38622.480000000003</v>
      </c>
      <c r="G196" s="5" t="s">
        <v>129</v>
      </c>
      <c r="H196" s="105">
        <v>4098</v>
      </c>
      <c r="I196" s="105">
        <v>30717862453</v>
      </c>
      <c r="J196" s="5" t="s">
        <v>130</v>
      </c>
      <c r="K196" s="101">
        <f>+K195+Tabla6[[#This Row],[IMPORTE]]</f>
        <v>24449768.56000004</v>
      </c>
      <c r="L196" s="5" t="s">
        <v>211</v>
      </c>
      <c r="M196" s="133" t="s">
        <v>100</v>
      </c>
    </row>
    <row r="197" spans="2:13" x14ac:dyDescent="0.35">
      <c r="B197" s="4" t="s">
        <v>117</v>
      </c>
      <c r="C197" s="104" t="s">
        <v>134</v>
      </c>
      <c r="D197" s="105">
        <v>922848</v>
      </c>
      <c r="E197" s="105">
        <v>404</v>
      </c>
      <c r="F197" s="101">
        <v>38622.480000000003</v>
      </c>
      <c r="G197" s="5" t="s">
        <v>129</v>
      </c>
      <c r="H197" s="105">
        <v>4098</v>
      </c>
      <c r="I197" s="105">
        <v>30717862453</v>
      </c>
      <c r="J197" s="5" t="s">
        <v>130</v>
      </c>
      <c r="K197" s="101">
        <f>+K196+Tabla6[[#This Row],[IMPORTE]]</f>
        <v>24488391.04000004</v>
      </c>
      <c r="L197" s="5" t="s">
        <v>211</v>
      </c>
      <c r="M197" s="133" t="s">
        <v>100</v>
      </c>
    </row>
    <row r="198" spans="2:13" x14ac:dyDescent="0.35">
      <c r="B198" s="4" t="s">
        <v>117</v>
      </c>
      <c r="C198" s="104" t="s">
        <v>134</v>
      </c>
      <c r="D198" s="105">
        <v>950689</v>
      </c>
      <c r="E198" s="105">
        <v>404</v>
      </c>
      <c r="F198" s="101">
        <v>38622.480000000003</v>
      </c>
      <c r="G198" s="5" t="s">
        <v>129</v>
      </c>
      <c r="H198" s="105">
        <v>4098</v>
      </c>
      <c r="I198" s="105">
        <v>30717862453</v>
      </c>
      <c r="J198" s="5" t="s">
        <v>130</v>
      </c>
      <c r="K198" s="101">
        <f>+K197+Tabla6[[#This Row],[IMPORTE]]</f>
        <v>24527013.520000041</v>
      </c>
      <c r="L198" s="5" t="s">
        <v>211</v>
      </c>
      <c r="M198" s="133" t="s">
        <v>100</v>
      </c>
    </row>
    <row r="199" spans="2:13" x14ac:dyDescent="0.35">
      <c r="B199" s="4" t="s">
        <v>117</v>
      </c>
      <c r="C199" s="104" t="s">
        <v>134</v>
      </c>
      <c r="D199" s="105">
        <v>961018</v>
      </c>
      <c r="E199" s="105">
        <v>404</v>
      </c>
      <c r="F199" s="101">
        <v>38622.480000000003</v>
      </c>
      <c r="G199" s="5" t="s">
        <v>129</v>
      </c>
      <c r="H199" s="105">
        <v>4098</v>
      </c>
      <c r="I199" s="105">
        <v>30717862453</v>
      </c>
      <c r="J199" s="5" t="s">
        <v>130</v>
      </c>
      <c r="K199" s="101">
        <f>+K198+Tabla6[[#This Row],[IMPORTE]]</f>
        <v>24565636.000000041</v>
      </c>
      <c r="L199" s="5" t="s">
        <v>211</v>
      </c>
      <c r="M199" s="133" t="s">
        <v>100</v>
      </c>
    </row>
    <row r="200" spans="2:13" x14ac:dyDescent="0.35">
      <c r="B200" s="4" t="s">
        <v>117</v>
      </c>
      <c r="C200" s="104" t="s">
        <v>134</v>
      </c>
      <c r="D200" s="105">
        <v>964113</v>
      </c>
      <c r="E200" s="105">
        <v>404</v>
      </c>
      <c r="F200" s="101">
        <v>38622.480000000003</v>
      </c>
      <c r="G200" s="5" t="s">
        <v>129</v>
      </c>
      <c r="H200" s="105">
        <v>4098</v>
      </c>
      <c r="I200" s="105">
        <v>30717862453</v>
      </c>
      <c r="J200" s="5" t="s">
        <v>130</v>
      </c>
      <c r="K200" s="101">
        <f>+K199+Tabla6[[#This Row],[IMPORTE]]</f>
        <v>24604258.480000041</v>
      </c>
      <c r="L200" s="5" t="s">
        <v>211</v>
      </c>
      <c r="M200" s="133" t="s">
        <v>100</v>
      </c>
    </row>
    <row r="201" spans="2:13" x14ac:dyDescent="0.35">
      <c r="B201" s="4" t="s">
        <v>117</v>
      </c>
      <c r="C201" s="104" t="s">
        <v>134</v>
      </c>
      <c r="D201" s="105">
        <v>554313</v>
      </c>
      <c r="E201" s="105">
        <v>404</v>
      </c>
      <c r="F201" s="101">
        <v>40567.47</v>
      </c>
      <c r="G201" s="5" t="s">
        <v>129</v>
      </c>
      <c r="H201" s="105">
        <v>4098</v>
      </c>
      <c r="I201" s="105">
        <v>30717862453</v>
      </c>
      <c r="J201" s="5" t="s">
        <v>130</v>
      </c>
      <c r="K201" s="101">
        <f>+K200+Tabla6[[#This Row],[IMPORTE]]</f>
        <v>24644825.95000004</v>
      </c>
      <c r="L201" s="5" t="s">
        <v>211</v>
      </c>
      <c r="M201" s="133" t="s">
        <v>100</v>
      </c>
    </row>
    <row r="202" spans="2:13" x14ac:dyDescent="0.35">
      <c r="B202" s="4" t="s">
        <v>117</v>
      </c>
      <c r="C202" s="104" t="s">
        <v>134</v>
      </c>
      <c r="D202" s="105">
        <v>41764</v>
      </c>
      <c r="E202" s="105">
        <v>404</v>
      </c>
      <c r="F202" s="101">
        <v>42380.71</v>
      </c>
      <c r="G202" s="5" t="s">
        <v>129</v>
      </c>
      <c r="H202" s="105">
        <v>4098</v>
      </c>
      <c r="I202" s="105">
        <v>30717862453</v>
      </c>
      <c r="J202" s="5" t="s">
        <v>130</v>
      </c>
      <c r="K202" s="101">
        <f>+K201+Tabla6[[#This Row],[IMPORTE]]</f>
        <v>24687206.660000041</v>
      </c>
      <c r="L202" s="5" t="s">
        <v>211</v>
      </c>
      <c r="M202" s="133" t="s">
        <v>100</v>
      </c>
    </row>
    <row r="203" spans="2:13" x14ac:dyDescent="0.35">
      <c r="B203" s="4" t="s">
        <v>117</v>
      </c>
      <c r="C203" s="104" t="s">
        <v>134</v>
      </c>
      <c r="D203" s="105">
        <v>898216</v>
      </c>
      <c r="E203" s="105">
        <v>404</v>
      </c>
      <c r="F203" s="101">
        <v>48103.18</v>
      </c>
      <c r="G203" s="5" t="s">
        <v>129</v>
      </c>
      <c r="H203" s="105">
        <v>4098</v>
      </c>
      <c r="I203" s="105">
        <v>30717862453</v>
      </c>
      <c r="J203" s="5" t="s">
        <v>130</v>
      </c>
      <c r="K203" s="101">
        <f>+K202+Tabla6[[#This Row],[IMPORTE]]</f>
        <v>24735309.840000041</v>
      </c>
      <c r="L203" s="5" t="s">
        <v>211</v>
      </c>
      <c r="M203" s="133" t="s">
        <v>100</v>
      </c>
    </row>
    <row r="204" spans="2:13" x14ac:dyDescent="0.35">
      <c r="B204" s="4" t="s">
        <v>117</v>
      </c>
      <c r="C204" s="104" t="s">
        <v>134</v>
      </c>
      <c r="D204" s="105">
        <v>553717</v>
      </c>
      <c r="E204" s="105">
        <v>404</v>
      </c>
      <c r="F204" s="101">
        <v>51496.639999999999</v>
      </c>
      <c r="G204" s="5" t="s">
        <v>129</v>
      </c>
      <c r="H204" s="105">
        <v>4098</v>
      </c>
      <c r="I204" s="105">
        <v>30717862453</v>
      </c>
      <c r="J204" s="5" t="s">
        <v>130</v>
      </c>
      <c r="K204" s="101">
        <f>+K203+Tabla6[[#This Row],[IMPORTE]]</f>
        <v>24786806.480000041</v>
      </c>
      <c r="L204" s="5" t="s">
        <v>211</v>
      </c>
      <c r="M204" s="133" t="s">
        <v>100</v>
      </c>
    </row>
    <row r="205" spans="2:13" x14ac:dyDescent="0.35">
      <c r="B205" s="4" t="s">
        <v>117</v>
      </c>
      <c r="C205" s="104" t="s">
        <v>134</v>
      </c>
      <c r="D205" s="105">
        <v>562077</v>
      </c>
      <c r="E205" s="105">
        <v>404</v>
      </c>
      <c r="F205" s="101">
        <v>51496.639999999999</v>
      </c>
      <c r="G205" s="5" t="s">
        <v>129</v>
      </c>
      <c r="H205" s="105">
        <v>4098</v>
      </c>
      <c r="I205" s="105">
        <v>30717862453</v>
      </c>
      <c r="J205" s="5" t="s">
        <v>130</v>
      </c>
      <c r="K205" s="101">
        <f>+K204+Tabla6[[#This Row],[IMPORTE]]</f>
        <v>24838303.120000042</v>
      </c>
      <c r="L205" s="5" t="s">
        <v>211</v>
      </c>
      <c r="M205" s="133" t="s">
        <v>100</v>
      </c>
    </row>
    <row r="206" spans="2:13" x14ac:dyDescent="0.35">
      <c r="B206" s="4" t="s">
        <v>117</v>
      </c>
      <c r="C206" s="104" t="s">
        <v>134</v>
      </c>
      <c r="D206" s="105">
        <v>651560</v>
      </c>
      <c r="E206" s="105">
        <v>404</v>
      </c>
      <c r="F206" s="101">
        <v>51496.639999999999</v>
      </c>
      <c r="G206" s="5" t="s">
        <v>129</v>
      </c>
      <c r="H206" s="105">
        <v>4098</v>
      </c>
      <c r="I206" s="105">
        <v>30717862453</v>
      </c>
      <c r="J206" s="5" t="s">
        <v>130</v>
      </c>
      <c r="K206" s="101">
        <f>+K205+Tabla6[[#This Row],[IMPORTE]]</f>
        <v>24889799.760000043</v>
      </c>
      <c r="L206" s="5" t="s">
        <v>211</v>
      </c>
      <c r="M206" s="133" t="s">
        <v>100</v>
      </c>
    </row>
    <row r="207" spans="2:13" x14ac:dyDescent="0.35">
      <c r="B207" s="4" t="s">
        <v>117</v>
      </c>
      <c r="C207" s="104" t="s">
        <v>134</v>
      </c>
      <c r="D207" s="105">
        <v>732038</v>
      </c>
      <c r="E207" s="105">
        <v>404</v>
      </c>
      <c r="F207" s="101">
        <v>51496.639999999999</v>
      </c>
      <c r="G207" s="5" t="s">
        <v>129</v>
      </c>
      <c r="H207" s="105">
        <v>4098</v>
      </c>
      <c r="I207" s="105">
        <v>30717862453</v>
      </c>
      <c r="J207" s="5" t="s">
        <v>130</v>
      </c>
      <c r="K207" s="101">
        <f>+K206+Tabla6[[#This Row],[IMPORTE]]</f>
        <v>24941296.400000043</v>
      </c>
      <c r="L207" s="5" t="s">
        <v>211</v>
      </c>
      <c r="M207" s="133" t="s">
        <v>100</v>
      </c>
    </row>
    <row r="208" spans="2:13" x14ac:dyDescent="0.35">
      <c r="B208" s="4" t="s">
        <v>117</v>
      </c>
      <c r="C208" s="104" t="s">
        <v>134</v>
      </c>
      <c r="D208" s="105">
        <v>743213</v>
      </c>
      <c r="E208" s="105">
        <v>404</v>
      </c>
      <c r="F208" s="101">
        <v>51496.639999999999</v>
      </c>
      <c r="G208" s="5" t="s">
        <v>129</v>
      </c>
      <c r="H208" s="105">
        <v>4098</v>
      </c>
      <c r="I208" s="105">
        <v>30717862453</v>
      </c>
      <c r="J208" s="5" t="s">
        <v>130</v>
      </c>
      <c r="K208" s="101">
        <f>+K207+Tabla6[[#This Row],[IMPORTE]]</f>
        <v>24992793.040000044</v>
      </c>
      <c r="L208" s="5" t="s">
        <v>211</v>
      </c>
      <c r="M208" s="133" t="s">
        <v>100</v>
      </c>
    </row>
    <row r="209" spans="2:13" x14ac:dyDescent="0.35">
      <c r="B209" s="4" t="s">
        <v>117</v>
      </c>
      <c r="C209" s="104" t="s">
        <v>134</v>
      </c>
      <c r="D209" s="105">
        <v>939495</v>
      </c>
      <c r="E209" s="105">
        <v>404</v>
      </c>
      <c r="F209" s="101">
        <v>51496.639999999999</v>
      </c>
      <c r="G209" s="5" t="s">
        <v>129</v>
      </c>
      <c r="H209" s="105">
        <v>4098</v>
      </c>
      <c r="I209" s="105">
        <v>30717862453</v>
      </c>
      <c r="J209" s="5" t="s">
        <v>130</v>
      </c>
      <c r="K209" s="101">
        <f>+K208+Tabla6[[#This Row],[IMPORTE]]</f>
        <v>25044289.680000044</v>
      </c>
      <c r="L209" s="5" t="s">
        <v>211</v>
      </c>
      <c r="M209" s="133" t="s">
        <v>100</v>
      </c>
    </row>
    <row r="210" spans="2:13" x14ac:dyDescent="0.35">
      <c r="B210" s="4" t="s">
        <v>117</v>
      </c>
      <c r="C210" s="104" t="s">
        <v>134</v>
      </c>
      <c r="D210" s="105">
        <v>311116</v>
      </c>
      <c r="E210" s="105">
        <v>404</v>
      </c>
      <c r="F210" s="101">
        <v>77244.960000000006</v>
      </c>
      <c r="G210" s="5" t="s">
        <v>129</v>
      </c>
      <c r="H210" s="105">
        <v>4098</v>
      </c>
      <c r="I210" s="105">
        <v>30717862453</v>
      </c>
      <c r="J210" s="5" t="s">
        <v>130</v>
      </c>
      <c r="K210" s="101">
        <f>+K209+Tabla6[[#This Row],[IMPORTE]]</f>
        <v>25121534.640000045</v>
      </c>
      <c r="L210" s="5" t="s">
        <v>211</v>
      </c>
      <c r="M210" s="133" t="s">
        <v>100</v>
      </c>
    </row>
    <row r="211" spans="2:13" x14ac:dyDescent="0.35">
      <c r="B211" s="4" t="s">
        <v>117</v>
      </c>
      <c r="C211" s="104" t="s">
        <v>134</v>
      </c>
      <c r="D211" s="105">
        <v>550722</v>
      </c>
      <c r="E211" s="105">
        <v>404</v>
      </c>
      <c r="F211" s="101">
        <v>77244.960000000006</v>
      </c>
      <c r="G211" s="5" t="s">
        <v>129</v>
      </c>
      <c r="H211" s="105">
        <v>4098</v>
      </c>
      <c r="I211" s="105">
        <v>30717862453</v>
      </c>
      <c r="J211" s="5" t="s">
        <v>130</v>
      </c>
      <c r="K211" s="101">
        <f>+K210+Tabla6[[#This Row],[IMPORTE]]</f>
        <v>25198779.600000046</v>
      </c>
      <c r="L211" s="5" t="s">
        <v>211</v>
      </c>
      <c r="M211" s="133" t="s">
        <v>100</v>
      </c>
    </row>
    <row r="212" spans="2:13" x14ac:dyDescent="0.35">
      <c r="B212" s="4" t="s">
        <v>117</v>
      </c>
      <c r="C212" s="104" t="s">
        <v>134</v>
      </c>
      <c r="D212" s="105">
        <v>116762</v>
      </c>
      <c r="E212" s="105">
        <v>404</v>
      </c>
      <c r="F212" s="101">
        <v>84888.77</v>
      </c>
      <c r="G212" s="5" t="s">
        <v>129</v>
      </c>
      <c r="H212" s="105">
        <v>4098</v>
      </c>
      <c r="I212" s="105">
        <v>30717862453</v>
      </c>
      <c r="J212" s="5" t="s">
        <v>130</v>
      </c>
      <c r="K212" s="101">
        <f>+K211+Tabla6[[#This Row],[IMPORTE]]</f>
        <v>25283668.370000046</v>
      </c>
      <c r="L212" s="5" t="s">
        <v>211</v>
      </c>
      <c r="M212" s="133" t="s">
        <v>100</v>
      </c>
    </row>
    <row r="213" spans="2:13" x14ac:dyDescent="0.35">
      <c r="B213" s="4" t="s">
        <v>104</v>
      </c>
      <c r="C213" s="104" t="s">
        <v>134</v>
      </c>
      <c r="D213" s="105">
        <v>204365</v>
      </c>
      <c r="E213" s="105">
        <v>404</v>
      </c>
      <c r="F213" s="101">
        <v>89898.9</v>
      </c>
      <c r="G213" s="5" t="s">
        <v>106</v>
      </c>
      <c r="H213" s="105">
        <v>183</v>
      </c>
      <c r="I213" s="70" t="s">
        <v>107</v>
      </c>
      <c r="J213" s="5" t="s">
        <v>112</v>
      </c>
      <c r="K213" s="101">
        <f>+K212+Tabla6[[#This Row],[IMPORTE]]</f>
        <v>25373567.270000044</v>
      </c>
      <c r="L213" s="5" t="s">
        <v>212</v>
      </c>
      <c r="M213" s="133" t="s">
        <v>100</v>
      </c>
    </row>
    <row r="214" spans="2:13" x14ac:dyDescent="0.35">
      <c r="B214" s="4" t="s">
        <v>117</v>
      </c>
      <c r="C214" s="104" t="s">
        <v>134</v>
      </c>
      <c r="D214" s="105">
        <v>746831</v>
      </c>
      <c r="E214" s="105">
        <v>404</v>
      </c>
      <c r="F214" s="101">
        <v>92248.31</v>
      </c>
      <c r="G214" s="5" t="s">
        <v>129</v>
      </c>
      <c r="H214" s="105">
        <v>4098</v>
      </c>
      <c r="I214" s="105">
        <v>30717862453</v>
      </c>
      <c r="J214" s="5" t="s">
        <v>130</v>
      </c>
      <c r="K214" s="101">
        <f>+K213+Tabla6[[#This Row],[IMPORTE]]</f>
        <v>25465815.580000043</v>
      </c>
      <c r="L214" s="5" t="s">
        <v>211</v>
      </c>
      <c r="M214" s="133" t="s">
        <v>100</v>
      </c>
    </row>
    <row r="215" spans="2:13" x14ac:dyDescent="0.35">
      <c r="B215" s="4" t="s">
        <v>117</v>
      </c>
      <c r="C215" s="104" t="s">
        <v>134</v>
      </c>
      <c r="D215" s="105">
        <v>975960</v>
      </c>
      <c r="E215" s="105">
        <v>404</v>
      </c>
      <c r="F215" s="101">
        <v>133693.20000000001</v>
      </c>
      <c r="G215" s="5" t="s">
        <v>129</v>
      </c>
      <c r="H215" s="105">
        <v>4098</v>
      </c>
      <c r="I215" s="105">
        <v>30717862453</v>
      </c>
      <c r="J215" s="5" t="s">
        <v>130</v>
      </c>
      <c r="K215" s="101">
        <f>+K214+Tabla6[[#This Row],[IMPORTE]]</f>
        <v>25599508.780000042</v>
      </c>
      <c r="L215" s="5" t="s">
        <v>211</v>
      </c>
      <c r="M215" s="133" t="s">
        <v>100</v>
      </c>
    </row>
    <row r="216" spans="2:13" x14ac:dyDescent="0.35">
      <c r="B216" s="4" t="s">
        <v>117</v>
      </c>
      <c r="C216" s="104" t="s">
        <v>134</v>
      </c>
      <c r="D216" s="105">
        <v>925761</v>
      </c>
      <c r="E216" s="105">
        <v>404</v>
      </c>
      <c r="F216" s="101">
        <v>192549.34</v>
      </c>
      <c r="G216" s="5" t="s">
        <v>129</v>
      </c>
      <c r="H216" s="105">
        <v>4098</v>
      </c>
      <c r="I216" s="105">
        <v>30717862453</v>
      </c>
      <c r="J216" s="5" t="s">
        <v>130</v>
      </c>
      <c r="K216" s="101">
        <f>+K215+Tabla6[[#This Row],[IMPORTE]]</f>
        <v>25792058.120000042</v>
      </c>
      <c r="L216" s="5" t="s">
        <v>211</v>
      </c>
      <c r="M216" s="133" t="s">
        <v>100</v>
      </c>
    </row>
    <row r="217" spans="2:13" x14ac:dyDescent="0.35">
      <c r="B217" s="4" t="s">
        <v>104</v>
      </c>
      <c r="C217" s="104" t="s">
        <v>134</v>
      </c>
      <c r="D217" s="105">
        <v>204372</v>
      </c>
      <c r="E217" s="105">
        <v>404</v>
      </c>
      <c r="F217" s="101">
        <v>204979.84</v>
      </c>
      <c r="G217" s="5" t="s">
        <v>106</v>
      </c>
      <c r="H217" s="105">
        <v>183</v>
      </c>
      <c r="I217" s="70" t="s">
        <v>107</v>
      </c>
      <c r="J217" s="5" t="s">
        <v>113</v>
      </c>
      <c r="K217" s="101">
        <f>+K216+Tabla6[[#This Row],[IMPORTE]]</f>
        <v>25997037.960000042</v>
      </c>
      <c r="L217" s="5" t="s">
        <v>212</v>
      </c>
      <c r="M217" s="133" t="s">
        <v>100</v>
      </c>
    </row>
    <row r="218" spans="2:13" x14ac:dyDescent="0.35">
      <c r="B218" s="4" t="s">
        <v>117</v>
      </c>
      <c r="C218" s="104" t="s">
        <v>134</v>
      </c>
      <c r="D218" s="105">
        <v>352905</v>
      </c>
      <c r="E218" s="105">
        <v>404</v>
      </c>
      <c r="F218" s="101">
        <v>225269.11</v>
      </c>
      <c r="G218" s="5" t="s">
        <v>129</v>
      </c>
      <c r="H218" s="105">
        <v>4098</v>
      </c>
      <c r="I218" s="105">
        <v>30717862453</v>
      </c>
      <c r="J218" s="5" t="s">
        <v>130</v>
      </c>
      <c r="K218" s="101">
        <f>+K217+Tabla6[[#This Row],[IMPORTE]]</f>
        <v>26222307.070000041</v>
      </c>
      <c r="L218" s="5" t="s">
        <v>211</v>
      </c>
      <c r="M218" s="133" t="s">
        <v>100</v>
      </c>
    </row>
    <row r="219" spans="2:13" x14ac:dyDescent="0.35">
      <c r="B219" s="4" t="s">
        <v>117</v>
      </c>
      <c r="C219" s="104" t="s">
        <v>134</v>
      </c>
      <c r="D219" s="105">
        <v>15525</v>
      </c>
      <c r="E219" s="105">
        <v>404</v>
      </c>
      <c r="F219" s="101">
        <v>232936.33</v>
      </c>
      <c r="G219" s="5" t="s">
        <v>129</v>
      </c>
      <c r="H219" s="105">
        <v>4098</v>
      </c>
      <c r="I219" s="105">
        <v>30717862453</v>
      </c>
      <c r="J219" s="5" t="s">
        <v>130</v>
      </c>
      <c r="K219" s="101">
        <f>+K218+Tabla6[[#This Row],[IMPORTE]]</f>
        <v>26455243.400000039</v>
      </c>
      <c r="L219" s="5" t="s">
        <v>211</v>
      </c>
      <c r="M219" s="133" t="s">
        <v>100</v>
      </c>
    </row>
    <row r="220" spans="2:13" x14ac:dyDescent="0.35">
      <c r="B220" s="4" t="s">
        <v>104</v>
      </c>
      <c r="C220" s="104" t="s">
        <v>134</v>
      </c>
      <c r="D220" s="105">
        <v>204368</v>
      </c>
      <c r="E220" s="105">
        <v>404</v>
      </c>
      <c r="F220" s="101">
        <v>274833.78000000003</v>
      </c>
      <c r="G220" s="5" t="s">
        <v>106</v>
      </c>
      <c r="H220" s="105">
        <v>183</v>
      </c>
      <c r="I220" s="70" t="s">
        <v>107</v>
      </c>
      <c r="J220" s="5" t="s">
        <v>110</v>
      </c>
      <c r="K220" s="101">
        <f>+K219+Tabla6[[#This Row],[IMPORTE]]</f>
        <v>26730077.180000041</v>
      </c>
      <c r="L220" s="5" t="s">
        <v>212</v>
      </c>
      <c r="M220" s="133" t="s">
        <v>100</v>
      </c>
    </row>
    <row r="221" spans="2:13" x14ac:dyDescent="0.35">
      <c r="B221" s="4" t="s">
        <v>104</v>
      </c>
      <c r="C221" s="104" t="s">
        <v>134</v>
      </c>
      <c r="D221" s="105">
        <v>204370</v>
      </c>
      <c r="E221" s="105">
        <v>404</v>
      </c>
      <c r="F221" s="101">
        <v>280540.21000000002</v>
      </c>
      <c r="G221" s="5" t="s">
        <v>106</v>
      </c>
      <c r="H221" s="105">
        <v>183</v>
      </c>
      <c r="I221" s="70" t="s">
        <v>107</v>
      </c>
      <c r="J221" s="5" t="s">
        <v>109</v>
      </c>
      <c r="K221" s="101">
        <f>+K220+Tabla6[[#This Row],[IMPORTE]]</f>
        <v>27010617.390000042</v>
      </c>
      <c r="L221" s="5" t="s">
        <v>212</v>
      </c>
      <c r="M221" s="133" t="s">
        <v>100</v>
      </c>
    </row>
    <row r="222" spans="2:13" x14ac:dyDescent="0.35">
      <c r="B222" s="4" t="s">
        <v>117</v>
      </c>
      <c r="C222" s="104" t="s">
        <v>134</v>
      </c>
      <c r="D222" s="105">
        <v>878039</v>
      </c>
      <c r="E222" s="105">
        <v>404</v>
      </c>
      <c r="F222" s="101">
        <v>310581.78000000003</v>
      </c>
      <c r="G222" s="5" t="s">
        <v>129</v>
      </c>
      <c r="H222" s="105">
        <v>4098</v>
      </c>
      <c r="I222" s="105">
        <v>30717862453</v>
      </c>
      <c r="J222" s="5" t="s">
        <v>130</v>
      </c>
      <c r="K222" s="101">
        <f>+K221+Tabla6[[#This Row],[IMPORTE]]</f>
        <v>27321199.170000043</v>
      </c>
      <c r="L222" s="5" t="s">
        <v>211</v>
      </c>
      <c r="M222" s="133" t="s">
        <v>100</v>
      </c>
    </row>
    <row r="223" spans="2:13" x14ac:dyDescent="0.35">
      <c r="B223" s="4" t="s">
        <v>104</v>
      </c>
      <c r="C223" s="104" t="s">
        <v>134</v>
      </c>
      <c r="D223" s="105">
        <v>204369</v>
      </c>
      <c r="E223" s="105">
        <v>404</v>
      </c>
      <c r="F223" s="101">
        <v>314646.15000000002</v>
      </c>
      <c r="G223" s="5" t="s">
        <v>106</v>
      </c>
      <c r="H223" s="105">
        <v>183</v>
      </c>
      <c r="I223" s="70" t="s">
        <v>107</v>
      </c>
      <c r="J223" s="5" t="s">
        <v>115</v>
      </c>
      <c r="K223" s="101">
        <f>+K222+Tabla6[[#This Row],[IMPORTE]]</f>
        <v>27635845.320000041</v>
      </c>
      <c r="L223" s="5" t="s">
        <v>212</v>
      </c>
      <c r="M223" s="133" t="s">
        <v>100</v>
      </c>
    </row>
    <row r="224" spans="2:13" x14ac:dyDescent="0.35">
      <c r="B224" s="4" t="s">
        <v>104</v>
      </c>
      <c r="C224" s="104" t="s">
        <v>134</v>
      </c>
      <c r="D224" s="105">
        <v>204367</v>
      </c>
      <c r="E224" s="105">
        <v>404</v>
      </c>
      <c r="F224" s="101">
        <v>388263.53</v>
      </c>
      <c r="G224" s="5" t="s">
        <v>106</v>
      </c>
      <c r="H224" s="105">
        <v>183</v>
      </c>
      <c r="I224" s="70" t="s">
        <v>107</v>
      </c>
      <c r="J224" s="5" t="s">
        <v>110</v>
      </c>
      <c r="K224" s="101">
        <f>+K223+Tabla6[[#This Row],[IMPORTE]]</f>
        <v>28024108.850000042</v>
      </c>
      <c r="L224" s="5" t="s">
        <v>213</v>
      </c>
      <c r="M224" s="133" t="s">
        <v>100</v>
      </c>
    </row>
    <row r="225" spans="2:13" x14ac:dyDescent="0.35">
      <c r="B225" s="4" t="s">
        <v>104</v>
      </c>
      <c r="C225" s="104" t="s">
        <v>134</v>
      </c>
      <c r="D225" s="105">
        <v>204366</v>
      </c>
      <c r="E225" s="105">
        <v>404</v>
      </c>
      <c r="F225" s="101">
        <v>463891.87</v>
      </c>
      <c r="G225" s="5" t="s">
        <v>106</v>
      </c>
      <c r="H225" s="105">
        <v>183</v>
      </c>
      <c r="I225" s="70" t="s">
        <v>107</v>
      </c>
      <c r="J225" s="5" t="s">
        <v>116</v>
      </c>
      <c r="K225" s="101">
        <f>+K224+Tabla6[[#This Row],[IMPORTE]]</f>
        <v>28488000.720000044</v>
      </c>
      <c r="L225" s="5" t="s">
        <v>212</v>
      </c>
      <c r="M225" s="133" t="s">
        <v>100</v>
      </c>
    </row>
    <row r="226" spans="2:13" x14ac:dyDescent="0.35">
      <c r="B226" s="4" t="s">
        <v>104</v>
      </c>
      <c r="C226" s="104" t="s">
        <v>134</v>
      </c>
      <c r="D226" s="105">
        <v>204371</v>
      </c>
      <c r="E226" s="105">
        <v>404</v>
      </c>
      <c r="F226" s="101">
        <v>1163892.73</v>
      </c>
      <c r="G226" s="5" t="s">
        <v>106</v>
      </c>
      <c r="H226" s="105">
        <v>183</v>
      </c>
      <c r="I226" s="70" t="s">
        <v>107</v>
      </c>
      <c r="J226" s="5" t="s">
        <v>113</v>
      </c>
      <c r="K226" s="101">
        <f>+K225+Tabla6[[#This Row],[IMPORTE]]</f>
        <v>29651893.450000044</v>
      </c>
      <c r="L226" s="5" t="s">
        <v>213</v>
      </c>
      <c r="M226" s="133" t="s">
        <v>100</v>
      </c>
    </row>
    <row r="227" spans="2:13" x14ac:dyDescent="0.35">
      <c r="B227" s="4" t="s">
        <v>117</v>
      </c>
      <c r="C227" s="104" t="s">
        <v>134</v>
      </c>
      <c r="D227" s="105">
        <v>126</v>
      </c>
      <c r="E227" s="105">
        <v>811</v>
      </c>
      <c r="F227" s="101">
        <v>2029051.79</v>
      </c>
      <c r="G227" s="5" t="s">
        <v>118</v>
      </c>
      <c r="H227" s="105">
        <v>4151</v>
      </c>
      <c r="I227" s="70" t="s">
        <v>107</v>
      </c>
      <c r="J227" s="5" t="s">
        <v>119</v>
      </c>
      <c r="K227" s="101">
        <f>+K226+Tabla6[[#This Row],[IMPORTE]]</f>
        <v>31680945.240000043</v>
      </c>
      <c r="L227" s="5" t="s">
        <v>214</v>
      </c>
      <c r="M227" s="133" t="s">
        <v>100</v>
      </c>
    </row>
    <row r="228" spans="2:13" x14ac:dyDescent="0.35">
      <c r="B228" s="4" t="s">
        <v>132</v>
      </c>
      <c r="C228" s="104" t="s">
        <v>134</v>
      </c>
      <c r="D228" s="105">
        <v>837530</v>
      </c>
      <c r="E228" s="105">
        <v>404</v>
      </c>
      <c r="F228" s="101">
        <v>-38622.480000000003</v>
      </c>
      <c r="G228" s="5" t="s">
        <v>133</v>
      </c>
      <c r="H228" s="105">
        <v>4100</v>
      </c>
      <c r="I228" s="105">
        <v>30692264785</v>
      </c>
      <c r="J228" s="5" t="s">
        <v>127</v>
      </c>
      <c r="K228" s="101">
        <f>+K227+Tabla6[[#This Row],[IMPORTE]]</f>
        <v>31642322.760000043</v>
      </c>
      <c r="L228" s="5" t="s">
        <v>211</v>
      </c>
      <c r="M228" s="133" t="s">
        <v>100</v>
      </c>
    </row>
    <row r="229" spans="2:13" x14ac:dyDescent="0.35">
      <c r="B229" s="4" t="s">
        <v>117</v>
      </c>
      <c r="C229" s="104" t="s">
        <v>135</v>
      </c>
      <c r="D229" s="105">
        <v>824373</v>
      </c>
      <c r="E229" s="105">
        <v>404</v>
      </c>
      <c r="F229" s="101">
        <v>12874.16</v>
      </c>
      <c r="G229" s="5" t="s">
        <v>129</v>
      </c>
      <c r="H229" s="105">
        <v>4098</v>
      </c>
      <c r="I229" s="105">
        <v>30717862453</v>
      </c>
      <c r="J229" s="5" t="s">
        <v>130</v>
      </c>
      <c r="K229" s="101">
        <f>+K228+Tabla6[[#This Row],[IMPORTE]]</f>
        <v>31655196.920000043</v>
      </c>
      <c r="L229" s="5" t="s">
        <v>215</v>
      </c>
      <c r="M229" s="133" t="s">
        <v>100</v>
      </c>
    </row>
    <row r="230" spans="2:13" x14ac:dyDescent="0.35">
      <c r="B230" s="4" t="s">
        <v>117</v>
      </c>
      <c r="C230" s="104" t="s">
        <v>135</v>
      </c>
      <c r="D230" s="105">
        <v>311083</v>
      </c>
      <c r="E230" s="105">
        <v>404</v>
      </c>
      <c r="F230" s="101">
        <v>19311.240000000002</v>
      </c>
      <c r="G230" s="5" t="s">
        <v>129</v>
      </c>
      <c r="H230" s="105">
        <v>4098</v>
      </c>
      <c r="I230" s="105">
        <v>30717862453</v>
      </c>
      <c r="J230" s="5" t="s">
        <v>130</v>
      </c>
      <c r="K230" s="101">
        <f>+K229+Tabla6[[#This Row],[IMPORTE]]</f>
        <v>31674508.160000041</v>
      </c>
      <c r="L230" s="5" t="s">
        <v>215</v>
      </c>
      <c r="M230" s="133" t="s">
        <v>100</v>
      </c>
    </row>
    <row r="231" spans="2:13" x14ac:dyDescent="0.35">
      <c r="B231" s="4" t="s">
        <v>117</v>
      </c>
      <c r="C231" s="104" t="s">
        <v>135</v>
      </c>
      <c r="D231" s="105">
        <v>386971</v>
      </c>
      <c r="E231" s="105">
        <v>404</v>
      </c>
      <c r="F231" s="101">
        <v>19311.240000000002</v>
      </c>
      <c r="G231" s="5" t="s">
        <v>129</v>
      </c>
      <c r="H231" s="105">
        <v>4098</v>
      </c>
      <c r="I231" s="105">
        <v>30717862453</v>
      </c>
      <c r="J231" s="5" t="s">
        <v>130</v>
      </c>
      <c r="K231" s="101">
        <f>+K230+Tabla6[[#This Row],[IMPORTE]]</f>
        <v>31693819.400000039</v>
      </c>
      <c r="L231" s="5" t="s">
        <v>215</v>
      </c>
      <c r="M231" s="133" t="s">
        <v>100</v>
      </c>
    </row>
    <row r="232" spans="2:13" x14ac:dyDescent="0.35">
      <c r="B232" s="4" t="s">
        <v>117</v>
      </c>
      <c r="C232" s="104" t="s">
        <v>135</v>
      </c>
      <c r="D232" s="105">
        <v>708588</v>
      </c>
      <c r="E232" s="105">
        <v>404</v>
      </c>
      <c r="F232" s="101">
        <v>19311.240000000002</v>
      </c>
      <c r="G232" s="5" t="s">
        <v>129</v>
      </c>
      <c r="H232" s="105">
        <v>4098</v>
      </c>
      <c r="I232" s="105">
        <v>30717862453</v>
      </c>
      <c r="J232" s="5" t="s">
        <v>130</v>
      </c>
      <c r="K232" s="101">
        <f>+K231+Tabla6[[#This Row],[IMPORTE]]</f>
        <v>31713130.640000038</v>
      </c>
      <c r="L232" s="5" t="s">
        <v>215</v>
      </c>
      <c r="M232" s="133" t="s">
        <v>100</v>
      </c>
    </row>
    <row r="233" spans="2:13" x14ac:dyDescent="0.35">
      <c r="B233" s="4" t="s">
        <v>117</v>
      </c>
      <c r="C233" s="104" t="s">
        <v>135</v>
      </c>
      <c r="D233" s="105">
        <v>535579</v>
      </c>
      <c r="E233" s="105">
        <v>404</v>
      </c>
      <c r="F233" s="101">
        <v>25748.32</v>
      </c>
      <c r="G233" s="5" t="s">
        <v>129</v>
      </c>
      <c r="H233" s="105">
        <v>4098</v>
      </c>
      <c r="I233" s="105">
        <v>30717862453</v>
      </c>
      <c r="J233" s="5" t="s">
        <v>130</v>
      </c>
      <c r="K233" s="101">
        <f>+K232+Tabla6[[#This Row],[IMPORTE]]</f>
        <v>31738878.960000038</v>
      </c>
      <c r="L233" s="5" t="s">
        <v>215</v>
      </c>
      <c r="M233" s="133" t="s">
        <v>100</v>
      </c>
    </row>
    <row r="234" spans="2:13" x14ac:dyDescent="0.35">
      <c r="B234" s="4" t="s">
        <v>117</v>
      </c>
      <c r="C234" s="104" t="s">
        <v>135</v>
      </c>
      <c r="D234" s="105">
        <v>601807</v>
      </c>
      <c r="E234" s="105">
        <v>404</v>
      </c>
      <c r="F234" s="101">
        <v>25748.32</v>
      </c>
      <c r="G234" s="5" t="s">
        <v>129</v>
      </c>
      <c r="H234" s="105">
        <v>4098</v>
      </c>
      <c r="I234" s="105">
        <v>30717862453</v>
      </c>
      <c r="J234" s="5" t="s">
        <v>130</v>
      </c>
      <c r="K234" s="101">
        <f>+K233+Tabla6[[#This Row],[IMPORTE]]</f>
        <v>31764627.280000038</v>
      </c>
      <c r="L234" s="5" t="s">
        <v>215</v>
      </c>
      <c r="M234" s="133" t="s">
        <v>100</v>
      </c>
    </row>
    <row r="235" spans="2:13" x14ac:dyDescent="0.35">
      <c r="B235" s="4" t="s">
        <v>117</v>
      </c>
      <c r="C235" s="104" t="s">
        <v>135</v>
      </c>
      <c r="D235" s="105">
        <v>457949</v>
      </c>
      <c r="E235" s="105">
        <v>404</v>
      </c>
      <c r="F235" s="101">
        <v>28281.93</v>
      </c>
      <c r="G235" s="5" t="s">
        <v>129</v>
      </c>
      <c r="H235" s="105">
        <v>4098</v>
      </c>
      <c r="I235" s="105">
        <v>30717862453</v>
      </c>
      <c r="J235" s="5" t="s">
        <v>130</v>
      </c>
      <c r="K235" s="101">
        <f>+K234+Tabla6[[#This Row],[IMPORTE]]</f>
        <v>31792909.210000038</v>
      </c>
      <c r="L235" s="5" t="s">
        <v>215</v>
      </c>
      <c r="M235" s="133" t="s">
        <v>100</v>
      </c>
    </row>
    <row r="236" spans="2:13" x14ac:dyDescent="0.35">
      <c r="B236" s="4" t="s">
        <v>104</v>
      </c>
      <c r="C236" s="104" t="s">
        <v>135</v>
      </c>
      <c r="D236" s="105">
        <v>222714</v>
      </c>
      <c r="E236" s="105">
        <v>404</v>
      </c>
      <c r="F236" s="101">
        <v>30444.959999999999</v>
      </c>
      <c r="G236" s="5" t="s">
        <v>106</v>
      </c>
      <c r="H236" s="105">
        <v>183</v>
      </c>
      <c r="I236" s="70" t="s">
        <v>107</v>
      </c>
      <c r="J236" s="5" t="s">
        <v>115</v>
      </c>
      <c r="K236" s="101">
        <f>+K235+Tabla6[[#This Row],[IMPORTE]]</f>
        <v>31823354.170000039</v>
      </c>
      <c r="L236" s="5" t="s">
        <v>216</v>
      </c>
      <c r="M236" s="133" t="s">
        <v>100</v>
      </c>
    </row>
    <row r="237" spans="2:13" x14ac:dyDescent="0.35">
      <c r="B237" s="4" t="s">
        <v>104</v>
      </c>
      <c r="C237" s="104" t="s">
        <v>135</v>
      </c>
      <c r="D237" s="105">
        <v>222715</v>
      </c>
      <c r="E237" s="105">
        <v>404</v>
      </c>
      <c r="F237" s="101">
        <v>30822.48</v>
      </c>
      <c r="G237" s="5" t="s">
        <v>106</v>
      </c>
      <c r="H237" s="105">
        <v>183</v>
      </c>
      <c r="I237" s="70" t="s">
        <v>107</v>
      </c>
      <c r="J237" s="5" t="s">
        <v>136</v>
      </c>
      <c r="K237" s="101">
        <f>+K236+Tabla6[[#This Row],[IMPORTE]]</f>
        <v>31854176.650000039</v>
      </c>
      <c r="L237" s="5" t="s">
        <v>217</v>
      </c>
      <c r="M237" s="133" t="s">
        <v>100</v>
      </c>
    </row>
    <row r="238" spans="2:13" x14ac:dyDescent="0.35">
      <c r="B238" s="4" t="s">
        <v>117</v>
      </c>
      <c r="C238" s="104" t="s">
        <v>135</v>
      </c>
      <c r="D238" s="105">
        <v>64578</v>
      </c>
      <c r="E238" s="105">
        <v>404</v>
      </c>
      <c r="F238" s="101">
        <v>30897.98</v>
      </c>
      <c r="G238" s="5" t="s">
        <v>129</v>
      </c>
      <c r="H238" s="105">
        <v>4098</v>
      </c>
      <c r="I238" s="105">
        <v>30717862453</v>
      </c>
      <c r="J238" s="5" t="s">
        <v>130</v>
      </c>
      <c r="K238" s="101">
        <f>+K237+Tabla6[[#This Row],[IMPORTE]]</f>
        <v>31885074.63000004</v>
      </c>
      <c r="L238" s="5" t="s">
        <v>215</v>
      </c>
      <c r="M238" s="133" t="s">
        <v>100</v>
      </c>
    </row>
    <row r="239" spans="2:13" x14ac:dyDescent="0.35">
      <c r="B239" s="4" t="s">
        <v>117</v>
      </c>
      <c r="C239" s="104" t="s">
        <v>135</v>
      </c>
      <c r="D239" s="105">
        <v>706196</v>
      </c>
      <c r="E239" s="105">
        <v>404</v>
      </c>
      <c r="F239" s="101">
        <v>30897.98</v>
      </c>
      <c r="G239" s="5" t="s">
        <v>129</v>
      </c>
      <c r="H239" s="105">
        <v>4098</v>
      </c>
      <c r="I239" s="105">
        <v>30717862453</v>
      </c>
      <c r="J239" s="5" t="s">
        <v>130</v>
      </c>
      <c r="K239" s="101">
        <f>+K238+Tabla6[[#This Row],[IMPORTE]]</f>
        <v>31915972.61000004</v>
      </c>
      <c r="L239" s="5" t="s">
        <v>215</v>
      </c>
      <c r="M239" s="133" t="s">
        <v>100</v>
      </c>
    </row>
    <row r="240" spans="2:13" x14ac:dyDescent="0.35">
      <c r="B240" s="4" t="s">
        <v>117</v>
      </c>
      <c r="C240" s="104" t="s">
        <v>135</v>
      </c>
      <c r="D240" s="105">
        <v>549579</v>
      </c>
      <c r="E240" s="105">
        <v>404</v>
      </c>
      <c r="F240" s="101">
        <v>35772.22</v>
      </c>
      <c r="G240" s="5" t="s">
        <v>129</v>
      </c>
      <c r="H240" s="105">
        <v>4098</v>
      </c>
      <c r="I240" s="105">
        <v>30717862453</v>
      </c>
      <c r="J240" s="5" t="s">
        <v>130</v>
      </c>
      <c r="K240" s="101">
        <f>+K239+Tabla6[[#This Row],[IMPORTE]]</f>
        <v>31951744.830000039</v>
      </c>
      <c r="L240" s="5" t="s">
        <v>215</v>
      </c>
      <c r="M240" s="133" t="s">
        <v>100</v>
      </c>
    </row>
    <row r="241" spans="2:13" x14ac:dyDescent="0.35">
      <c r="B241" s="4" t="s">
        <v>117</v>
      </c>
      <c r="C241" s="104" t="s">
        <v>135</v>
      </c>
      <c r="D241" s="105">
        <v>12777</v>
      </c>
      <c r="E241" s="105">
        <v>404</v>
      </c>
      <c r="F241" s="101">
        <v>38622.480000000003</v>
      </c>
      <c r="G241" s="5" t="s">
        <v>129</v>
      </c>
      <c r="H241" s="105">
        <v>4098</v>
      </c>
      <c r="I241" s="105">
        <v>30717862453</v>
      </c>
      <c r="J241" s="5" t="s">
        <v>130</v>
      </c>
      <c r="K241" s="101">
        <f>+K240+Tabla6[[#This Row],[IMPORTE]]</f>
        <v>31990367.31000004</v>
      </c>
      <c r="L241" s="5" t="s">
        <v>215</v>
      </c>
      <c r="M241" s="133" t="s">
        <v>100</v>
      </c>
    </row>
    <row r="242" spans="2:13" x14ac:dyDescent="0.35">
      <c r="B242" s="4" t="s">
        <v>117</v>
      </c>
      <c r="C242" s="104" t="s">
        <v>135</v>
      </c>
      <c r="D242" s="105">
        <v>51033</v>
      </c>
      <c r="E242" s="105">
        <v>404</v>
      </c>
      <c r="F242" s="101">
        <v>38622.480000000003</v>
      </c>
      <c r="G242" s="5" t="s">
        <v>129</v>
      </c>
      <c r="H242" s="105">
        <v>4098</v>
      </c>
      <c r="I242" s="105">
        <v>30717862453</v>
      </c>
      <c r="J242" s="5" t="s">
        <v>130</v>
      </c>
      <c r="K242" s="101">
        <f>+K241+Tabla6[[#This Row],[IMPORTE]]</f>
        <v>32028989.79000004</v>
      </c>
      <c r="L242" s="5" t="s">
        <v>215</v>
      </c>
      <c r="M242" s="133" t="s">
        <v>100</v>
      </c>
    </row>
    <row r="243" spans="2:13" x14ac:dyDescent="0.35">
      <c r="B243" s="4" t="s">
        <v>117</v>
      </c>
      <c r="C243" s="104" t="s">
        <v>135</v>
      </c>
      <c r="D243" s="105">
        <v>106187</v>
      </c>
      <c r="E243" s="105">
        <v>404</v>
      </c>
      <c r="F243" s="101">
        <v>38622.480000000003</v>
      </c>
      <c r="G243" s="5" t="s">
        <v>129</v>
      </c>
      <c r="H243" s="105">
        <v>4098</v>
      </c>
      <c r="I243" s="105">
        <v>30717862453</v>
      </c>
      <c r="J243" s="5" t="s">
        <v>130</v>
      </c>
      <c r="K243" s="101">
        <f>+K242+Tabla6[[#This Row],[IMPORTE]]</f>
        <v>32067612.270000041</v>
      </c>
      <c r="L243" s="5" t="s">
        <v>215</v>
      </c>
      <c r="M243" s="133" t="s">
        <v>100</v>
      </c>
    </row>
    <row r="244" spans="2:13" x14ac:dyDescent="0.35">
      <c r="B244" s="4" t="s">
        <v>117</v>
      </c>
      <c r="C244" s="104" t="s">
        <v>135</v>
      </c>
      <c r="D244" s="105">
        <v>183106</v>
      </c>
      <c r="E244" s="105">
        <v>404</v>
      </c>
      <c r="F244" s="101">
        <v>38622.480000000003</v>
      </c>
      <c r="G244" s="5" t="s">
        <v>129</v>
      </c>
      <c r="H244" s="105">
        <v>4098</v>
      </c>
      <c r="I244" s="105">
        <v>30717862453</v>
      </c>
      <c r="J244" s="5" t="s">
        <v>130</v>
      </c>
      <c r="K244" s="101">
        <f>+K243+Tabla6[[#This Row],[IMPORTE]]</f>
        <v>32106234.750000041</v>
      </c>
      <c r="L244" s="5" t="s">
        <v>215</v>
      </c>
      <c r="M244" s="133" t="s">
        <v>100</v>
      </c>
    </row>
    <row r="245" spans="2:13" x14ac:dyDescent="0.35">
      <c r="B245" s="4" t="s">
        <v>117</v>
      </c>
      <c r="C245" s="104" t="s">
        <v>135</v>
      </c>
      <c r="D245" s="105">
        <v>197579</v>
      </c>
      <c r="E245" s="105">
        <v>404</v>
      </c>
      <c r="F245" s="101">
        <v>38622.480000000003</v>
      </c>
      <c r="G245" s="5" t="s">
        <v>129</v>
      </c>
      <c r="H245" s="105">
        <v>4098</v>
      </c>
      <c r="I245" s="105">
        <v>30717862453</v>
      </c>
      <c r="J245" s="5" t="s">
        <v>130</v>
      </c>
      <c r="K245" s="101">
        <f>+K244+Tabla6[[#This Row],[IMPORTE]]</f>
        <v>32144857.230000041</v>
      </c>
      <c r="L245" s="5" t="s">
        <v>215</v>
      </c>
      <c r="M245" s="133" t="s">
        <v>100</v>
      </c>
    </row>
    <row r="246" spans="2:13" x14ac:dyDescent="0.35">
      <c r="B246" s="4" t="s">
        <v>117</v>
      </c>
      <c r="C246" s="104" t="s">
        <v>135</v>
      </c>
      <c r="D246" s="105">
        <v>291753</v>
      </c>
      <c r="E246" s="105">
        <v>404</v>
      </c>
      <c r="F246" s="101">
        <v>38622.480000000003</v>
      </c>
      <c r="G246" s="5" t="s">
        <v>129</v>
      </c>
      <c r="H246" s="105">
        <v>4098</v>
      </c>
      <c r="I246" s="105">
        <v>30717862453</v>
      </c>
      <c r="J246" s="5" t="s">
        <v>130</v>
      </c>
      <c r="K246" s="101">
        <f>+K245+Tabla6[[#This Row],[IMPORTE]]</f>
        <v>32183479.710000042</v>
      </c>
      <c r="L246" s="5" t="s">
        <v>215</v>
      </c>
      <c r="M246" s="133" t="s">
        <v>100</v>
      </c>
    </row>
    <row r="247" spans="2:13" x14ac:dyDescent="0.35">
      <c r="B247" s="4" t="s">
        <v>117</v>
      </c>
      <c r="C247" s="104" t="s">
        <v>135</v>
      </c>
      <c r="D247" s="105">
        <v>294054</v>
      </c>
      <c r="E247" s="105">
        <v>404</v>
      </c>
      <c r="F247" s="101">
        <v>38622.480000000003</v>
      </c>
      <c r="G247" s="5" t="s">
        <v>129</v>
      </c>
      <c r="H247" s="105">
        <v>4098</v>
      </c>
      <c r="I247" s="105">
        <v>30717862453</v>
      </c>
      <c r="J247" s="5" t="s">
        <v>130</v>
      </c>
      <c r="K247" s="101">
        <f>+K246+Tabla6[[#This Row],[IMPORTE]]</f>
        <v>32222102.190000042</v>
      </c>
      <c r="L247" s="5" t="s">
        <v>215</v>
      </c>
      <c r="M247" s="133" t="s">
        <v>100</v>
      </c>
    </row>
    <row r="248" spans="2:13" x14ac:dyDescent="0.35">
      <c r="B248" s="4" t="s">
        <v>117</v>
      </c>
      <c r="C248" s="104" t="s">
        <v>135</v>
      </c>
      <c r="D248" s="105">
        <v>361948</v>
      </c>
      <c r="E248" s="105">
        <v>404</v>
      </c>
      <c r="F248" s="101">
        <v>38622.480000000003</v>
      </c>
      <c r="G248" s="5" t="s">
        <v>129</v>
      </c>
      <c r="H248" s="105">
        <v>4098</v>
      </c>
      <c r="I248" s="105">
        <v>30717862453</v>
      </c>
      <c r="J248" s="5" t="s">
        <v>130</v>
      </c>
      <c r="K248" s="101">
        <f>+K247+Tabla6[[#This Row],[IMPORTE]]</f>
        <v>32260724.670000043</v>
      </c>
      <c r="L248" s="5" t="s">
        <v>215</v>
      </c>
      <c r="M248" s="133" t="s">
        <v>100</v>
      </c>
    </row>
    <row r="249" spans="2:13" x14ac:dyDescent="0.35">
      <c r="B249" s="4" t="s">
        <v>117</v>
      </c>
      <c r="C249" s="104" t="s">
        <v>135</v>
      </c>
      <c r="D249" s="105">
        <v>398495</v>
      </c>
      <c r="E249" s="105">
        <v>404</v>
      </c>
      <c r="F249" s="101">
        <v>38622.480000000003</v>
      </c>
      <c r="G249" s="5" t="s">
        <v>129</v>
      </c>
      <c r="H249" s="105">
        <v>4098</v>
      </c>
      <c r="I249" s="105">
        <v>30717862453</v>
      </c>
      <c r="J249" s="5" t="s">
        <v>130</v>
      </c>
      <c r="K249" s="101">
        <f>+K248+Tabla6[[#This Row],[IMPORTE]]</f>
        <v>32299347.150000043</v>
      </c>
      <c r="L249" s="5" t="s">
        <v>215</v>
      </c>
      <c r="M249" s="133" t="s">
        <v>100</v>
      </c>
    </row>
    <row r="250" spans="2:13" x14ac:dyDescent="0.35">
      <c r="B250" s="4" t="s">
        <v>117</v>
      </c>
      <c r="C250" s="104" t="s">
        <v>135</v>
      </c>
      <c r="D250" s="105">
        <v>401538</v>
      </c>
      <c r="E250" s="105">
        <v>404</v>
      </c>
      <c r="F250" s="101">
        <v>38622.480000000003</v>
      </c>
      <c r="G250" s="5" t="s">
        <v>129</v>
      </c>
      <c r="H250" s="105">
        <v>4098</v>
      </c>
      <c r="I250" s="105">
        <v>30717862453</v>
      </c>
      <c r="J250" s="5" t="s">
        <v>130</v>
      </c>
      <c r="K250" s="101">
        <f>+K249+Tabla6[[#This Row],[IMPORTE]]</f>
        <v>32337969.630000044</v>
      </c>
      <c r="L250" s="5" t="s">
        <v>215</v>
      </c>
      <c r="M250" s="133" t="s">
        <v>100</v>
      </c>
    </row>
    <row r="251" spans="2:13" x14ac:dyDescent="0.35">
      <c r="B251" s="4" t="s">
        <v>117</v>
      </c>
      <c r="C251" s="104" t="s">
        <v>135</v>
      </c>
      <c r="D251" s="105">
        <v>430010</v>
      </c>
      <c r="E251" s="105">
        <v>404</v>
      </c>
      <c r="F251" s="101">
        <v>38622.480000000003</v>
      </c>
      <c r="G251" s="5" t="s">
        <v>129</v>
      </c>
      <c r="H251" s="105">
        <v>4098</v>
      </c>
      <c r="I251" s="105">
        <v>30717862453</v>
      </c>
      <c r="J251" s="5" t="s">
        <v>130</v>
      </c>
      <c r="K251" s="101">
        <f>+K250+Tabla6[[#This Row],[IMPORTE]]</f>
        <v>32376592.110000044</v>
      </c>
      <c r="L251" s="5" t="s">
        <v>215</v>
      </c>
      <c r="M251" s="133" t="s">
        <v>100</v>
      </c>
    </row>
    <row r="252" spans="2:13" x14ac:dyDescent="0.35">
      <c r="B252" s="4" t="s">
        <v>117</v>
      </c>
      <c r="C252" s="104" t="s">
        <v>135</v>
      </c>
      <c r="D252" s="105">
        <v>464875</v>
      </c>
      <c r="E252" s="105">
        <v>404</v>
      </c>
      <c r="F252" s="101">
        <v>38622.480000000003</v>
      </c>
      <c r="G252" s="5" t="s">
        <v>129</v>
      </c>
      <c r="H252" s="105">
        <v>4098</v>
      </c>
      <c r="I252" s="105">
        <v>30717862453</v>
      </c>
      <c r="J252" s="5" t="s">
        <v>130</v>
      </c>
      <c r="K252" s="101">
        <f>+K251+Tabla6[[#This Row],[IMPORTE]]</f>
        <v>32415214.590000045</v>
      </c>
      <c r="L252" s="5" t="s">
        <v>215</v>
      </c>
      <c r="M252" s="133" t="s">
        <v>100</v>
      </c>
    </row>
    <row r="253" spans="2:13" x14ac:dyDescent="0.35">
      <c r="B253" s="4" t="s">
        <v>117</v>
      </c>
      <c r="C253" s="104" t="s">
        <v>135</v>
      </c>
      <c r="D253" s="105">
        <v>490547</v>
      </c>
      <c r="E253" s="105">
        <v>404</v>
      </c>
      <c r="F253" s="101">
        <v>38622.480000000003</v>
      </c>
      <c r="G253" s="5" t="s">
        <v>129</v>
      </c>
      <c r="H253" s="105">
        <v>4098</v>
      </c>
      <c r="I253" s="105">
        <v>30717862453</v>
      </c>
      <c r="J253" s="5" t="s">
        <v>130</v>
      </c>
      <c r="K253" s="101">
        <f>+K252+Tabla6[[#This Row],[IMPORTE]]</f>
        <v>32453837.070000045</v>
      </c>
      <c r="L253" s="5" t="s">
        <v>215</v>
      </c>
      <c r="M253" s="133" t="s">
        <v>100</v>
      </c>
    </row>
    <row r="254" spans="2:13" x14ac:dyDescent="0.35">
      <c r="B254" s="4" t="s">
        <v>117</v>
      </c>
      <c r="C254" s="104" t="s">
        <v>135</v>
      </c>
      <c r="D254" s="105">
        <v>570628</v>
      </c>
      <c r="E254" s="105">
        <v>404</v>
      </c>
      <c r="F254" s="101">
        <v>38622.480000000003</v>
      </c>
      <c r="G254" s="5" t="s">
        <v>129</v>
      </c>
      <c r="H254" s="105">
        <v>4098</v>
      </c>
      <c r="I254" s="105">
        <v>30717862453</v>
      </c>
      <c r="J254" s="5" t="s">
        <v>130</v>
      </c>
      <c r="K254" s="101">
        <f>+K253+Tabla6[[#This Row],[IMPORTE]]</f>
        <v>32492459.550000045</v>
      </c>
      <c r="L254" s="5" t="s">
        <v>215</v>
      </c>
      <c r="M254" s="133" t="s">
        <v>100</v>
      </c>
    </row>
    <row r="255" spans="2:13" x14ac:dyDescent="0.35">
      <c r="B255" s="4" t="s">
        <v>117</v>
      </c>
      <c r="C255" s="104" t="s">
        <v>135</v>
      </c>
      <c r="D255" s="105">
        <v>572510</v>
      </c>
      <c r="E255" s="105">
        <v>404</v>
      </c>
      <c r="F255" s="101">
        <v>38622.480000000003</v>
      </c>
      <c r="G255" s="5" t="s">
        <v>129</v>
      </c>
      <c r="H255" s="105">
        <v>4098</v>
      </c>
      <c r="I255" s="105">
        <v>30717862453</v>
      </c>
      <c r="J255" s="5" t="s">
        <v>130</v>
      </c>
      <c r="K255" s="101">
        <f>+K254+Tabla6[[#This Row],[IMPORTE]]</f>
        <v>32531082.030000046</v>
      </c>
      <c r="L255" s="5" t="s">
        <v>215</v>
      </c>
      <c r="M255" s="133" t="s">
        <v>100</v>
      </c>
    </row>
    <row r="256" spans="2:13" x14ac:dyDescent="0.35">
      <c r="B256" s="4" t="s">
        <v>117</v>
      </c>
      <c r="C256" s="104" t="s">
        <v>135</v>
      </c>
      <c r="D256" s="105">
        <v>583378</v>
      </c>
      <c r="E256" s="105">
        <v>404</v>
      </c>
      <c r="F256" s="101">
        <v>38622.480000000003</v>
      </c>
      <c r="G256" s="5" t="s">
        <v>129</v>
      </c>
      <c r="H256" s="105">
        <v>4098</v>
      </c>
      <c r="I256" s="105">
        <v>30717862453</v>
      </c>
      <c r="J256" s="5" t="s">
        <v>130</v>
      </c>
      <c r="K256" s="101">
        <f>+K255+Tabla6[[#This Row],[IMPORTE]]</f>
        <v>32569704.510000046</v>
      </c>
      <c r="L256" s="5" t="s">
        <v>215</v>
      </c>
      <c r="M256" s="133" t="s">
        <v>100</v>
      </c>
    </row>
    <row r="257" spans="2:13" x14ac:dyDescent="0.35">
      <c r="B257" s="4" t="s">
        <v>117</v>
      </c>
      <c r="C257" s="104" t="s">
        <v>135</v>
      </c>
      <c r="D257" s="105">
        <v>592417</v>
      </c>
      <c r="E257" s="105">
        <v>404</v>
      </c>
      <c r="F257" s="101">
        <v>38622.480000000003</v>
      </c>
      <c r="G257" s="5" t="s">
        <v>129</v>
      </c>
      <c r="H257" s="105">
        <v>4098</v>
      </c>
      <c r="I257" s="105">
        <v>30717862453</v>
      </c>
      <c r="J257" s="5" t="s">
        <v>130</v>
      </c>
      <c r="K257" s="101">
        <f>+K256+Tabla6[[#This Row],[IMPORTE]]</f>
        <v>32608326.990000047</v>
      </c>
      <c r="L257" s="5" t="s">
        <v>215</v>
      </c>
      <c r="M257" s="133" t="s">
        <v>100</v>
      </c>
    </row>
    <row r="258" spans="2:13" x14ac:dyDescent="0.35">
      <c r="B258" s="4" t="s">
        <v>117</v>
      </c>
      <c r="C258" s="104" t="s">
        <v>135</v>
      </c>
      <c r="D258" s="105">
        <v>624065</v>
      </c>
      <c r="E258" s="105">
        <v>404</v>
      </c>
      <c r="F258" s="101">
        <v>38622.480000000003</v>
      </c>
      <c r="G258" s="5" t="s">
        <v>129</v>
      </c>
      <c r="H258" s="105">
        <v>4098</v>
      </c>
      <c r="I258" s="105">
        <v>30717862453</v>
      </c>
      <c r="J258" s="5" t="s">
        <v>130</v>
      </c>
      <c r="K258" s="101">
        <f>+K257+Tabla6[[#This Row],[IMPORTE]]</f>
        <v>32646949.470000047</v>
      </c>
      <c r="L258" s="5" t="s">
        <v>215</v>
      </c>
      <c r="M258" s="133" t="s">
        <v>100</v>
      </c>
    </row>
    <row r="259" spans="2:13" x14ac:dyDescent="0.35">
      <c r="B259" s="4" t="s">
        <v>117</v>
      </c>
      <c r="C259" s="104" t="s">
        <v>135</v>
      </c>
      <c r="D259" s="105">
        <v>650534</v>
      </c>
      <c r="E259" s="105">
        <v>404</v>
      </c>
      <c r="F259" s="101">
        <v>38622.480000000003</v>
      </c>
      <c r="G259" s="5" t="s">
        <v>129</v>
      </c>
      <c r="H259" s="105">
        <v>4098</v>
      </c>
      <c r="I259" s="105">
        <v>30717862453</v>
      </c>
      <c r="J259" s="5" t="s">
        <v>130</v>
      </c>
      <c r="K259" s="101">
        <f>+K258+Tabla6[[#This Row],[IMPORTE]]</f>
        <v>32685571.950000048</v>
      </c>
      <c r="L259" s="5" t="s">
        <v>215</v>
      </c>
      <c r="M259" s="133" t="s">
        <v>100</v>
      </c>
    </row>
    <row r="260" spans="2:13" x14ac:dyDescent="0.35">
      <c r="B260" s="4" t="s">
        <v>117</v>
      </c>
      <c r="C260" s="104" t="s">
        <v>135</v>
      </c>
      <c r="D260" s="105">
        <v>663206</v>
      </c>
      <c r="E260" s="105">
        <v>404</v>
      </c>
      <c r="F260" s="101">
        <v>38622.480000000003</v>
      </c>
      <c r="G260" s="5" t="s">
        <v>129</v>
      </c>
      <c r="H260" s="105">
        <v>4098</v>
      </c>
      <c r="I260" s="105">
        <v>30717862453</v>
      </c>
      <c r="J260" s="5" t="s">
        <v>130</v>
      </c>
      <c r="K260" s="101">
        <f>+K259+Tabla6[[#This Row],[IMPORTE]]</f>
        <v>32724194.430000048</v>
      </c>
      <c r="L260" s="5" t="s">
        <v>215</v>
      </c>
      <c r="M260" s="133" t="s">
        <v>100</v>
      </c>
    </row>
    <row r="261" spans="2:13" x14ac:dyDescent="0.35">
      <c r="B261" s="4" t="s">
        <v>117</v>
      </c>
      <c r="C261" s="104" t="s">
        <v>135</v>
      </c>
      <c r="D261" s="105">
        <v>667673</v>
      </c>
      <c r="E261" s="105">
        <v>404</v>
      </c>
      <c r="F261" s="101">
        <v>38622.480000000003</v>
      </c>
      <c r="G261" s="5" t="s">
        <v>129</v>
      </c>
      <c r="H261" s="105">
        <v>4098</v>
      </c>
      <c r="I261" s="105">
        <v>30717862453</v>
      </c>
      <c r="J261" s="5" t="s">
        <v>130</v>
      </c>
      <c r="K261" s="101">
        <f>+K260+Tabla6[[#This Row],[IMPORTE]]</f>
        <v>32762816.910000049</v>
      </c>
      <c r="L261" s="5" t="s">
        <v>215</v>
      </c>
      <c r="M261" s="133" t="s">
        <v>100</v>
      </c>
    </row>
    <row r="262" spans="2:13" x14ac:dyDescent="0.35">
      <c r="B262" s="4" t="s">
        <v>117</v>
      </c>
      <c r="C262" s="104" t="s">
        <v>135</v>
      </c>
      <c r="D262" s="105">
        <v>827160</v>
      </c>
      <c r="E262" s="105">
        <v>404</v>
      </c>
      <c r="F262" s="101">
        <v>38622.480000000003</v>
      </c>
      <c r="G262" s="5" t="s">
        <v>129</v>
      </c>
      <c r="H262" s="105">
        <v>4098</v>
      </c>
      <c r="I262" s="105">
        <v>30717862453</v>
      </c>
      <c r="J262" s="5" t="s">
        <v>130</v>
      </c>
      <c r="K262" s="101">
        <f>+K261+Tabla6[[#This Row],[IMPORTE]]</f>
        <v>32801439.390000049</v>
      </c>
      <c r="L262" s="5" t="s">
        <v>215</v>
      </c>
      <c r="M262" s="133" t="s">
        <v>100</v>
      </c>
    </row>
    <row r="263" spans="2:13" x14ac:dyDescent="0.35">
      <c r="B263" s="4" t="s">
        <v>117</v>
      </c>
      <c r="C263" s="104" t="s">
        <v>135</v>
      </c>
      <c r="D263" s="105">
        <v>845851</v>
      </c>
      <c r="E263" s="105">
        <v>404</v>
      </c>
      <c r="F263" s="101">
        <v>38622.480000000003</v>
      </c>
      <c r="G263" s="5" t="s">
        <v>129</v>
      </c>
      <c r="H263" s="105">
        <v>4098</v>
      </c>
      <c r="I263" s="105">
        <v>30717862453</v>
      </c>
      <c r="J263" s="5" t="s">
        <v>130</v>
      </c>
      <c r="K263" s="101">
        <f>+K262+Tabla6[[#This Row],[IMPORTE]]</f>
        <v>32840061.870000049</v>
      </c>
      <c r="L263" s="5" t="s">
        <v>215</v>
      </c>
      <c r="M263" s="133" t="s">
        <v>100</v>
      </c>
    </row>
    <row r="264" spans="2:13" x14ac:dyDescent="0.35">
      <c r="B264" s="4" t="s">
        <v>117</v>
      </c>
      <c r="C264" s="104" t="s">
        <v>135</v>
      </c>
      <c r="D264" s="105">
        <v>858712</v>
      </c>
      <c r="E264" s="105">
        <v>404</v>
      </c>
      <c r="F264" s="101">
        <v>38622.480000000003</v>
      </c>
      <c r="G264" s="5" t="s">
        <v>129</v>
      </c>
      <c r="H264" s="105">
        <v>4098</v>
      </c>
      <c r="I264" s="105">
        <v>30717862453</v>
      </c>
      <c r="J264" s="5" t="s">
        <v>130</v>
      </c>
      <c r="K264" s="101">
        <f>+K263+Tabla6[[#This Row],[IMPORTE]]</f>
        <v>32878684.35000005</v>
      </c>
      <c r="L264" s="5" t="s">
        <v>215</v>
      </c>
      <c r="M264" s="133" t="s">
        <v>100</v>
      </c>
    </row>
    <row r="265" spans="2:13" x14ac:dyDescent="0.35">
      <c r="B265" s="4" t="s">
        <v>117</v>
      </c>
      <c r="C265" s="104" t="s">
        <v>135</v>
      </c>
      <c r="D265" s="105">
        <v>865097</v>
      </c>
      <c r="E265" s="105">
        <v>404</v>
      </c>
      <c r="F265" s="101">
        <v>38622.480000000003</v>
      </c>
      <c r="G265" s="5" t="s">
        <v>129</v>
      </c>
      <c r="H265" s="105">
        <v>4098</v>
      </c>
      <c r="I265" s="105">
        <v>30717862453</v>
      </c>
      <c r="J265" s="5" t="s">
        <v>130</v>
      </c>
      <c r="K265" s="101">
        <f>+K264+Tabla6[[#This Row],[IMPORTE]]</f>
        <v>32917306.83000005</v>
      </c>
      <c r="L265" s="5" t="s">
        <v>215</v>
      </c>
      <c r="M265" s="133" t="s">
        <v>100</v>
      </c>
    </row>
    <row r="266" spans="2:13" x14ac:dyDescent="0.35">
      <c r="B266" s="4" t="s">
        <v>117</v>
      </c>
      <c r="C266" s="104" t="s">
        <v>135</v>
      </c>
      <c r="D266" s="105">
        <v>911832</v>
      </c>
      <c r="E266" s="105">
        <v>404</v>
      </c>
      <c r="F266" s="101">
        <v>38622.480000000003</v>
      </c>
      <c r="G266" s="5" t="s">
        <v>129</v>
      </c>
      <c r="H266" s="105">
        <v>4098</v>
      </c>
      <c r="I266" s="105">
        <v>30717862453</v>
      </c>
      <c r="J266" s="5" t="s">
        <v>130</v>
      </c>
      <c r="K266" s="101">
        <f>+K265+Tabla6[[#This Row],[IMPORTE]]</f>
        <v>32955929.310000051</v>
      </c>
      <c r="L266" s="5" t="s">
        <v>215</v>
      </c>
      <c r="M266" s="133" t="s">
        <v>100</v>
      </c>
    </row>
    <row r="267" spans="2:13" x14ac:dyDescent="0.35">
      <c r="B267" s="4" t="s">
        <v>117</v>
      </c>
      <c r="C267" s="104" t="s">
        <v>135</v>
      </c>
      <c r="D267" s="105">
        <v>943836</v>
      </c>
      <c r="E267" s="105">
        <v>404</v>
      </c>
      <c r="F267" s="101">
        <v>38622.480000000003</v>
      </c>
      <c r="G267" s="5" t="s">
        <v>129</v>
      </c>
      <c r="H267" s="105">
        <v>4098</v>
      </c>
      <c r="I267" s="105">
        <v>30717862453</v>
      </c>
      <c r="J267" s="5" t="s">
        <v>130</v>
      </c>
      <c r="K267" s="101">
        <f>+K266+Tabla6[[#This Row],[IMPORTE]]</f>
        <v>32994551.790000051</v>
      </c>
      <c r="L267" s="5" t="s">
        <v>215</v>
      </c>
      <c r="M267" s="133" t="s">
        <v>100</v>
      </c>
    </row>
    <row r="268" spans="2:13" x14ac:dyDescent="0.35">
      <c r="B268" s="4" t="s">
        <v>117</v>
      </c>
      <c r="C268" s="104" t="s">
        <v>135</v>
      </c>
      <c r="D268" s="105">
        <v>999645</v>
      </c>
      <c r="E268" s="105">
        <v>404</v>
      </c>
      <c r="F268" s="101">
        <v>38622.480000000003</v>
      </c>
      <c r="G268" s="5" t="s">
        <v>129</v>
      </c>
      <c r="H268" s="105">
        <v>4098</v>
      </c>
      <c r="I268" s="105">
        <v>30717862453</v>
      </c>
      <c r="J268" s="5" t="s">
        <v>130</v>
      </c>
      <c r="K268" s="101">
        <f>+K267+Tabla6[[#This Row],[IMPORTE]]</f>
        <v>33033174.270000052</v>
      </c>
      <c r="L268" s="5" t="s">
        <v>215</v>
      </c>
      <c r="M268" s="133" t="s">
        <v>100</v>
      </c>
    </row>
    <row r="269" spans="2:13" x14ac:dyDescent="0.35">
      <c r="B269" s="4" t="s">
        <v>117</v>
      </c>
      <c r="C269" s="104" t="s">
        <v>135</v>
      </c>
      <c r="D269" s="105">
        <v>873501</v>
      </c>
      <c r="E269" s="105">
        <v>404</v>
      </c>
      <c r="F269" s="101">
        <v>44623.82</v>
      </c>
      <c r="G269" s="5" t="s">
        <v>129</v>
      </c>
      <c r="H269" s="105">
        <v>4098</v>
      </c>
      <c r="I269" s="105">
        <v>30717862453</v>
      </c>
      <c r="J269" s="5" t="s">
        <v>130</v>
      </c>
      <c r="K269" s="101">
        <f>+K268+Tabla6[[#This Row],[IMPORTE]]</f>
        <v>33077798.090000052</v>
      </c>
      <c r="L269" s="5" t="s">
        <v>215</v>
      </c>
      <c r="M269" s="133" t="s">
        <v>100</v>
      </c>
    </row>
    <row r="270" spans="2:13" x14ac:dyDescent="0.35">
      <c r="B270" s="4" t="s">
        <v>104</v>
      </c>
      <c r="C270" s="104" t="s">
        <v>135</v>
      </c>
      <c r="D270" s="105">
        <v>222716</v>
      </c>
      <c r="E270" s="105">
        <v>404</v>
      </c>
      <c r="F270" s="101">
        <v>51370.8</v>
      </c>
      <c r="G270" s="5" t="s">
        <v>106</v>
      </c>
      <c r="H270" s="105">
        <v>183</v>
      </c>
      <c r="I270" s="70" t="s">
        <v>107</v>
      </c>
      <c r="J270" s="5" t="s">
        <v>137</v>
      </c>
      <c r="K270" s="101">
        <f>+K269+Tabla6[[#This Row],[IMPORTE]]</f>
        <v>33129168.890000053</v>
      </c>
      <c r="L270" s="5" t="s">
        <v>217</v>
      </c>
      <c r="M270" s="133" t="s">
        <v>100</v>
      </c>
    </row>
    <row r="271" spans="2:13" x14ac:dyDescent="0.35">
      <c r="B271" s="4" t="s">
        <v>117</v>
      </c>
      <c r="C271" s="104" t="s">
        <v>135</v>
      </c>
      <c r="D271" s="105">
        <v>38655</v>
      </c>
      <c r="E271" s="105">
        <v>404</v>
      </c>
      <c r="F271" s="101">
        <v>51496.639999999999</v>
      </c>
      <c r="G271" s="5" t="s">
        <v>129</v>
      </c>
      <c r="H271" s="105">
        <v>4098</v>
      </c>
      <c r="I271" s="105">
        <v>30717862453</v>
      </c>
      <c r="J271" s="5" t="s">
        <v>130</v>
      </c>
      <c r="K271" s="101">
        <f>+K270+Tabla6[[#This Row],[IMPORTE]]</f>
        <v>33180665.530000053</v>
      </c>
      <c r="L271" s="5" t="s">
        <v>215</v>
      </c>
      <c r="M271" s="133" t="s">
        <v>100</v>
      </c>
    </row>
    <row r="272" spans="2:13" x14ac:dyDescent="0.35">
      <c r="B272" s="4" t="s">
        <v>117</v>
      </c>
      <c r="C272" s="104" t="s">
        <v>135</v>
      </c>
      <c r="D272" s="105">
        <v>381653</v>
      </c>
      <c r="E272" s="105">
        <v>404</v>
      </c>
      <c r="F272" s="101">
        <v>51496.639999999999</v>
      </c>
      <c r="G272" s="5" t="s">
        <v>129</v>
      </c>
      <c r="H272" s="105">
        <v>4098</v>
      </c>
      <c r="I272" s="105">
        <v>30717862453</v>
      </c>
      <c r="J272" s="5" t="s">
        <v>130</v>
      </c>
      <c r="K272" s="101">
        <f>+K271+Tabla6[[#This Row],[IMPORTE]]</f>
        <v>33232162.170000054</v>
      </c>
      <c r="L272" s="5" t="s">
        <v>215</v>
      </c>
      <c r="M272" s="133" t="s">
        <v>100</v>
      </c>
    </row>
    <row r="273" spans="2:13" x14ac:dyDescent="0.35">
      <c r="B273" s="4" t="s">
        <v>117</v>
      </c>
      <c r="C273" s="104" t="s">
        <v>135</v>
      </c>
      <c r="D273" s="105">
        <v>742574</v>
      </c>
      <c r="E273" s="105">
        <v>404</v>
      </c>
      <c r="F273" s="101">
        <v>51496.639999999999</v>
      </c>
      <c r="G273" s="5" t="s">
        <v>129</v>
      </c>
      <c r="H273" s="105">
        <v>4098</v>
      </c>
      <c r="I273" s="105">
        <v>30717862453</v>
      </c>
      <c r="J273" s="5" t="s">
        <v>130</v>
      </c>
      <c r="K273" s="101">
        <f>+K272+Tabla6[[#This Row],[IMPORTE]]</f>
        <v>33283658.810000055</v>
      </c>
      <c r="L273" s="5" t="s">
        <v>215</v>
      </c>
      <c r="M273" s="133" t="s">
        <v>100</v>
      </c>
    </row>
    <row r="274" spans="2:13" x14ac:dyDescent="0.35">
      <c r="B274" s="4" t="s">
        <v>104</v>
      </c>
      <c r="C274" s="104" t="s">
        <v>135</v>
      </c>
      <c r="D274" s="105">
        <v>222687</v>
      </c>
      <c r="E274" s="105">
        <v>404</v>
      </c>
      <c r="F274" s="101">
        <v>59193.54</v>
      </c>
      <c r="G274" s="5" t="s">
        <v>106</v>
      </c>
      <c r="H274" s="105">
        <v>183</v>
      </c>
      <c r="I274" s="70" t="s">
        <v>107</v>
      </c>
      <c r="J274" s="5" t="s">
        <v>111</v>
      </c>
      <c r="K274" s="101">
        <f>+K273+Tabla6[[#This Row],[IMPORTE]]</f>
        <v>33342852.350000054</v>
      </c>
      <c r="L274" s="5" t="s">
        <v>218</v>
      </c>
      <c r="M274" s="133" t="s">
        <v>100</v>
      </c>
    </row>
    <row r="275" spans="2:13" x14ac:dyDescent="0.35">
      <c r="B275" s="4" t="s">
        <v>117</v>
      </c>
      <c r="C275" s="104" t="s">
        <v>135</v>
      </c>
      <c r="D275" s="105">
        <v>753424</v>
      </c>
      <c r="E275" s="105">
        <v>404</v>
      </c>
      <c r="F275" s="101">
        <v>67143.7</v>
      </c>
      <c r="G275" s="5" t="s">
        <v>129</v>
      </c>
      <c r="H275" s="105">
        <v>4098</v>
      </c>
      <c r="I275" s="105">
        <v>30717862453</v>
      </c>
      <c r="J275" s="5" t="s">
        <v>130</v>
      </c>
      <c r="K275" s="101">
        <f>+K274+Tabla6[[#This Row],[IMPORTE]]</f>
        <v>33409996.050000053</v>
      </c>
      <c r="L275" s="5" t="s">
        <v>215</v>
      </c>
      <c r="M275" s="133" t="s">
        <v>100</v>
      </c>
    </row>
    <row r="276" spans="2:13" x14ac:dyDescent="0.35">
      <c r="B276" s="4" t="s">
        <v>104</v>
      </c>
      <c r="C276" s="104" t="s">
        <v>135</v>
      </c>
      <c r="D276" s="105">
        <v>222718</v>
      </c>
      <c r="E276" s="105">
        <v>404</v>
      </c>
      <c r="F276" s="101">
        <v>69769.7</v>
      </c>
      <c r="G276" s="5" t="s">
        <v>106</v>
      </c>
      <c r="H276" s="105">
        <v>183</v>
      </c>
      <c r="I276" s="70" t="s">
        <v>107</v>
      </c>
      <c r="J276" s="5" t="s">
        <v>109</v>
      </c>
      <c r="K276" s="101">
        <f>+K275+Tabla6[[#This Row],[IMPORTE]]</f>
        <v>33479765.750000052</v>
      </c>
      <c r="L276" s="5" t="s">
        <v>216</v>
      </c>
      <c r="M276" s="133" t="s">
        <v>100</v>
      </c>
    </row>
    <row r="277" spans="2:13" x14ac:dyDescent="0.35">
      <c r="B277" s="4" t="s">
        <v>117</v>
      </c>
      <c r="C277" s="104" t="s">
        <v>135</v>
      </c>
      <c r="D277" s="105">
        <v>893090</v>
      </c>
      <c r="E277" s="105">
        <v>404</v>
      </c>
      <c r="F277" s="101">
        <v>77244.960000000006</v>
      </c>
      <c r="G277" s="5" t="s">
        <v>129</v>
      </c>
      <c r="H277" s="105">
        <v>4098</v>
      </c>
      <c r="I277" s="105">
        <v>30717862453</v>
      </c>
      <c r="J277" s="5" t="s">
        <v>130</v>
      </c>
      <c r="K277" s="101">
        <f>+K276+Tabla6[[#This Row],[IMPORTE]]</f>
        <v>33557010.710000053</v>
      </c>
      <c r="L277" s="5" t="s">
        <v>215</v>
      </c>
      <c r="M277" s="133" t="s">
        <v>100</v>
      </c>
    </row>
    <row r="278" spans="2:13" x14ac:dyDescent="0.35">
      <c r="B278" s="4" t="s">
        <v>117</v>
      </c>
      <c r="C278" s="104" t="s">
        <v>135</v>
      </c>
      <c r="D278" s="105">
        <v>409474</v>
      </c>
      <c r="E278" s="105">
        <v>404</v>
      </c>
      <c r="F278" s="101">
        <v>84523.54</v>
      </c>
      <c r="G278" s="5" t="s">
        <v>129</v>
      </c>
      <c r="H278" s="105">
        <v>4098</v>
      </c>
      <c r="I278" s="105">
        <v>30717862453</v>
      </c>
      <c r="J278" s="5" t="s">
        <v>130</v>
      </c>
      <c r="K278" s="101">
        <f>+K277+Tabla6[[#This Row],[IMPORTE]]</f>
        <v>33641534.250000052</v>
      </c>
      <c r="L278" s="5" t="s">
        <v>215</v>
      </c>
      <c r="M278" s="133" t="s">
        <v>100</v>
      </c>
    </row>
    <row r="279" spans="2:13" x14ac:dyDescent="0.35">
      <c r="B279" s="4" t="s">
        <v>117</v>
      </c>
      <c r="C279" s="104" t="s">
        <v>135</v>
      </c>
      <c r="D279" s="105">
        <v>768736</v>
      </c>
      <c r="E279" s="105">
        <v>404</v>
      </c>
      <c r="F279" s="101">
        <v>93836.87</v>
      </c>
      <c r="G279" s="5" t="s">
        <v>129</v>
      </c>
      <c r="H279" s="105">
        <v>4098</v>
      </c>
      <c r="I279" s="105">
        <v>30717862453</v>
      </c>
      <c r="J279" s="5" t="s">
        <v>130</v>
      </c>
      <c r="K279" s="101">
        <f>+K278+Tabla6[[#This Row],[IMPORTE]]</f>
        <v>33735371.120000049</v>
      </c>
      <c r="L279" s="5" t="s">
        <v>215</v>
      </c>
      <c r="M279" s="133" t="s">
        <v>100</v>
      </c>
    </row>
    <row r="280" spans="2:13" x14ac:dyDescent="0.35">
      <c r="B280" s="4" t="s">
        <v>117</v>
      </c>
      <c r="C280" s="104" t="s">
        <v>135</v>
      </c>
      <c r="D280" s="105">
        <v>99271</v>
      </c>
      <c r="E280" s="105">
        <v>404</v>
      </c>
      <c r="F280" s="101">
        <v>96556.2</v>
      </c>
      <c r="G280" s="5" t="s">
        <v>129</v>
      </c>
      <c r="H280" s="105">
        <v>4098</v>
      </c>
      <c r="I280" s="105">
        <v>30717862453</v>
      </c>
      <c r="J280" s="5" t="s">
        <v>130</v>
      </c>
      <c r="K280" s="101">
        <f>+K279+Tabla6[[#This Row],[IMPORTE]]</f>
        <v>33831927.320000052</v>
      </c>
      <c r="L280" s="5" t="s">
        <v>215</v>
      </c>
      <c r="M280" s="133" t="s">
        <v>100</v>
      </c>
    </row>
    <row r="281" spans="2:13" x14ac:dyDescent="0.35">
      <c r="B281" s="4" t="s">
        <v>117</v>
      </c>
      <c r="C281" s="104" t="s">
        <v>135</v>
      </c>
      <c r="D281" s="105">
        <v>41573</v>
      </c>
      <c r="E281" s="105">
        <v>404</v>
      </c>
      <c r="F281" s="101">
        <v>111356.09</v>
      </c>
      <c r="G281" s="5" t="s">
        <v>129</v>
      </c>
      <c r="H281" s="105">
        <v>4098</v>
      </c>
      <c r="I281" s="105">
        <v>30717862453</v>
      </c>
      <c r="J281" s="5" t="s">
        <v>130</v>
      </c>
      <c r="K281" s="101">
        <f>+K280+Tabla6[[#This Row],[IMPORTE]]</f>
        <v>33943283.410000056</v>
      </c>
      <c r="L281" s="5" t="s">
        <v>215</v>
      </c>
      <c r="M281" s="133" t="s">
        <v>100</v>
      </c>
    </row>
    <row r="282" spans="2:13" x14ac:dyDescent="0.35">
      <c r="B282" s="4" t="s">
        <v>104</v>
      </c>
      <c r="C282" s="104" t="s">
        <v>135</v>
      </c>
      <c r="D282" s="105">
        <v>222717</v>
      </c>
      <c r="E282" s="105">
        <v>404</v>
      </c>
      <c r="F282" s="101">
        <v>119385.83</v>
      </c>
      <c r="G282" s="5" t="s">
        <v>106</v>
      </c>
      <c r="H282" s="105">
        <v>183</v>
      </c>
      <c r="I282" s="70" t="s">
        <v>107</v>
      </c>
      <c r="J282" s="5" t="s">
        <v>109</v>
      </c>
      <c r="K282" s="101">
        <f>+K281+Tabla6[[#This Row],[IMPORTE]]</f>
        <v>34062669.240000054</v>
      </c>
      <c r="L282" s="5" t="s">
        <v>217</v>
      </c>
      <c r="M282" s="133" t="s">
        <v>100</v>
      </c>
    </row>
    <row r="283" spans="2:13" x14ac:dyDescent="0.35">
      <c r="B283" s="4" t="s">
        <v>117</v>
      </c>
      <c r="C283" s="104" t="s">
        <v>135</v>
      </c>
      <c r="D283" s="105">
        <v>455994</v>
      </c>
      <c r="E283" s="105">
        <v>404</v>
      </c>
      <c r="F283" s="101">
        <v>164469.38</v>
      </c>
      <c r="G283" s="5" t="s">
        <v>129</v>
      </c>
      <c r="H283" s="105">
        <v>4098</v>
      </c>
      <c r="I283" s="105">
        <v>30717862453</v>
      </c>
      <c r="J283" s="5" t="s">
        <v>130</v>
      </c>
      <c r="K283" s="101">
        <f>+K282+Tabla6[[#This Row],[IMPORTE]]</f>
        <v>34227138.620000057</v>
      </c>
      <c r="L283" s="5" t="s">
        <v>215</v>
      </c>
      <c r="M283" s="133" t="s">
        <v>100</v>
      </c>
    </row>
    <row r="284" spans="2:13" x14ac:dyDescent="0.35">
      <c r="B284" s="4" t="s">
        <v>104</v>
      </c>
      <c r="C284" s="104" t="s">
        <v>135</v>
      </c>
      <c r="D284" s="105">
        <v>222710</v>
      </c>
      <c r="E284" s="105">
        <v>404</v>
      </c>
      <c r="F284" s="101">
        <v>192640.5</v>
      </c>
      <c r="G284" s="5" t="s">
        <v>106</v>
      </c>
      <c r="H284" s="105">
        <v>183</v>
      </c>
      <c r="I284" s="70" t="s">
        <v>107</v>
      </c>
      <c r="J284" s="5" t="s">
        <v>112</v>
      </c>
      <c r="K284" s="101">
        <f>+K283+Tabla6[[#This Row],[IMPORTE]]</f>
        <v>34419779.120000057</v>
      </c>
      <c r="L284" s="5" t="s">
        <v>217</v>
      </c>
      <c r="M284" s="133" t="s">
        <v>100</v>
      </c>
    </row>
    <row r="285" spans="2:13" x14ac:dyDescent="0.35">
      <c r="B285" s="4" t="s">
        <v>117</v>
      </c>
      <c r="C285" s="104" t="s">
        <v>135</v>
      </c>
      <c r="D285" s="105">
        <v>657215</v>
      </c>
      <c r="E285" s="105">
        <v>404</v>
      </c>
      <c r="F285" s="101">
        <v>229814.49</v>
      </c>
      <c r="G285" s="5" t="s">
        <v>129</v>
      </c>
      <c r="H285" s="105">
        <v>4098</v>
      </c>
      <c r="I285" s="105">
        <v>30717862453</v>
      </c>
      <c r="J285" s="5" t="s">
        <v>130</v>
      </c>
      <c r="K285" s="101">
        <f>+K284+Tabla6[[#This Row],[IMPORTE]]</f>
        <v>34649593.610000059</v>
      </c>
      <c r="L285" s="5" t="s">
        <v>215</v>
      </c>
      <c r="M285" s="133" t="s">
        <v>100</v>
      </c>
    </row>
    <row r="286" spans="2:13" x14ac:dyDescent="0.35">
      <c r="B286" s="4" t="s">
        <v>104</v>
      </c>
      <c r="C286" s="104" t="s">
        <v>135</v>
      </c>
      <c r="D286" s="105">
        <v>222719</v>
      </c>
      <c r="E286" s="105">
        <v>404</v>
      </c>
      <c r="F286" s="101">
        <v>230602.32</v>
      </c>
      <c r="G286" s="5" t="s">
        <v>106</v>
      </c>
      <c r="H286" s="105">
        <v>183</v>
      </c>
      <c r="I286" s="70" t="s">
        <v>107</v>
      </c>
      <c r="J286" s="5" t="s">
        <v>113</v>
      </c>
      <c r="K286" s="101">
        <f>+K285+Tabla6[[#This Row],[IMPORTE]]</f>
        <v>34880195.930000059</v>
      </c>
      <c r="L286" s="5" t="s">
        <v>217</v>
      </c>
      <c r="M286" s="133" t="s">
        <v>100</v>
      </c>
    </row>
    <row r="287" spans="2:13" x14ac:dyDescent="0.35">
      <c r="B287" s="4" t="s">
        <v>104</v>
      </c>
      <c r="C287" s="104" t="s">
        <v>135</v>
      </c>
      <c r="D287" s="105">
        <v>222711</v>
      </c>
      <c r="E287" s="105">
        <v>404</v>
      </c>
      <c r="F287" s="101">
        <v>237433.29</v>
      </c>
      <c r="G287" s="5" t="s">
        <v>106</v>
      </c>
      <c r="H287" s="105">
        <v>183</v>
      </c>
      <c r="I287" s="70" t="s">
        <v>107</v>
      </c>
      <c r="J287" s="5" t="s">
        <v>116</v>
      </c>
      <c r="K287" s="101">
        <f>+K286+Tabla6[[#This Row],[IMPORTE]]</f>
        <v>35117629.220000058</v>
      </c>
      <c r="L287" s="5" t="s">
        <v>217</v>
      </c>
      <c r="M287" s="133" t="s">
        <v>100</v>
      </c>
    </row>
    <row r="288" spans="2:13" x14ac:dyDescent="0.35">
      <c r="B288" s="4" t="s">
        <v>104</v>
      </c>
      <c r="C288" s="104" t="s">
        <v>135</v>
      </c>
      <c r="D288" s="105">
        <v>222712</v>
      </c>
      <c r="E288" s="105">
        <v>404</v>
      </c>
      <c r="F288" s="101">
        <v>321067.5</v>
      </c>
      <c r="G288" s="5" t="s">
        <v>106</v>
      </c>
      <c r="H288" s="105">
        <v>183</v>
      </c>
      <c r="I288" s="70" t="s">
        <v>107</v>
      </c>
      <c r="J288" s="5" t="s">
        <v>110</v>
      </c>
      <c r="K288" s="101">
        <f>+K287+Tabla6[[#This Row],[IMPORTE]]</f>
        <v>35438696.720000058</v>
      </c>
      <c r="L288" s="5" t="s">
        <v>217</v>
      </c>
      <c r="M288" s="133" t="s">
        <v>100</v>
      </c>
    </row>
    <row r="289" spans="2:13" x14ac:dyDescent="0.35">
      <c r="B289" s="4" t="s">
        <v>117</v>
      </c>
      <c r="C289" s="104" t="s">
        <v>135</v>
      </c>
      <c r="D289" s="105">
        <v>490616</v>
      </c>
      <c r="E289" s="105">
        <v>404</v>
      </c>
      <c r="F289" s="101">
        <v>322574.96000000002</v>
      </c>
      <c r="G289" s="5" t="s">
        <v>129</v>
      </c>
      <c r="H289" s="105">
        <v>4098</v>
      </c>
      <c r="I289" s="105">
        <v>30717862453</v>
      </c>
      <c r="J289" s="5" t="s">
        <v>130</v>
      </c>
      <c r="K289" s="101">
        <f>+K288+Tabla6[[#This Row],[IMPORTE]]</f>
        <v>35761271.680000059</v>
      </c>
      <c r="L289" s="5" t="s">
        <v>215</v>
      </c>
      <c r="M289" s="133" t="s">
        <v>100</v>
      </c>
    </row>
    <row r="290" spans="2:13" x14ac:dyDescent="0.35">
      <c r="B290" s="4" t="s">
        <v>117</v>
      </c>
      <c r="C290" s="104" t="s">
        <v>135</v>
      </c>
      <c r="D290" s="105">
        <v>638084</v>
      </c>
      <c r="E290" s="105">
        <v>404</v>
      </c>
      <c r="F290" s="101">
        <v>322574.96000000002</v>
      </c>
      <c r="G290" s="5" t="s">
        <v>129</v>
      </c>
      <c r="H290" s="105">
        <v>4098</v>
      </c>
      <c r="I290" s="105">
        <v>30717862453</v>
      </c>
      <c r="J290" s="5" t="s">
        <v>130</v>
      </c>
      <c r="K290" s="101">
        <f>+K289+Tabla6[[#This Row],[IMPORTE]]</f>
        <v>36083846.64000006</v>
      </c>
      <c r="L290" s="5" t="s">
        <v>215</v>
      </c>
      <c r="M290" s="133" t="s">
        <v>100</v>
      </c>
    </row>
    <row r="291" spans="2:13" x14ac:dyDescent="0.35">
      <c r="B291" s="4" t="s">
        <v>104</v>
      </c>
      <c r="C291" s="104" t="s">
        <v>135</v>
      </c>
      <c r="D291" s="105">
        <v>222713</v>
      </c>
      <c r="E291" s="105">
        <v>404</v>
      </c>
      <c r="F291" s="101">
        <v>635719.81999999995</v>
      </c>
      <c r="G291" s="5" t="s">
        <v>106</v>
      </c>
      <c r="H291" s="105">
        <v>183</v>
      </c>
      <c r="I291" s="70" t="s">
        <v>107</v>
      </c>
      <c r="J291" s="5" t="s">
        <v>115</v>
      </c>
      <c r="K291" s="101">
        <f>+K290+Tabla6[[#This Row],[IMPORTE]]</f>
        <v>36719566.46000006</v>
      </c>
      <c r="L291" s="5" t="s">
        <v>217</v>
      </c>
      <c r="M291" s="133" t="s">
        <v>100</v>
      </c>
    </row>
    <row r="292" spans="2:13" x14ac:dyDescent="0.35">
      <c r="B292" s="4" t="s">
        <v>117</v>
      </c>
      <c r="C292" s="104" t="s">
        <v>135</v>
      </c>
      <c r="D292" s="105">
        <v>126</v>
      </c>
      <c r="E292" s="105">
        <v>811</v>
      </c>
      <c r="F292" s="101">
        <v>693343.24</v>
      </c>
      <c r="G292" s="5" t="s">
        <v>118</v>
      </c>
      <c r="H292" s="105">
        <v>4151</v>
      </c>
      <c r="I292" s="70" t="s">
        <v>107</v>
      </c>
      <c r="J292" s="5" t="s">
        <v>119</v>
      </c>
      <c r="K292" s="101">
        <f>+K291+Tabla6[[#This Row],[IMPORTE]]</f>
        <v>37412909.700000063</v>
      </c>
      <c r="L292" s="5" t="s">
        <v>219</v>
      </c>
      <c r="M292" s="133" t="s">
        <v>100</v>
      </c>
    </row>
    <row r="293" spans="2:13" x14ac:dyDescent="0.35">
      <c r="B293" s="134" t="s">
        <v>117</v>
      </c>
      <c r="C293" s="113" t="s">
        <v>138</v>
      </c>
      <c r="D293" s="114">
        <v>198394</v>
      </c>
      <c r="E293" s="114">
        <v>404</v>
      </c>
      <c r="F293" s="115">
        <v>3344.71</v>
      </c>
      <c r="G293" s="116" t="s">
        <v>129</v>
      </c>
      <c r="H293" s="114">
        <v>4098</v>
      </c>
      <c r="I293" s="114">
        <v>30717862453</v>
      </c>
      <c r="J293" s="116" t="s">
        <v>130</v>
      </c>
      <c r="K293" s="115">
        <f>+K292+Tabla6[[#This Row],[IMPORTE]]</f>
        <v>37416254.410000063</v>
      </c>
      <c r="L293" s="125" t="s">
        <v>196</v>
      </c>
      <c r="M293" s="118" t="s">
        <v>85</v>
      </c>
    </row>
    <row r="294" spans="2:13" x14ac:dyDescent="0.35">
      <c r="B294" s="134" t="s">
        <v>117</v>
      </c>
      <c r="C294" s="113" t="s">
        <v>138</v>
      </c>
      <c r="D294" s="114">
        <v>715257</v>
      </c>
      <c r="E294" s="114">
        <v>404</v>
      </c>
      <c r="F294" s="115">
        <v>3346.78</v>
      </c>
      <c r="G294" s="116" t="s">
        <v>129</v>
      </c>
      <c r="H294" s="114">
        <v>4098</v>
      </c>
      <c r="I294" s="114">
        <v>30717862453</v>
      </c>
      <c r="J294" s="116" t="s">
        <v>130</v>
      </c>
      <c r="K294" s="115">
        <f>+K293+Tabla6[[#This Row],[IMPORTE]]</f>
        <v>37419601.190000065</v>
      </c>
      <c r="L294" s="125" t="s">
        <v>196</v>
      </c>
      <c r="M294" s="118" t="s">
        <v>85</v>
      </c>
    </row>
    <row r="295" spans="2:13" x14ac:dyDescent="0.35">
      <c r="B295" s="134" t="s">
        <v>117</v>
      </c>
      <c r="C295" s="113" t="s">
        <v>138</v>
      </c>
      <c r="D295" s="114">
        <v>203532</v>
      </c>
      <c r="E295" s="114">
        <v>404</v>
      </c>
      <c r="F295" s="115">
        <v>5665.37</v>
      </c>
      <c r="G295" s="116" t="s">
        <v>129</v>
      </c>
      <c r="H295" s="114">
        <v>4098</v>
      </c>
      <c r="I295" s="114">
        <v>30717862453</v>
      </c>
      <c r="J295" s="116" t="s">
        <v>130</v>
      </c>
      <c r="K295" s="115">
        <f>+K294+Tabla6[[#This Row],[IMPORTE]]</f>
        <v>37425266.560000062</v>
      </c>
      <c r="L295" s="125" t="s">
        <v>196</v>
      </c>
      <c r="M295" s="118" t="s">
        <v>85</v>
      </c>
    </row>
    <row r="296" spans="2:13" x14ac:dyDescent="0.35">
      <c r="B296" s="134" t="s">
        <v>117</v>
      </c>
      <c r="C296" s="113" t="s">
        <v>138</v>
      </c>
      <c r="D296" s="114">
        <v>233085</v>
      </c>
      <c r="E296" s="114">
        <v>404</v>
      </c>
      <c r="F296" s="115">
        <v>6940.17</v>
      </c>
      <c r="G296" s="116" t="s">
        <v>129</v>
      </c>
      <c r="H296" s="114">
        <v>4098</v>
      </c>
      <c r="I296" s="114">
        <v>30717862453</v>
      </c>
      <c r="J296" s="116" t="s">
        <v>130</v>
      </c>
      <c r="K296" s="115">
        <f>+K295+Tabla6[[#This Row],[IMPORTE]]</f>
        <v>37432206.730000064</v>
      </c>
      <c r="L296" s="125" t="s">
        <v>196</v>
      </c>
      <c r="M296" s="118" t="s">
        <v>85</v>
      </c>
    </row>
    <row r="297" spans="2:13" x14ac:dyDescent="0.35">
      <c r="B297" s="134" t="s">
        <v>117</v>
      </c>
      <c r="C297" s="113" t="s">
        <v>138</v>
      </c>
      <c r="D297" s="114">
        <v>941431</v>
      </c>
      <c r="E297" s="114">
        <v>404</v>
      </c>
      <c r="F297" s="115">
        <v>13388.34</v>
      </c>
      <c r="G297" s="116" t="s">
        <v>129</v>
      </c>
      <c r="H297" s="114">
        <v>4098</v>
      </c>
      <c r="I297" s="114">
        <v>30717862453</v>
      </c>
      <c r="J297" s="116" t="s">
        <v>130</v>
      </c>
      <c r="K297" s="115">
        <f>+K296+Tabla6[[#This Row],[IMPORTE]]</f>
        <v>37445595.070000067</v>
      </c>
      <c r="L297" s="125" t="s">
        <v>196</v>
      </c>
      <c r="M297" s="118" t="s">
        <v>85</v>
      </c>
    </row>
    <row r="298" spans="2:13" x14ac:dyDescent="0.35">
      <c r="B298" s="134" t="s">
        <v>117</v>
      </c>
      <c r="C298" s="113" t="s">
        <v>138</v>
      </c>
      <c r="D298" s="114">
        <v>219467</v>
      </c>
      <c r="E298" s="114">
        <v>404</v>
      </c>
      <c r="F298" s="115">
        <v>19311.240000000002</v>
      </c>
      <c r="G298" s="116" t="s">
        <v>129</v>
      </c>
      <c r="H298" s="114">
        <v>4098</v>
      </c>
      <c r="I298" s="114">
        <v>30717862453</v>
      </c>
      <c r="J298" s="116" t="s">
        <v>130</v>
      </c>
      <c r="K298" s="115">
        <f>+K297+Tabla6[[#This Row],[IMPORTE]]</f>
        <v>37464906.310000069</v>
      </c>
      <c r="L298" s="125" t="s">
        <v>196</v>
      </c>
      <c r="M298" s="118" t="s">
        <v>85</v>
      </c>
    </row>
    <row r="299" spans="2:13" x14ac:dyDescent="0.35">
      <c r="B299" s="134" t="s">
        <v>117</v>
      </c>
      <c r="C299" s="113" t="s">
        <v>138</v>
      </c>
      <c r="D299" s="114">
        <v>523609</v>
      </c>
      <c r="E299" s="114">
        <v>404</v>
      </c>
      <c r="F299" s="115">
        <v>19311.240000000002</v>
      </c>
      <c r="G299" s="116" t="s">
        <v>129</v>
      </c>
      <c r="H299" s="114">
        <v>4098</v>
      </c>
      <c r="I299" s="114">
        <v>30717862453</v>
      </c>
      <c r="J299" s="116" t="s">
        <v>130</v>
      </c>
      <c r="K299" s="115">
        <f>+K298+Tabla6[[#This Row],[IMPORTE]]</f>
        <v>37484217.550000072</v>
      </c>
      <c r="L299" s="125" t="s">
        <v>196</v>
      </c>
      <c r="M299" s="118" t="s">
        <v>85</v>
      </c>
    </row>
    <row r="300" spans="2:13" x14ac:dyDescent="0.35">
      <c r="B300" s="134" t="s">
        <v>117</v>
      </c>
      <c r="C300" s="113" t="s">
        <v>138</v>
      </c>
      <c r="D300" s="114">
        <v>552874</v>
      </c>
      <c r="E300" s="114">
        <v>404</v>
      </c>
      <c r="F300" s="115">
        <v>19311.240000000002</v>
      </c>
      <c r="G300" s="116" t="s">
        <v>129</v>
      </c>
      <c r="H300" s="114">
        <v>4098</v>
      </c>
      <c r="I300" s="114">
        <v>30717862453</v>
      </c>
      <c r="J300" s="116" t="s">
        <v>130</v>
      </c>
      <c r="K300" s="115">
        <f>+K299+Tabla6[[#This Row],[IMPORTE]]</f>
        <v>37503528.790000074</v>
      </c>
      <c r="L300" s="125" t="s">
        <v>196</v>
      </c>
      <c r="M300" s="118" t="s">
        <v>85</v>
      </c>
    </row>
    <row r="301" spans="2:13" x14ac:dyDescent="0.35">
      <c r="B301" s="134" t="s">
        <v>117</v>
      </c>
      <c r="C301" s="113" t="s">
        <v>138</v>
      </c>
      <c r="D301" s="114">
        <v>883900</v>
      </c>
      <c r="E301" s="114">
        <v>404</v>
      </c>
      <c r="F301" s="115">
        <v>19311.240000000002</v>
      </c>
      <c r="G301" s="116" t="s">
        <v>129</v>
      </c>
      <c r="H301" s="114">
        <v>4098</v>
      </c>
      <c r="I301" s="114">
        <v>30717862453</v>
      </c>
      <c r="J301" s="116" t="s">
        <v>130</v>
      </c>
      <c r="K301" s="115">
        <f>+K300+Tabla6[[#This Row],[IMPORTE]]</f>
        <v>37522840.030000076</v>
      </c>
      <c r="L301" s="125" t="s">
        <v>196</v>
      </c>
      <c r="M301" s="118" t="s">
        <v>85</v>
      </c>
    </row>
    <row r="302" spans="2:13" x14ac:dyDescent="0.35">
      <c r="B302" s="134" t="s">
        <v>117</v>
      </c>
      <c r="C302" s="113" t="s">
        <v>138</v>
      </c>
      <c r="D302" s="114">
        <v>933263</v>
      </c>
      <c r="E302" s="114">
        <v>404</v>
      </c>
      <c r="F302" s="115">
        <v>19311.240000000002</v>
      </c>
      <c r="G302" s="116" t="s">
        <v>129</v>
      </c>
      <c r="H302" s="114">
        <v>4098</v>
      </c>
      <c r="I302" s="114">
        <v>30717862453</v>
      </c>
      <c r="J302" s="116" t="s">
        <v>130</v>
      </c>
      <c r="K302" s="115">
        <f>+K301+Tabla6[[#This Row],[IMPORTE]]</f>
        <v>37542151.270000078</v>
      </c>
      <c r="L302" s="125" t="s">
        <v>196</v>
      </c>
      <c r="M302" s="118" t="s">
        <v>85</v>
      </c>
    </row>
    <row r="303" spans="2:13" x14ac:dyDescent="0.35">
      <c r="B303" s="134" t="s">
        <v>117</v>
      </c>
      <c r="C303" s="113" t="s">
        <v>138</v>
      </c>
      <c r="D303" s="114">
        <v>71821</v>
      </c>
      <c r="E303" s="114">
        <v>404</v>
      </c>
      <c r="F303" s="115">
        <v>25748.32</v>
      </c>
      <c r="G303" s="116" t="s">
        <v>129</v>
      </c>
      <c r="H303" s="114">
        <v>4098</v>
      </c>
      <c r="I303" s="114">
        <v>30717862453</v>
      </c>
      <c r="J303" s="116" t="s">
        <v>130</v>
      </c>
      <c r="K303" s="115">
        <f>+K302+Tabla6[[#This Row],[IMPORTE]]</f>
        <v>37567899.590000078</v>
      </c>
      <c r="L303" s="125" t="s">
        <v>196</v>
      </c>
      <c r="M303" s="118" t="s">
        <v>85</v>
      </c>
    </row>
    <row r="304" spans="2:13" x14ac:dyDescent="0.35">
      <c r="B304" s="134" t="s">
        <v>117</v>
      </c>
      <c r="C304" s="113" t="s">
        <v>138</v>
      </c>
      <c r="D304" s="114">
        <v>855327</v>
      </c>
      <c r="E304" s="114">
        <v>404</v>
      </c>
      <c r="F304" s="115">
        <v>25748.32</v>
      </c>
      <c r="G304" s="116" t="s">
        <v>129</v>
      </c>
      <c r="H304" s="114">
        <v>4098</v>
      </c>
      <c r="I304" s="114">
        <v>30717862453</v>
      </c>
      <c r="J304" s="116" t="s">
        <v>130</v>
      </c>
      <c r="K304" s="115">
        <f>+K303+Tabla6[[#This Row],[IMPORTE]]</f>
        <v>37593647.910000078</v>
      </c>
      <c r="L304" s="125" t="s">
        <v>196</v>
      </c>
      <c r="M304" s="118" t="s">
        <v>85</v>
      </c>
    </row>
    <row r="305" spans="2:13" x14ac:dyDescent="0.35">
      <c r="B305" s="134" t="s">
        <v>117</v>
      </c>
      <c r="C305" s="113" t="s">
        <v>138</v>
      </c>
      <c r="D305" s="114">
        <v>462190</v>
      </c>
      <c r="E305" s="114">
        <v>404</v>
      </c>
      <c r="F305" s="115">
        <v>30897.98</v>
      </c>
      <c r="G305" s="116" t="s">
        <v>129</v>
      </c>
      <c r="H305" s="114">
        <v>4098</v>
      </c>
      <c r="I305" s="114">
        <v>30717862453</v>
      </c>
      <c r="J305" s="116" t="s">
        <v>130</v>
      </c>
      <c r="K305" s="115">
        <f>+K304+Tabla6[[#This Row],[IMPORTE]]</f>
        <v>37624545.890000075</v>
      </c>
      <c r="L305" s="125" t="s">
        <v>196</v>
      </c>
      <c r="M305" s="118" t="s">
        <v>85</v>
      </c>
    </row>
    <row r="306" spans="2:13" x14ac:dyDescent="0.35">
      <c r="B306" s="134" t="s">
        <v>117</v>
      </c>
      <c r="C306" s="113" t="s">
        <v>138</v>
      </c>
      <c r="D306" s="114">
        <v>522976</v>
      </c>
      <c r="E306" s="114">
        <v>404</v>
      </c>
      <c r="F306" s="115">
        <v>30897.98</v>
      </c>
      <c r="G306" s="116" t="s">
        <v>129</v>
      </c>
      <c r="H306" s="114">
        <v>4098</v>
      </c>
      <c r="I306" s="114">
        <v>30717862453</v>
      </c>
      <c r="J306" s="116" t="s">
        <v>130</v>
      </c>
      <c r="K306" s="115">
        <f>+K305+Tabla6[[#This Row],[IMPORTE]]</f>
        <v>37655443.870000072</v>
      </c>
      <c r="L306" s="125" t="s">
        <v>196</v>
      </c>
      <c r="M306" s="118" t="s">
        <v>85</v>
      </c>
    </row>
    <row r="307" spans="2:13" x14ac:dyDescent="0.35">
      <c r="B307" s="4" t="s">
        <v>104</v>
      </c>
      <c r="C307" s="104" t="s">
        <v>138</v>
      </c>
      <c r="D307" s="105">
        <v>218971</v>
      </c>
      <c r="E307" s="105">
        <v>404</v>
      </c>
      <c r="F307" s="101">
        <v>38056.199999999997</v>
      </c>
      <c r="G307" s="5" t="s">
        <v>106</v>
      </c>
      <c r="H307" s="105">
        <v>183</v>
      </c>
      <c r="I307" s="70" t="s">
        <v>107</v>
      </c>
      <c r="J307" s="5" t="s">
        <v>109</v>
      </c>
      <c r="K307" s="101">
        <f>+K306+Tabla6[[#This Row],[IMPORTE]]</f>
        <v>37693500.070000075</v>
      </c>
      <c r="L307" s="5" t="s">
        <v>220</v>
      </c>
      <c r="M307" s="133" t="s">
        <v>100</v>
      </c>
    </row>
    <row r="308" spans="2:13" x14ac:dyDescent="0.35">
      <c r="B308" s="134" t="s">
        <v>117</v>
      </c>
      <c r="C308" s="113" t="s">
        <v>138</v>
      </c>
      <c r="D308" s="114">
        <v>13091</v>
      </c>
      <c r="E308" s="114">
        <v>404</v>
      </c>
      <c r="F308" s="115">
        <v>38622.480000000003</v>
      </c>
      <c r="G308" s="116" t="s">
        <v>129</v>
      </c>
      <c r="H308" s="114">
        <v>4098</v>
      </c>
      <c r="I308" s="114">
        <v>30717862453</v>
      </c>
      <c r="J308" s="116" t="s">
        <v>130</v>
      </c>
      <c r="K308" s="115">
        <f>+K307+Tabla6[[#This Row],[IMPORTE]]</f>
        <v>37732122.550000072</v>
      </c>
      <c r="L308" s="125" t="s">
        <v>196</v>
      </c>
      <c r="M308" s="118" t="s">
        <v>85</v>
      </c>
    </row>
    <row r="309" spans="2:13" x14ac:dyDescent="0.35">
      <c r="B309" s="134" t="s">
        <v>117</v>
      </c>
      <c r="C309" s="113" t="s">
        <v>138</v>
      </c>
      <c r="D309" s="114">
        <v>64718</v>
      </c>
      <c r="E309" s="114">
        <v>404</v>
      </c>
      <c r="F309" s="115">
        <v>38622.480000000003</v>
      </c>
      <c r="G309" s="116" t="s">
        <v>129</v>
      </c>
      <c r="H309" s="114">
        <v>4098</v>
      </c>
      <c r="I309" s="114">
        <v>30717862453</v>
      </c>
      <c r="J309" s="116" t="s">
        <v>130</v>
      </c>
      <c r="K309" s="115">
        <f>+K308+Tabla6[[#This Row],[IMPORTE]]</f>
        <v>37770745.030000068</v>
      </c>
      <c r="L309" s="125" t="s">
        <v>196</v>
      </c>
      <c r="M309" s="118" t="s">
        <v>85</v>
      </c>
    </row>
    <row r="310" spans="2:13" x14ac:dyDescent="0.35">
      <c r="B310" s="134" t="s">
        <v>117</v>
      </c>
      <c r="C310" s="113" t="s">
        <v>138</v>
      </c>
      <c r="D310" s="114">
        <v>126171</v>
      </c>
      <c r="E310" s="114">
        <v>404</v>
      </c>
      <c r="F310" s="115">
        <v>38622.480000000003</v>
      </c>
      <c r="G310" s="116" t="s">
        <v>129</v>
      </c>
      <c r="H310" s="114">
        <v>4098</v>
      </c>
      <c r="I310" s="114">
        <v>30717862453</v>
      </c>
      <c r="J310" s="116" t="s">
        <v>130</v>
      </c>
      <c r="K310" s="115">
        <f>+K309+Tabla6[[#This Row],[IMPORTE]]</f>
        <v>37809367.510000065</v>
      </c>
      <c r="L310" s="125" t="s">
        <v>196</v>
      </c>
      <c r="M310" s="118" t="s">
        <v>85</v>
      </c>
    </row>
    <row r="311" spans="2:13" x14ac:dyDescent="0.35">
      <c r="B311" s="134" t="s">
        <v>117</v>
      </c>
      <c r="C311" s="113" t="s">
        <v>138</v>
      </c>
      <c r="D311" s="114">
        <v>144996</v>
      </c>
      <c r="E311" s="114">
        <v>404</v>
      </c>
      <c r="F311" s="115">
        <v>38622.480000000003</v>
      </c>
      <c r="G311" s="116" t="s">
        <v>129</v>
      </c>
      <c r="H311" s="114">
        <v>4098</v>
      </c>
      <c r="I311" s="114">
        <v>30717862453</v>
      </c>
      <c r="J311" s="116" t="s">
        <v>130</v>
      </c>
      <c r="K311" s="115">
        <f>+K310+Tabla6[[#This Row],[IMPORTE]]</f>
        <v>37847989.990000062</v>
      </c>
      <c r="L311" s="125" t="s">
        <v>196</v>
      </c>
      <c r="M311" s="118" t="s">
        <v>85</v>
      </c>
    </row>
    <row r="312" spans="2:13" x14ac:dyDescent="0.35">
      <c r="B312" s="134" t="s">
        <v>117</v>
      </c>
      <c r="C312" s="113" t="s">
        <v>138</v>
      </c>
      <c r="D312" s="114">
        <v>145166</v>
      </c>
      <c r="E312" s="114">
        <v>404</v>
      </c>
      <c r="F312" s="115">
        <v>38622.480000000003</v>
      </c>
      <c r="G312" s="116" t="s">
        <v>129</v>
      </c>
      <c r="H312" s="114">
        <v>4098</v>
      </c>
      <c r="I312" s="114">
        <v>30717862453</v>
      </c>
      <c r="J312" s="116" t="s">
        <v>130</v>
      </c>
      <c r="K312" s="115">
        <f>+K311+Tabla6[[#This Row],[IMPORTE]]</f>
        <v>37886612.470000058</v>
      </c>
      <c r="L312" s="125" t="s">
        <v>196</v>
      </c>
      <c r="M312" s="118" t="s">
        <v>85</v>
      </c>
    </row>
    <row r="313" spans="2:13" x14ac:dyDescent="0.35">
      <c r="B313" s="134" t="s">
        <v>117</v>
      </c>
      <c r="C313" s="113" t="s">
        <v>138</v>
      </c>
      <c r="D313" s="114">
        <v>162026</v>
      </c>
      <c r="E313" s="114">
        <v>404</v>
      </c>
      <c r="F313" s="115">
        <v>38622.480000000003</v>
      </c>
      <c r="G313" s="116" t="s">
        <v>129</v>
      </c>
      <c r="H313" s="114">
        <v>4098</v>
      </c>
      <c r="I313" s="114">
        <v>30717862453</v>
      </c>
      <c r="J313" s="116" t="s">
        <v>130</v>
      </c>
      <c r="K313" s="115">
        <f>+K312+Tabla6[[#This Row],[IMPORTE]]</f>
        <v>37925234.950000055</v>
      </c>
      <c r="L313" s="125" t="s">
        <v>196</v>
      </c>
      <c r="M313" s="118" t="s">
        <v>85</v>
      </c>
    </row>
    <row r="314" spans="2:13" x14ac:dyDescent="0.35">
      <c r="B314" s="134" t="s">
        <v>117</v>
      </c>
      <c r="C314" s="113" t="s">
        <v>138</v>
      </c>
      <c r="D314" s="114">
        <v>173842</v>
      </c>
      <c r="E314" s="114">
        <v>404</v>
      </c>
      <c r="F314" s="115">
        <v>38622.480000000003</v>
      </c>
      <c r="G314" s="116" t="s">
        <v>129</v>
      </c>
      <c r="H314" s="114">
        <v>4098</v>
      </c>
      <c r="I314" s="114">
        <v>30717862453</v>
      </c>
      <c r="J314" s="116" t="s">
        <v>130</v>
      </c>
      <c r="K314" s="115">
        <f>+K313+Tabla6[[#This Row],[IMPORTE]]</f>
        <v>37963857.430000052</v>
      </c>
      <c r="L314" s="125" t="s">
        <v>196</v>
      </c>
      <c r="M314" s="118" t="s">
        <v>85</v>
      </c>
    </row>
    <row r="315" spans="2:13" x14ac:dyDescent="0.35">
      <c r="B315" s="134" t="s">
        <v>117</v>
      </c>
      <c r="C315" s="113" t="s">
        <v>138</v>
      </c>
      <c r="D315" s="114">
        <v>185572</v>
      </c>
      <c r="E315" s="114">
        <v>404</v>
      </c>
      <c r="F315" s="115">
        <v>38622.480000000003</v>
      </c>
      <c r="G315" s="116" t="s">
        <v>129</v>
      </c>
      <c r="H315" s="114">
        <v>4098</v>
      </c>
      <c r="I315" s="114">
        <v>30717862453</v>
      </c>
      <c r="J315" s="116" t="s">
        <v>130</v>
      </c>
      <c r="K315" s="115">
        <f>+K314+Tabla6[[#This Row],[IMPORTE]]</f>
        <v>38002479.910000049</v>
      </c>
      <c r="L315" s="125" t="s">
        <v>196</v>
      </c>
      <c r="M315" s="118" t="s">
        <v>85</v>
      </c>
    </row>
    <row r="316" spans="2:13" x14ac:dyDescent="0.35">
      <c r="B316" s="134" t="s">
        <v>117</v>
      </c>
      <c r="C316" s="113" t="s">
        <v>138</v>
      </c>
      <c r="D316" s="114">
        <v>190967</v>
      </c>
      <c r="E316" s="114">
        <v>404</v>
      </c>
      <c r="F316" s="115">
        <v>38622.480000000003</v>
      </c>
      <c r="G316" s="116" t="s">
        <v>129</v>
      </c>
      <c r="H316" s="114">
        <v>4098</v>
      </c>
      <c r="I316" s="114">
        <v>30717862453</v>
      </c>
      <c r="J316" s="116" t="s">
        <v>130</v>
      </c>
      <c r="K316" s="115">
        <f>+K315+Tabla6[[#This Row],[IMPORTE]]</f>
        <v>38041102.390000045</v>
      </c>
      <c r="L316" s="125" t="s">
        <v>196</v>
      </c>
      <c r="M316" s="118" t="s">
        <v>85</v>
      </c>
    </row>
    <row r="317" spans="2:13" x14ac:dyDescent="0.35">
      <c r="B317" s="134" t="s">
        <v>117</v>
      </c>
      <c r="C317" s="113" t="s">
        <v>138</v>
      </c>
      <c r="D317" s="114">
        <v>217939</v>
      </c>
      <c r="E317" s="114">
        <v>404</v>
      </c>
      <c r="F317" s="115">
        <v>38622.480000000003</v>
      </c>
      <c r="G317" s="116" t="s">
        <v>129</v>
      </c>
      <c r="H317" s="114">
        <v>4098</v>
      </c>
      <c r="I317" s="114">
        <v>30717862453</v>
      </c>
      <c r="J317" s="116" t="s">
        <v>130</v>
      </c>
      <c r="K317" s="115">
        <f>+K316+Tabla6[[#This Row],[IMPORTE]]</f>
        <v>38079724.870000042</v>
      </c>
      <c r="L317" s="125" t="s">
        <v>196</v>
      </c>
      <c r="M317" s="118" t="s">
        <v>85</v>
      </c>
    </row>
    <row r="318" spans="2:13" x14ac:dyDescent="0.35">
      <c r="B318" s="134" t="s">
        <v>117</v>
      </c>
      <c r="C318" s="113" t="s">
        <v>138</v>
      </c>
      <c r="D318" s="114">
        <v>298847</v>
      </c>
      <c r="E318" s="114">
        <v>404</v>
      </c>
      <c r="F318" s="115">
        <v>38622.480000000003</v>
      </c>
      <c r="G318" s="116" t="s">
        <v>129</v>
      </c>
      <c r="H318" s="114">
        <v>4098</v>
      </c>
      <c r="I318" s="114">
        <v>30717862453</v>
      </c>
      <c r="J318" s="116" t="s">
        <v>130</v>
      </c>
      <c r="K318" s="115">
        <f>+K317+Tabla6[[#This Row],[IMPORTE]]</f>
        <v>38118347.350000039</v>
      </c>
      <c r="L318" s="125" t="s">
        <v>196</v>
      </c>
      <c r="M318" s="118" t="s">
        <v>85</v>
      </c>
    </row>
    <row r="319" spans="2:13" x14ac:dyDescent="0.35">
      <c r="B319" s="134" t="s">
        <v>117</v>
      </c>
      <c r="C319" s="113" t="s">
        <v>138</v>
      </c>
      <c r="D319" s="114">
        <v>348621</v>
      </c>
      <c r="E319" s="114">
        <v>404</v>
      </c>
      <c r="F319" s="115">
        <v>38622.480000000003</v>
      </c>
      <c r="G319" s="116" t="s">
        <v>129</v>
      </c>
      <c r="H319" s="114">
        <v>4098</v>
      </c>
      <c r="I319" s="114">
        <v>30717862453</v>
      </c>
      <c r="J319" s="116" t="s">
        <v>130</v>
      </c>
      <c r="K319" s="115">
        <f>+K318+Tabla6[[#This Row],[IMPORTE]]</f>
        <v>38156969.830000035</v>
      </c>
      <c r="L319" s="125" t="s">
        <v>196</v>
      </c>
      <c r="M319" s="118" t="s">
        <v>85</v>
      </c>
    </row>
    <row r="320" spans="2:13" x14ac:dyDescent="0.35">
      <c r="B320" s="134" t="s">
        <v>117</v>
      </c>
      <c r="C320" s="113" t="s">
        <v>138</v>
      </c>
      <c r="D320" s="114">
        <v>371570</v>
      </c>
      <c r="E320" s="114">
        <v>404</v>
      </c>
      <c r="F320" s="115">
        <v>38622.480000000003</v>
      </c>
      <c r="G320" s="116" t="s">
        <v>129</v>
      </c>
      <c r="H320" s="114">
        <v>4098</v>
      </c>
      <c r="I320" s="114">
        <v>30717862453</v>
      </c>
      <c r="J320" s="116" t="s">
        <v>130</v>
      </c>
      <c r="K320" s="115">
        <f>+K319+Tabla6[[#This Row],[IMPORTE]]</f>
        <v>38195592.310000032</v>
      </c>
      <c r="L320" s="125" t="s">
        <v>196</v>
      </c>
      <c r="M320" s="118" t="s">
        <v>85</v>
      </c>
    </row>
    <row r="321" spans="2:13" x14ac:dyDescent="0.35">
      <c r="B321" s="134" t="s">
        <v>117</v>
      </c>
      <c r="C321" s="113" t="s">
        <v>138</v>
      </c>
      <c r="D321" s="114">
        <v>383987</v>
      </c>
      <c r="E321" s="114">
        <v>404</v>
      </c>
      <c r="F321" s="115">
        <v>38622.480000000003</v>
      </c>
      <c r="G321" s="116" t="s">
        <v>129</v>
      </c>
      <c r="H321" s="114">
        <v>4098</v>
      </c>
      <c r="I321" s="114">
        <v>30717862453</v>
      </c>
      <c r="J321" s="116" t="s">
        <v>130</v>
      </c>
      <c r="K321" s="115">
        <f>+K320+Tabla6[[#This Row],[IMPORTE]]</f>
        <v>38234214.790000029</v>
      </c>
      <c r="L321" s="125" t="s">
        <v>196</v>
      </c>
      <c r="M321" s="118" t="s">
        <v>85</v>
      </c>
    </row>
    <row r="322" spans="2:13" x14ac:dyDescent="0.35">
      <c r="B322" s="134" t="s">
        <v>117</v>
      </c>
      <c r="C322" s="113" t="s">
        <v>138</v>
      </c>
      <c r="D322" s="114">
        <v>405451</v>
      </c>
      <c r="E322" s="114">
        <v>404</v>
      </c>
      <c r="F322" s="115">
        <v>38622.480000000003</v>
      </c>
      <c r="G322" s="116" t="s">
        <v>129</v>
      </c>
      <c r="H322" s="114">
        <v>4098</v>
      </c>
      <c r="I322" s="114">
        <v>30717862453</v>
      </c>
      <c r="J322" s="116" t="s">
        <v>130</v>
      </c>
      <c r="K322" s="115">
        <f>+K321+Tabla6[[#This Row],[IMPORTE]]</f>
        <v>38272837.270000026</v>
      </c>
      <c r="L322" s="125" t="s">
        <v>196</v>
      </c>
      <c r="M322" s="118" t="s">
        <v>85</v>
      </c>
    </row>
    <row r="323" spans="2:13" x14ac:dyDescent="0.35">
      <c r="B323" s="134" t="s">
        <v>117</v>
      </c>
      <c r="C323" s="113" t="s">
        <v>138</v>
      </c>
      <c r="D323" s="114">
        <v>464007</v>
      </c>
      <c r="E323" s="114">
        <v>404</v>
      </c>
      <c r="F323" s="115">
        <v>38622.480000000003</v>
      </c>
      <c r="G323" s="116" t="s">
        <v>129</v>
      </c>
      <c r="H323" s="114">
        <v>4098</v>
      </c>
      <c r="I323" s="114">
        <v>30717862453</v>
      </c>
      <c r="J323" s="116" t="s">
        <v>130</v>
      </c>
      <c r="K323" s="115">
        <f>+K322+Tabla6[[#This Row],[IMPORTE]]</f>
        <v>38311459.750000022</v>
      </c>
      <c r="L323" s="125" t="s">
        <v>196</v>
      </c>
      <c r="M323" s="118" t="s">
        <v>85</v>
      </c>
    </row>
    <row r="324" spans="2:13" x14ac:dyDescent="0.35">
      <c r="B324" s="134" t="s">
        <v>117</v>
      </c>
      <c r="C324" s="113" t="s">
        <v>138</v>
      </c>
      <c r="D324" s="114">
        <v>470642</v>
      </c>
      <c r="E324" s="114">
        <v>404</v>
      </c>
      <c r="F324" s="115">
        <v>38622.480000000003</v>
      </c>
      <c r="G324" s="116" t="s">
        <v>129</v>
      </c>
      <c r="H324" s="114">
        <v>4098</v>
      </c>
      <c r="I324" s="114">
        <v>30717862453</v>
      </c>
      <c r="J324" s="116" t="s">
        <v>130</v>
      </c>
      <c r="K324" s="115">
        <f>+K323+Tabla6[[#This Row],[IMPORTE]]</f>
        <v>38350082.230000019</v>
      </c>
      <c r="L324" s="125" t="s">
        <v>196</v>
      </c>
      <c r="M324" s="118" t="s">
        <v>85</v>
      </c>
    </row>
    <row r="325" spans="2:13" x14ac:dyDescent="0.35">
      <c r="B325" s="134" t="s">
        <v>117</v>
      </c>
      <c r="C325" s="113" t="s">
        <v>138</v>
      </c>
      <c r="D325" s="114">
        <v>488839</v>
      </c>
      <c r="E325" s="114">
        <v>404</v>
      </c>
      <c r="F325" s="115">
        <v>38622.480000000003</v>
      </c>
      <c r="G325" s="116" t="s">
        <v>129</v>
      </c>
      <c r="H325" s="114">
        <v>4098</v>
      </c>
      <c r="I325" s="114">
        <v>30717862453</v>
      </c>
      <c r="J325" s="116" t="s">
        <v>130</v>
      </c>
      <c r="K325" s="115">
        <f>+K324+Tabla6[[#This Row],[IMPORTE]]</f>
        <v>38388704.710000016</v>
      </c>
      <c r="L325" s="125" t="s">
        <v>196</v>
      </c>
      <c r="M325" s="118" t="s">
        <v>85</v>
      </c>
    </row>
    <row r="326" spans="2:13" x14ac:dyDescent="0.35">
      <c r="B326" s="134" t="s">
        <v>117</v>
      </c>
      <c r="C326" s="113" t="s">
        <v>138</v>
      </c>
      <c r="D326" s="114">
        <v>518430</v>
      </c>
      <c r="E326" s="114">
        <v>404</v>
      </c>
      <c r="F326" s="115">
        <v>38622.480000000003</v>
      </c>
      <c r="G326" s="116" t="s">
        <v>129</v>
      </c>
      <c r="H326" s="114">
        <v>4098</v>
      </c>
      <c r="I326" s="114">
        <v>30717862453</v>
      </c>
      <c r="J326" s="116" t="s">
        <v>130</v>
      </c>
      <c r="K326" s="115">
        <f>+K325+Tabla6[[#This Row],[IMPORTE]]</f>
        <v>38427327.190000013</v>
      </c>
      <c r="L326" s="125" t="s">
        <v>196</v>
      </c>
      <c r="M326" s="118" t="s">
        <v>85</v>
      </c>
    </row>
    <row r="327" spans="2:13" x14ac:dyDescent="0.35">
      <c r="B327" s="134" t="s">
        <v>117</v>
      </c>
      <c r="C327" s="113" t="s">
        <v>138</v>
      </c>
      <c r="D327" s="114">
        <v>519324</v>
      </c>
      <c r="E327" s="114">
        <v>404</v>
      </c>
      <c r="F327" s="115">
        <v>38622.480000000003</v>
      </c>
      <c r="G327" s="116" t="s">
        <v>129</v>
      </c>
      <c r="H327" s="114">
        <v>4098</v>
      </c>
      <c r="I327" s="114">
        <v>30717862453</v>
      </c>
      <c r="J327" s="116" t="s">
        <v>130</v>
      </c>
      <c r="K327" s="115">
        <f>+K326+Tabla6[[#This Row],[IMPORTE]]</f>
        <v>38465949.670000009</v>
      </c>
      <c r="L327" s="125" t="s">
        <v>196</v>
      </c>
      <c r="M327" s="118" t="s">
        <v>85</v>
      </c>
    </row>
    <row r="328" spans="2:13" x14ac:dyDescent="0.35">
      <c r="B328" s="134" t="s">
        <v>117</v>
      </c>
      <c r="C328" s="113" t="s">
        <v>138</v>
      </c>
      <c r="D328" s="114">
        <v>528809</v>
      </c>
      <c r="E328" s="114">
        <v>404</v>
      </c>
      <c r="F328" s="115">
        <v>38622.480000000003</v>
      </c>
      <c r="G328" s="116" t="s">
        <v>129</v>
      </c>
      <c r="H328" s="114">
        <v>4098</v>
      </c>
      <c r="I328" s="114">
        <v>30717862453</v>
      </c>
      <c r="J328" s="116" t="s">
        <v>130</v>
      </c>
      <c r="K328" s="115">
        <f>+K327+Tabla6[[#This Row],[IMPORTE]]</f>
        <v>38504572.150000006</v>
      </c>
      <c r="L328" s="125" t="s">
        <v>196</v>
      </c>
      <c r="M328" s="118" t="s">
        <v>85</v>
      </c>
    </row>
    <row r="329" spans="2:13" x14ac:dyDescent="0.35">
      <c r="B329" s="134" t="s">
        <v>117</v>
      </c>
      <c r="C329" s="113" t="s">
        <v>138</v>
      </c>
      <c r="D329" s="114">
        <v>542639</v>
      </c>
      <c r="E329" s="114">
        <v>404</v>
      </c>
      <c r="F329" s="115">
        <v>38622.480000000003</v>
      </c>
      <c r="G329" s="116" t="s">
        <v>129</v>
      </c>
      <c r="H329" s="114">
        <v>4098</v>
      </c>
      <c r="I329" s="114">
        <v>30717862453</v>
      </c>
      <c r="J329" s="116" t="s">
        <v>130</v>
      </c>
      <c r="K329" s="115">
        <f>+K328+Tabla6[[#This Row],[IMPORTE]]</f>
        <v>38543194.630000003</v>
      </c>
      <c r="L329" s="125" t="s">
        <v>196</v>
      </c>
      <c r="M329" s="118" t="s">
        <v>85</v>
      </c>
    </row>
    <row r="330" spans="2:13" x14ac:dyDescent="0.35">
      <c r="B330" s="134" t="s">
        <v>117</v>
      </c>
      <c r="C330" s="113" t="s">
        <v>138</v>
      </c>
      <c r="D330" s="114">
        <v>587693</v>
      </c>
      <c r="E330" s="114">
        <v>404</v>
      </c>
      <c r="F330" s="115">
        <v>38622.480000000003</v>
      </c>
      <c r="G330" s="116" t="s">
        <v>129</v>
      </c>
      <c r="H330" s="114">
        <v>4098</v>
      </c>
      <c r="I330" s="114">
        <v>30717862453</v>
      </c>
      <c r="J330" s="116" t="s">
        <v>130</v>
      </c>
      <c r="K330" s="115">
        <f>+K329+Tabla6[[#This Row],[IMPORTE]]</f>
        <v>38581817.109999999</v>
      </c>
      <c r="L330" s="125" t="s">
        <v>196</v>
      </c>
      <c r="M330" s="118" t="s">
        <v>85</v>
      </c>
    </row>
    <row r="331" spans="2:13" x14ac:dyDescent="0.35">
      <c r="B331" s="134" t="s">
        <v>117</v>
      </c>
      <c r="C331" s="113" t="s">
        <v>138</v>
      </c>
      <c r="D331" s="114">
        <v>591619</v>
      </c>
      <c r="E331" s="114">
        <v>404</v>
      </c>
      <c r="F331" s="115">
        <v>38622.480000000003</v>
      </c>
      <c r="G331" s="116" t="s">
        <v>129</v>
      </c>
      <c r="H331" s="114">
        <v>4098</v>
      </c>
      <c r="I331" s="114">
        <v>30717862453</v>
      </c>
      <c r="J331" s="116" t="s">
        <v>130</v>
      </c>
      <c r="K331" s="115">
        <f>+K330+Tabla6[[#This Row],[IMPORTE]]</f>
        <v>38620439.589999996</v>
      </c>
      <c r="L331" s="125" t="s">
        <v>196</v>
      </c>
      <c r="M331" s="118" t="s">
        <v>85</v>
      </c>
    </row>
    <row r="332" spans="2:13" x14ac:dyDescent="0.35">
      <c r="B332" s="134" t="s">
        <v>117</v>
      </c>
      <c r="C332" s="113" t="s">
        <v>138</v>
      </c>
      <c r="D332" s="114">
        <v>600269</v>
      </c>
      <c r="E332" s="114">
        <v>404</v>
      </c>
      <c r="F332" s="115">
        <v>38622.480000000003</v>
      </c>
      <c r="G332" s="116" t="s">
        <v>129</v>
      </c>
      <c r="H332" s="114">
        <v>4098</v>
      </c>
      <c r="I332" s="114">
        <v>30717862453</v>
      </c>
      <c r="J332" s="116" t="s">
        <v>130</v>
      </c>
      <c r="K332" s="115">
        <f>+K331+Tabla6[[#This Row],[IMPORTE]]</f>
        <v>38659062.069999993</v>
      </c>
      <c r="L332" s="125" t="s">
        <v>196</v>
      </c>
      <c r="M332" s="118" t="s">
        <v>85</v>
      </c>
    </row>
    <row r="333" spans="2:13" x14ac:dyDescent="0.35">
      <c r="B333" s="134" t="s">
        <v>117</v>
      </c>
      <c r="C333" s="113" t="s">
        <v>138</v>
      </c>
      <c r="D333" s="114">
        <v>627448</v>
      </c>
      <c r="E333" s="114">
        <v>404</v>
      </c>
      <c r="F333" s="115">
        <v>38622.480000000003</v>
      </c>
      <c r="G333" s="116" t="s">
        <v>129</v>
      </c>
      <c r="H333" s="114">
        <v>4098</v>
      </c>
      <c r="I333" s="114">
        <v>30717862453</v>
      </c>
      <c r="J333" s="116" t="s">
        <v>130</v>
      </c>
      <c r="K333" s="115">
        <f>+K332+Tabla6[[#This Row],[IMPORTE]]</f>
        <v>38697684.54999999</v>
      </c>
      <c r="L333" s="125" t="s">
        <v>196</v>
      </c>
      <c r="M333" s="118" t="s">
        <v>85</v>
      </c>
    </row>
    <row r="334" spans="2:13" x14ac:dyDescent="0.35">
      <c r="B334" s="134" t="s">
        <v>117</v>
      </c>
      <c r="C334" s="113" t="s">
        <v>138</v>
      </c>
      <c r="D334" s="114">
        <v>654422</v>
      </c>
      <c r="E334" s="114">
        <v>404</v>
      </c>
      <c r="F334" s="115">
        <v>38622.480000000003</v>
      </c>
      <c r="G334" s="116" t="s">
        <v>129</v>
      </c>
      <c r="H334" s="114">
        <v>4098</v>
      </c>
      <c r="I334" s="114">
        <v>30717862453</v>
      </c>
      <c r="J334" s="116" t="s">
        <v>130</v>
      </c>
      <c r="K334" s="115">
        <f>+K333+Tabla6[[#This Row],[IMPORTE]]</f>
        <v>38736307.029999986</v>
      </c>
      <c r="L334" s="125" t="s">
        <v>196</v>
      </c>
      <c r="M334" s="118" t="s">
        <v>85</v>
      </c>
    </row>
    <row r="335" spans="2:13" x14ac:dyDescent="0.35">
      <c r="B335" s="134" t="s">
        <v>117</v>
      </c>
      <c r="C335" s="113" t="s">
        <v>138</v>
      </c>
      <c r="D335" s="114">
        <v>663426</v>
      </c>
      <c r="E335" s="114">
        <v>404</v>
      </c>
      <c r="F335" s="115">
        <v>38622.480000000003</v>
      </c>
      <c r="G335" s="116" t="s">
        <v>129</v>
      </c>
      <c r="H335" s="114">
        <v>4098</v>
      </c>
      <c r="I335" s="114">
        <v>30717862453</v>
      </c>
      <c r="J335" s="116" t="s">
        <v>130</v>
      </c>
      <c r="K335" s="115">
        <f>+K334+Tabla6[[#This Row],[IMPORTE]]</f>
        <v>38774929.509999983</v>
      </c>
      <c r="L335" s="125" t="s">
        <v>196</v>
      </c>
      <c r="M335" s="118" t="s">
        <v>85</v>
      </c>
    </row>
    <row r="336" spans="2:13" x14ac:dyDescent="0.35">
      <c r="B336" s="134" t="s">
        <v>117</v>
      </c>
      <c r="C336" s="113" t="s">
        <v>138</v>
      </c>
      <c r="D336" s="114">
        <v>665501</v>
      </c>
      <c r="E336" s="114">
        <v>404</v>
      </c>
      <c r="F336" s="115">
        <v>38622.480000000003</v>
      </c>
      <c r="G336" s="116" t="s">
        <v>129</v>
      </c>
      <c r="H336" s="114">
        <v>4098</v>
      </c>
      <c r="I336" s="114">
        <v>30717862453</v>
      </c>
      <c r="J336" s="116" t="s">
        <v>130</v>
      </c>
      <c r="K336" s="115">
        <f>+K335+Tabla6[[#This Row],[IMPORTE]]</f>
        <v>38813551.98999998</v>
      </c>
      <c r="L336" s="125" t="s">
        <v>196</v>
      </c>
      <c r="M336" s="118" t="s">
        <v>85</v>
      </c>
    </row>
    <row r="337" spans="2:13" x14ac:dyDescent="0.35">
      <c r="B337" s="134" t="s">
        <v>117</v>
      </c>
      <c r="C337" s="113" t="s">
        <v>138</v>
      </c>
      <c r="D337" s="114">
        <v>688102</v>
      </c>
      <c r="E337" s="114">
        <v>404</v>
      </c>
      <c r="F337" s="115">
        <v>38622.480000000003</v>
      </c>
      <c r="G337" s="116" t="s">
        <v>129</v>
      </c>
      <c r="H337" s="114">
        <v>4098</v>
      </c>
      <c r="I337" s="114">
        <v>30717862453</v>
      </c>
      <c r="J337" s="116" t="s">
        <v>130</v>
      </c>
      <c r="K337" s="115">
        <f>+K336+Tabla6[[#This Row],[IMPORTE]]</f>
        <v>38852174.469999976</v>
      </c>
      <c r="L337" s="125" t="s">
        <v>196</v>
      </c>
      <c r="M337" s="118" t="s">
        <v>85</v>
      </c>
    </row>
    <row r="338" spans="2:13" x14ac:dyDescent="0.35">
      <c r="B338" s="134" t="s">
        <v>117</v>
      </c>
      <c r="C338" s="113" t="s">
        <v>138</v>
      </c>
      <c r="D338" s="114">
        <v>697178</v>
      </c>
      <c r="E338" s="114">
        <v>404</v>
      </c>
      <c r="F338" s="115">
        <v>38622.480000000003</v>
      </c>
      <c r="G338" s="116" t="s">
        <v>129</v>
      </c>
      <c r="H338" s="114">
        <v>4098</v>
      </c>
      <c r="I338" s="114">
        <v>30717862453</v>
      </c>
      <c r="J338" s="116" t="s">
        <v>130</v>
      </c>
      <c r="K338" s="115">
        <f>+K337+Tabla6[[#This Row],[IMPORTE]]</f>
        <v>38890796.949999973</v>
      </c>
      <c r="L338" s="125" t="s">
        <v>196</v>
      </c>
      <c r="M338" s="118" t="s">
        <v>85</v>
      </c>
    </row>
    <row r="339" spans="2:13" x14ac:dyDescent="0.35">
      <c r="B339" s="134" t="s">
        <v>117</v>
      </c>
      <c r="C339" s="113" t="s">
        <v>138</v>
      </c>
      <c r="D339" s="114">
        <v>698165</v>
      </c>
      <c r="E339" s="114">
        <v>404</v>
      </c>
      <c r="F339" s="115">
        <v>38622.480000000003</v>
      </c>
      <c r="G339" s="116" t="s">
        <v>129</v>
      </c>
      <c r="H339" s="114">
        <v>4098</v>
      </c>
      <c r="I339" s="114">
        <v>30717862453</v>
      </c>
      <c r="J339" s="116" t="s">
        <v>130</v>
      </c>
      <c r="K339" s="115">
        <f>+K338+Tabla6[[#This Row],[IMPORTE]]</f>
        <v>38929419.42999997</v>
      </c>
      <c r="L339" s="125" t="s">
        <v>196</v>
      </c>
      <c r="M339" s="118" t="s">
        <v>85</v>
      </c>
    </row>
    <row r="340" spans="2:13" x14ac:dyDescent="0.35">
      <c r="B340" s="134" t="s">
        <v>117</v>
      </c>
      <c r="C340" s="113" t="s">
        <v>138</v>
      </c>
      <c r="D340" s="114">
        <v>734465</v>
      </c>
      <c r="E340" s="114">
        <v>404</v>
      </c>
      <c r="F340" s="115">
        <v>38622.480000000003</v>
      </c>
      <c r="G340" s="116" t="s">
        <v>129</v>
      </c>
      <c r="H340" s="114">
        <v>4098</v>
      </c>
      <c r="I340" s="114">
        <v>30717862453</v>
      </c>
      <c r="J340" s="116" t="s">
        <v>130</v>
      </c>
      <c r="K340" s="115">
        <f>+K339+Tabla6[[#This Row],[IMPORTE]]</f>
        <v>38968041.909999967</v>
      </c>
      <c r="L340" s="125" t="s">
        <v>196</v>
      </c>
      <c r="M340" s="118" t="s">
        <v>85</v>
      </c>
    </row>
    <row r="341" spans="2:13" x14ac:dyDescent="0.35">
      <c r="B341" s="134" t="s">
        <v>117</v>
      </c>
      <c r="C341" s="113" t="s">
        <v>138</v>
      </c>
      <c r="D341" s="114">
        <v>734999</v>
      </c>
      <c r="E341" s="114">
        <v>404</v>
      </c>
      <c r="F341" s="115">
        <v>38622.480000000003</v>
      </c>
      <c r="G341" s="116" t="s">
        <v>129</v>
      </c>
      <c r="H341" s="114">
        <v>4098</v>
      </c>
      <c r="I341" s="114">
        <v>30717862453</v>
      </c>
      <c r="J341" s="116" t="s">
        <v>130</v>
      </c>
      <c r="K341" s="115">
        <f>+K340+Tabla6[[#This Row],[IMPORTE]]</f>
        <v>39006664.389999963</v>
      </c>
      <c r="L341" s="125" t="s">
        <v>196</v>
      </c>
      <c r="M341" s="118" t="s">
        <v>85</v>
      </c>
    </row>
    <row r="342" spans="2:13" x14ac:dyDescent="0.35">
      <c r="B342" s="134" t="s">
        <v>117</v>
      </c>
      <c r="C342" s="113" t="s">
        <v>138</v>
      </c>
      <c r="D342" s="114">
        <v>750672</v>
      </c>
      <c r="E342" s="114">
        <v>404</v>
      </c>
      <c r="F342" s="115">
        <v>38622.480000000003</v>
      </c>
      <c r="G342" s="116" t="s">
        <v>129</v>
      </c>
      <c r="H342" s="114">
        <v>4098</v>
      </c>
      <c r="I342" s="114">
        <v>30717862453</v>
      </c>
      <c r="J342" s="116" t="s">
        <v>130</v>
      </c>
      <c r="K342" s="115">
        <f>+K341+Tabla6[[#This Row],[IMPORTE]]</f>
        <v>39045286.86999996</v>
      </c>
      <c r="L342" s="125" t="s">
        <v>196</v>
      </c>
      <c r="M342" s="118" t="s">
        <v>85</v>
      </c>
    </row>
    <row r="343" spans="2:13" x14ac:dyDescent="0.35">
      <c r="B343" s="134" t="s">
        <v>117</v>
      </c>
      <c r="C343" s="113" t="s">
        <v>138</v>
      </c>
      <c r="D343" s="114">
        <v>774423</v>
      </c>
      <c r="E343" s="114">
        <v>404</v>
      </c>
      <c r="F343" s="115">
        <v>38622.480000000003</v>
      </c>
      <c r="G343" s="116" t="s">
        <v>129</v>
      </c>
      <c r="H343" s="114">
        <v>4098</v>
      </c>
      <c r="I343" s="114">
        <v>30717862453</v>
      </c>
      <c r="J343" s="116" t="s">
        <v>130</v>
      </c>
      <c r="K343" s="115">
        <f>+K342+Tabla6[[#This Row],[IMPORTE]]</f>
        <v>39083909.349999957</v>
      </c>
      <c r="L343" s="125" t="s">
        <v>196</v>
      </c>
      <c r="M343" s="118" t="s">
        <v>85</v>
      </c>
    </row>
    <row r="344" spans="2:13" x14ac:dyDescent="0.35">
      <c r="B344" s="134" t="s">
        <v>117</v>
      </c>
      <c r="C344" s="113" t="s">
        <v>138</v>
      </c>
      <c r="D344" s="114">
        <v>783589</v>
      </c>
      <c r="E344" s="114">
        <v>404</v>
      </c>
      <c r="F344" s="115">
        <v>38622.480000000003</v>
      </c>
      <c r="G344" s="116" t="s">
        <v>129</v>
      </c>
      <c r="H344" s="114">
        <v>4098</v>
      </c>
      <c r="I344" s="114">
        <v>30717862453</v>
      </c>
      <c r="J344" s="116" t="s">
        <v>130</v>
      </c>
      <c r="K344" s="115">
        <f>+K343+Tabla6[[#This Row],[IMPORTE]]</f>
        <v>39122531.829999954</v>
      </c>
      <c r="L344" s="125" t="s">
        <v>196</v>
      </c>
      <c r="M344" s="118" t="s">
        <v>85</v>
      </c>
    </row>
    <row r="345" spans="2:13" x14ac:dyDescent="0.35">
      <c r="B345" s="134" t="s">
        <v>117</v>
      </c>
      <c r="C345" s="113" t="s">
        <v>138</v>
      </c>
      <c r="D345" s="114">
        <v>832017</v>
      </c>
      <c r="E345" s="114">
        <v>404</v>
      </c>
      <c r="F345" s="115">
        <v>38622.480000000003</v>
      </c>
      <c r="G345" s="116" t="s">
        <v>129</v>
      </c>
      <c r="H345" s="114">
        <v>4098</v>
      </c>
      <c r="I345" s="114">
        <v>30717862453</v>
      </c>
      <c r="J345" s="116" t="s">
        <v>130</v>
      </c>
      <c r="K345" s="115">
        <f>+K344+Tabla6[[#This Row],[IMPORTE]]</f>
        <v>39161154.30999995</v>
      </c>
      <c r="L345" s="125" t="s">
        <v>196</v>
      </c>
      <c r="M345" s="118" t="s">
        <v>85</v>
      </c>
    </row>
    <row r="346" spans="2:13" x14ac:dyDescent="0.35">
      <c r="B346" s="134" t="s">
        <v>117</v>
      </c>
      <c r="C346" s="113" t="s">
        <v>138</v>
      </c>
      <c r="D346" s="114">
        <v>844537</v>
      </c>
      <c r="E346" s="114">
        <v>404</v>
      </c>
      <c r="F346" s="115">
        <v>38622.480000000003</v>
      </c>
      <c r="G346" s="116" t="s">
        <v>129</v>
      </c>
      <c r="H346" s="114">
        <v>4098</v>
      </c>
      <c r="I346" s="114">
        <v>30717862453</v>
      </c>
      <c r="J346" s="116" t="s">
        <v>130</v>
      </c>
      <c r="K346" s="115">
        <f>+K345+Tabla6[[#This Row],[IMPORTE]]</f>
        <v>39199776.789999947</v>
      </c>
      <c r="L346" s="125" t="s">
        <v>196</v>
      </c>
      <c r="M346" s="118" t="s">
        <v>85</v>
      </c>
    </row>
    <row r="347" spans="2:13" x14ac:dyDescent="0.35">
      <c r="B347" s="134" t="s">
        <v>117</v>
      </c>
      <c r="C347" s="113" t="s">
        <v>138</v>
      </c>
      <c r="D347" s="114">
        <v>870273</v>
      </c>
      <c r="E347" s="114">
        <v>404</v>
      </c>
      <c r="F347" s="115">
        <v>38622.480000000003</v>
      </c>
      <c r="G347" s="116" t="s">
        <v>129</v>
      </c>
      <c r="H347" s="114">
        <v>4098</v>
      </c>
      <c r="I347" s="114">
        <v>30717862453</v>
      </c>
      <c r="J347" s="116" t="s">
        <v>130</v>
      </c>
      <c r="K347" s="115">
        <f>+K346+Tabla6[[#This Row],[IMPORTE]]</f>
        <v>39238399.269999944</v>
      </c>
      <c r="L347" s="125" t="s">
        <v>196</v>
      </c>
      <c r="M347" s="118" t="s">
        <v>85</v>
      </c>
    </row>
    <row r="348" spans="2:13" x14ac:dyDescent="0.35">
      <c r="B348" s="134" t="s">
        <v>117</v>
      </c>
      <c r="C348" s="113" t="s">
        <v>138</v>
      </c>
      <c r="D348" s="114">
        <v>904941</v>
      </c>
      <c r="E348" s="114">
        <v>404</v>
      </c>
      <c r="F348" s="115">
        <v>38622.480000000003</v>
      </c>
      <c r="G348" s="116" t="s">
        <v>129</v>
      </c>
      <c r="H348" s="114">
        <v>4098</v>
      </c>
      <c r="I348" s="114">
        <v>30717862453</v>
      </c>
      <c r="J348" s="116" t="s">
        <v>130</v>
      </c>
      <c r="K348" s="115">
        <f>+K347+Tabla6[[#This Row],[IMPORTE]]</f>
        <v>39277021.74999994</v>
      </c>
      <c r="L348" s="125" t="s">
        <v>196</v>
      </c>
      <c r="M348" s="118" t="s">
        <v>85</v>
      </c>
    </row>
    <row r="349" spans="2:13" x14ac:dyDescent="0.35">
      <c r="B349" s="134" t="s">
        <v>117</v>
      </c>
      <c r="C349" s="113" t="s">
        <v>138</v>
      </c>
      <c r="D349" s="114">
        <v>939074</v>
      </c>
      <c r="E349" s="114">
        <v>404</v>
      </c>
      <c r="F349" s="115">
        <v>38622.480000000003</v>
      </c>
      <c r="G349" s="116" t="s">
        <v>129</v>
      </c>
      <c r="H349" s="114">
        <v>4098</v>
      </c>
      <c r="I349" s="114">
        <v>30717862453</v>
      </c>
      <c r="J349" s="116" t="s">
        <v>130</v>
      </c>
      <c r="K349" s="115">
        <f>+K348+Tabla6[[#This Row],[IMPORTE]]</f>
        <v>39315644.229999937</v>
      </c>
      <c r="L349" s="125" t="s">
        <v>196</v>
      </c>
      <c r="M349" s="118" t="s">
        <v>85</v>
      </c>
    </row>
    <row r="350" spans="2:13" x14ac:dyDescent="0.35">
      <c r="B350" s="134" t="s">
        <v>117</v>
      </c>
      <c r="C350" s="113" t="s">
        <v>138</v>
      </c>
      <c r="D350" s="114">
        <v>953919</v>
      </c>
      <c r="E350" s="114">
        <v>404</v>
      </c>
      <c r="F350" s="115">
        <v>38622.480000000003</v>
      </c>
      <c r="G350" s="116" t="s">
        <v>129</v>
      </c>
      <c r="H350" s="114">
        <v>4098</v>
      </c>
      <c r="I350" s="114">
        <v>30717862453</v>
      </c>
      <c r="J350" s="116" t="s">
        <v>130</v>
      </c>
      <c r="K350" s="115">
        <f>+K349+Tabla6[[#This Row],[IMPORTE]]</f>
        <v>39354266.709999934</v>
      </c>
      <c r="L350" s="125" t="s">
        <v>196</v>
      </c>
      <c r="M350" s="118" t="s">
        <v>85</v>
      </c>
    </row>
    <row r="351" spans="2:13" x14ac:dyDescent="0.35">
      <c r="B351" s="134" t="s">
        <v>117</v>
      </c>
      <c r="C351" s="113" t="s">
        <v>138</v>
      </c>
      <c r="D351" s="114">
        <v>966212</v>
      </c>
      <c r="E351" s="114">
        <v>404</v>
      </c>
      <c r="F351" s="115">
        <v>38622.480000000003</v>
      </c>
      <c r="G351" s="116" t="s">
        <v>129</v>
      </c>
      <c r="H351" s="114">
        <v>4098</v>
      </c>
      <c r="I351" s="114">
        <v>30717862453</v>
      </c>
      <c r="J351" s="116" t="s">
        <v>130</v>
      </c>
      <c r="K351" s="115">
        <f>+K350+Tabla6[[#This Row],[IMPORTE]]</f>
        <v>39392889.189999931</v>
      </c>
      <c r="L351" s="125" t="s">
        <v>196</v>
      </c>
      <c r="M351" s="118" t="s">
        <v>85</v>
      </c>
    </row>
    <row r="352" spans="2:13" x14ac:dyDescent="0.35">
      <c r="B352" s="134" t="s">
        <v>117</v>
      </c>
      <c r="C352" s="113" t="s">
        <v>138</v>
      </c>
      <c r="D352" s="114">
        <v>987245</v>
      </c>
      <c r="E352" s="114">
        <v>404</v>
      </c>
      <c r="F352" s="115">
        <v>38622.480000000003</v>
      </c>
      <c r="G352" s="116" t="s">
        <v>129</v>
      </c>
      <c r="H352" s="114">
        <v>4098</v>
      </c>
      <c r="I352" s="114">
        <v>30717862453</v>
      </c>
      <c r="J352" s="116" t="s">
        <v>130</v>
      </c>
      <c r="K352" s="115">
        <f>+K351+Tabla6[[#This Row],[IMPORTE]]</f>
        <v>39431511.669999927</v>
      </c>
      <c r="L352" s="125" t="s">
        <v>196</v>
      </c>
      <c r="M352" s="118" t="s">
        <v>85</v>
      </c>
    </row>
    <row r="353" spans="2:13" x14ac:dyDescent="0.35">
      <c r="B353" s="134" t="s">
        <v>117</v>
      </c>
      <c r="C353" s="113" t="s">
        <v>138</v>
      </c>
      <c r="D353" s="114">
        <v>993921</v>
      </c>
      <c r="E353" s="114">
        <v>404</v>
      </c>
      <c r="F353" s="115">
        <v>38622.480000000003</v>
      </c>
      <c r="G353" s="116" t="s">
        <v>129</v>
      </c>
      <c r="H353" s="114">
        <v>4098</v>
      </c>
      <c r="I353" s="114">
        <v>30717862453</v>
      </c>
      <c r="J353" s="116" t="s">
        <v>130</v>
      </c>
      <c r="K353" s="115">
        <f>+K352+Tabla6[[#This Row],[IMPORTE]]</f>
        <v>39470134.149999924</v>
      </c>
      <c r="L353" s="125" t="s">
        <v>196</v>
      </c>
      <c r="M353" s="118" t="s">
        <v>85</v>
      </c>
    </row>
    <row r="354" spans="2:13" x14ac:dyDescent="0.35">
      <c r="B354" s="134" t="s">
        <v>117</v>
      </c>
      <c r="C354" s="113" t="s">
        <v>138</v>
      </c>
      <c r="D354" s="114">
        <v>341018</v>
      </c>
      <c r="E354" s="114">
        <v>404</v>
      </c>
      <c r="F354" s="115">
        <v>39612.800000000003</v>
      </c>
      <c r="G354" s="116" t="s">
        <v>129</v>
      </c>
      <c r="H354" s="114">
        <v>4098</v>
      </c>
      <c r="I354" s="114">
        <v>30717862453</v>
      </c>
      <c r="J354" s="116" t="s">
        <v>130</v>
      </c>
      <c r="K354" s="115">
        <f>+K353+Tabla6[[#This Row],[IMPORTE]]</f>
        <v>39509746.949999921</v>
      </c>
      <c r="L354" s="125" t="s">
        <v>196</v>
      </c>
      <c r="M354" s="118" t="s">
        <v>85</v>
      </c>
    </row>
    <row r="355" spans="2:13" x14ac:dyDescent="0.35">
      <c r="B355" s="134" t="s">
        <v>117</v>
      </c>
      <c r="C355" s="113" t="s">
        <v>138</v>
      </c>
      <c r="D355" s="114">
        <v>510989</v>
      </c>
      <c r="E355" s="114">
        <v>404</v>
      </c>
      <c r="F355" s="115">
        <v>40567.47</v>
      </c>
      <c r="G355" s="116" t="s">
        <v>129</v>
      </c>
      <c r="H355" s="114">
        <v>4098</v>
      </c>
      <c r="I355" s="114">
        <v>30717862453</v>
      </c>
      <c r="J355" s="116" t="s">
        <v>130</v>
      </c>
      <c r="K355" s="115">
        <f>+K354+Tabla6[[#This Row],[IMPORTE]]</f>
        <v>39550314.41999992</v>
      </c>
      <c r="L355" s="125" t="s">
        <v>196</v>
      </c>
      <c r="M355" s="118" t="s">
        <v>85</v>
      </c>
    </row>
    <row r="356" spans="2:13" x14ac:dyDescent="0.35">
      <c r="B356" s="134" t="s">
        <v>117</v>
      </c>
      <c r="C356" s="113" t="s">
        <v>138</v>
      </c>
      <c r="D356" s="114">
        <v>718896</v>
      </c>
      <c r="E356" s="114">
        <v>404</v>
      </c>
      <c r="F356" s="115">
        <v>49848.56</v>
      </c>
      <c r="G356" s="116" t="s">
        <v>129</v>
      </c>
      <c r="H356" s="114">
        <v>4098</v>
      </c>
      <c r="I356" s="114">
        <v>30717862453</v>
      </c>
      <c r="J356" s="116" t="s">
        <v>130</v>
      </c>
      <c r="K356" s="115">
        <f>+K355+Tabla6[[#This Row],[IMPORTE]]</f>
        <v>39600162.979999922</v>
      </c>
      <c r="L356" s="125" t="s">
        <v>196</v>
      </c>
      <c r="M356" s="118" t="s">
        <v>85</v>
      </c>
    </row>
    <row r="357" spans="2:13" x14ac:dyDescent="0.35">
      <c r="B357" s="134" t="s">
        <v>117</v>
      </c>
      <c r="C357" s="113" t="s">
        <v>138</v>
      </c>
      <c r="D357" s="114">
        <v>78923</v>
      </c>
      <c r="E357" s="114">
        <v>404</v>
      </c>
      <c r="F357" s="115">
        <v>51496.639999999999</v>
      </c>
      <c r="G357" s="116" t="s">
        <v>129</v>
      </c>
      <c r="H357" s="114">
        <v>4098</v>
      </c>
      <c r="I357" s="114">
        <v>30717862453</v>
      </c>
      <c r="J357" s="116" t="s">
        <v>130</v>
      </c>
      <c r="K357" s="115">
        <f>+K356+Tabla6[[#This Row],[IMPORTE]]</f>
        <v>39651659.619999923</v>
      </c>
      <c r="L357" s="125" t="s">
        <v>196</v>
      </c>
      <c r="M357" s="118" t="s">
        <v>85</v>
      </c>
    </row>
    <row r="358" spans="2:13" x14ac:dyDescent="0.35">
      <c r="B358" s="134" t="s">
        <v>117</v>
      </c>
      <c r="C358" s="113" t="s">
        <v>138</v>
      </c>
      <c r="D358" s="114">
        <v>85692</v>
      </c>
      <c r="E358" s="114">
        <v>404</v>
      </c>
      <c r="F358" s="115">
        <v>51496.639999999999</v>
      </c>
      <c r="G358" s="116" t="s">
        <v>129</v>
      </c>
      <c r="H358" s="114">
        <v>4098</v>
      </c>
      <c r="I358" s="114">
        <v>30717862453</v>
      </c>
      <c r="J358" s="116" t="s">
        <v>130</v>
      </c>
      <c r="K358" s="115">
        <f>+K357+Tabla6[[#This Row],[IMPORTE]]</f>
        <v>39703156.259999923</v>
      </c>
      <c r="L358" s="125" t="s">
        <v>196</v>
      </c>
      <c r="M358" s="118" t="s">
        <v>85</v>
      </c>
    </row>
    <row r="359" spans="2:13" x14ac:dyDescent="0.35">
      <c r="B359" s="134" t="s">
        <v>117</v>
      </c>
      <c r="C359" s="113" t="s">
        <v>138</v>
      </c>
      <c r="D359" s="114">
        <v>88838</v>
      </c>
      <c r="E359" s="114">
        <v>404</v>
      </c>
      <c r="F359" s="115">
        <v>51496.639999999999</v>
      </c>
      <c r="G359" s="116" t="s">
        <v>129</v>
      </c>
      <c r="H359" s="114">
        <v>4098</v>
      </c>
      <c r="I359" s="114">
        <v>30717862453</v>
      </c>
      <c r="J359" s="116" t="s">
        <v>130</v>
      </c>
      <c r="K359" s="115">
        <f>+K358+Tabla6[[#This Row],[IMPORTE]]</f>
        <v>39754652.899999924</v>
      </c>
      <c r="L359" s="125" t="s">
        <v>196</v>
      </c>
      <c r="M359" s="118" t="s">
        <v>85</v>
      </c>
    </row>
    <row r="360" spans="2:13" x14ac:dyDescent="0.35">
      <c r="B360" s="134" t="s">
        <v>117</v>
      </c>
      <c r="C360" s="113" t="s">
        <v>138</v>
      </c>
      <c r="D360" s="114">
        <v>208599</v>
      </c>
      <c r="E360" s="114">
        <v>404</v>
      </c>
      <c r="F360" s="115">
        <v>51496.639999999999</v>
      </c>
      <c r="G360" s="116" t="s">
        <v>129</v>
      </c>
      <c r="H360" s="114">
        <v>4098</v>
      </c>
      <c r="I360" s="114">
        <v>30717862453</v>
      </c>
      <c r="J360" s="116" t="s">
        <v>130</v>
      </c>
      <c r="K360" s="115">
        <f>+K359+Tabla6[[#This Row],[IMPORTE]]</f>
        <v>39806149.539999925</v>
      </c>
      <c r="L360" s="125" t="s">
        <v>196</v>
      </c>
      <c r="M360" s="118" t="s">
        <v>85</v>
      </c>
    </row>
    <row r="361" spans="2:13" x14ac:dyDescent="0.35">
      <c r="B361" s="134" t="s">
        <v>117</v>
      </c>
      <c r="C361" s="113" t="s">
        <v>138</v>
      </c>
      <c r="D361" s="114">
        <v>399537</v>
      </c>
      <c r="E361" s="114">
        <v>404</v>
      </c>
      <c r="F361" s="115">
        <v>51496.639999999999</v>
      </c>
      <c r="G361" s="116" t="s">
        <v>129</v>
      </c>
      <c r="H361" s="114">
        <v>4098</v>
      </c>
      <c r="I361" s="114">
        <v>30717862453</v>
      </c>
      <c r="J361" s="116" t="s">
        <v>130</v>
      </c>
      <c r="K361" s="115">
        <f>+K360+Tabla6[[#This Row],[IMPORTE]]</f>
        <v>39857646.179999925</v>
      </c>
      <c r="L361" s="125" t="s">
        <v>196</v>
      </c>
      <c r="M361" s="118" t="s">
        <v>85</v>
      </c>
    </row>
    <row r="362" spans="2:13" x14ac:dyDescent="0.35">
      <c r="B362" s="134" t="s">
        <v>117</v>
      </c>
      <c r="C362" s="113" t="s">
        <v>138</v>
      </c>
      <c r="D362" s="114">
        <v>412203</v>
      </c>
      <c r="E362" s="114">
        <v>404</v>
      </c>
      <c r="F362" s="115">
        <v>51496.639999999999</v>
      </c>
      <c r="G362" s="116" t="s">
        <v>129</v>
      </c>
      <c r="H362" s="114">
        <v>4098</v>
      </c>
      <c r="I362" s="114">
        <v>30717862453</v>
      </c>
      <c r="J362" s="116" t="s">
        <v>130</v>
      </c>
      <c r="K362" s="115">
        <f>+K361+Tabla6[[#This Row],[IMPORTE]]</f>
        <v>39909142.819999926</v>
      </c>
      <c r="L362" s="125" t="s">
        <v>196</v>
      </c>
      <c r="M362" s="118" t="s">
        <v>85</v>
      </c>
    </row>
    <row r="363" spans="2:13" x14ac:dyDescent="0.35">
      <c r="B363" s="134" t="s">
        <v>117</v>
      </c>
      <c r="C363" s="113" t="s">
        <v>138</v>
      </c>
      <c r="D363" s="114">
        <v>419470</v>
      </c>
      <c r="E363" s="114">
        <v>404</v>
      </c>
      <c r="F363" s="115">
        <v>51496.639999999999</v>
      </c>
      <c r="G363" s="116" t="s">
        <v>129</v>
      </c>
      <c r="H363" s="114">
        <v>4098</v>
      </c>
      <c r="I363" s="114">
        <v>30717862453</v>
      </c>
      <c r="J363" s="116" t="s">
        <v>130</v>
      </c>
      <c r="K363" s="115">
        <f>+K362+Tabla6[[#This Row],[IMPORTE]]</f>
        <v>39960639.459999926</v>
      </c>
      <c r="L363" s="125" t="s">
        <v>196</v>
      </c>
      <c r="M363" s="118" t="s">
        <v>85</v>
      </c>
    </row>
    <row r="364" spans="2:13" x14ac:dyDescent="0.35">
      <c r="B364" s="134" t="s">
        <v>117</v>
      </c>
      <c r="C364" s="113" t="s">
        <v>138</v>
      </c>
      <c r="D364" s="114">
        <v>425541</v>
      </c>
      <c r="E364" s="114">
        <v>404</v>
      </c>
      <c r="F364" s="115">
        <v>51496.639999999999</v>
      </c>
      <c r="G364" s="116" t="s">
        <v>129</v>
      </c>
      <c r="H364" s="114">
        <v>4098</v>
      </c>
      <c r="I364" s="114">
        <v>30717862453</v>
      </c>
      <c r="J364" s="116" t="s">
        <v>130</v>
      </c>
      <c r="K364" s="115">
        <f>+K363+Tabla6[[#This Row],[IMPORTE]]</f>
        <v>40012136.099999927</v>
      </c>
      <c r="L364" s="125" t="s">
        <v>196</v>
      </c>
      <c r="M364" s="118" t="s">
        <v>85</v>
      </c>
    </row>
    <row r="365" spans="2:13" x14ac:dyDescent="0.35">
      <c r="B365" s="134" t="s">
        <v>117</v>
      </c>
      <c r="C365" s="113" t="s">
        <v>138</v>
      </c>
      <c r="D365" s="114">
        <v>657989</v>
      </c>
      <c r="E365" s="114">
        <v>404</v>
      </c>
      <c r="F365" s="115">
        <v>51496.639999999999</v>
      </c>
      <c r="G365" s="116" t="s">
        <v>129</v>
      </c>
      <c r="H365" s="114">
        <v>4098</v>
      </c>
      <c r="I365" s="114">
        <v>30717862453</v>
      </c>
      <c r="J365" s="116" t="s">
        <v>130</v>
      </c>
      <c r="K365" s="115">
        <f>+K364+Tabla6[[#This Row],[IMPORTE]]</f>
        <v>40063632.739999928</v>
      </c>
      <c r="L365" s="125" t="s">
        <v>196</v>
      </c>
      <c r="M365" s="118" t="s">
        <v>85</v>
      </c>
    </row>
    <row r="366" spans="2:13" x14ac:dyDescent="0.35">
      <c r="B366" s="134" t="s">
        <v>117</v>
      </c>
      <c r="C366" s="113" t="s">
        <v>138</v>
      </c>
      <c r="D366" s="114">
        <v>705073</v>
      </c>
      <c r="E366" s="114">
        <v>404</v>
      </c>
      <c r="F366" s="115">
        <v>51496.639999999999</v>
      </c>
      <c r="G366" s="116" t="s">
        <v>129</v>
      </c>
      <c r="H366" s="114">
        <v>4098</v>
      </c>
      <c r="I366" s="114">
        <v>30717862453</v>
      </c>
      <c r="J366" s="116" t="s">
        <v>130</v>
      </c>
      <c r="K366" s="115">
        <f>+K365+Tabla6[[#This Row],[IMPORTE]]</f>
        <v>40115129.379999928</v>
      </c>
      <c r="L366" s="125" t="s">
        <v>196</v>
      </c>
      <c r="M366" s="118" t="s">
        <v>85</v>
      </c>
    </row>
    <row r="367" spans="2:13" x14ac:dyDescent="0.35">
      <c r="B367" s="134" t="s">
        <v>117</v>
      </c>
      <c r="C367" s="113" t="s">
        <v>138</v>
      </c>
      <c r="D367" s="114">
        <v>739697</v>
      </c>
      <c r="E367" s="114">
        <v>404</v>
      </c>
      <c r="F367" s="115">
        <v>51496.639999999999</v>
      </c>
      <c r="G367" s="116" t="s">
        <v>129</v>
      </c>
      <c r="H367" s="114">
        <v>4098</v>
      </c>
      <c r="I367" s="114">
        <v>30717862453</v>
      </c>
      <c r="J367" s="116" t="s">
        <v>130</v>
      </c>
      <c r="K367" s="115">
        <f>+K366+Tabla6[[#This Row],[IMPORTE]]</f>
        <v>40166626.019999929</v>
      </c>
      <c r="L367" s="125" t="s">
        <v>196</v>
      </c>
      <c r="M367" s="118" t="s">
        <v>85</v>
      </c>
    </row>
    <row r="368" spans="2:13" x14ac:dyDescent="0.35">
      <c r="B368" s="134" t="s">
        <v>117</v>
      </c>
      <c r="C368" s="113" t="s">
        <v>138</v>
      </c>
      <c r="D368" s="114">
        <v>748697</v>
      </c>
      <c r="E368" s="114">
        <v>404</v>
      </c>
      <c r="F368" s="115">
        <v>51496.639999999999</v>
      </c>
      <c r="G368" s="116" t="s">
        <v>129</v>
      </c>
      <c r="H368" s="114">
        <v>4098</v>
      </c>
      <c r="I368" s="114">
        <v>30717862453</v>
      </c>
      <c r="J368" s="116" t="s">
        <v>130</v>
      </c>
      <c r="K368" s="115">
        <f>+K367+Tabla6[[#This Row],[IMPORTE]]</f>
        <v>40218122.659999929</v>
      </c>
      <c r="L368" s="125" t="s">
        <v>196</v>
      </c>
      <c r="M368" s="118" t="s">
        <v>85</v>
      </c>
    </row>
    <row r="369" spans="2:13" x14ac:dyDescent="0.35">
      <c r="B369" s="134" t="s">
        <v>117</v>
      </c>
      <c r="C369" s="113" t="s">
        <v>138</v>
      </c>
      <c r="D369" s="114">
        <v>787013</v>
      </c>
      <c r="E369" s="114">
        <v>404</v>
      </c>
      <c r="F369" s="115">
        <v>51496.639999999999</v>
      </c>
      <c r="G369" s="116" t="s">
        <v>129</v>
      </c>
      <c r="H369" s="114">
        <v>4098</v>
      </c>
      <c r="I369" s="114">
        <v>30717862453</v>
      </c>
      <c r="J369" s="116" t="s">
        <v>130</v>
      </c>
      <c r="K369" s="115">
        <f>+K368+Tabla6[[#This Row],[IMPORTE]]</f>
        <v>40269619.29999993</v>
      </c>
      <c r="L369" s="125" t="s">
        <v>196</v>
      </c>
      <c r="M369" s="118" t="s">
        <v>85</v>
      </c>
    </row>
    <row r="370" spans="2:13" x14ac:dyDescent="0.35">
      <c r="B370" s="134" t="s">
        <v>117</v>
      </c>
      <c r="C370" s="113" t="s">
        <v>138</v>
      </c>
      <c r="D370" s="114">
        <v>888511</v>
      </c>
      <c r="E370" s="114">
        <v>404</v>
      </c>
      <c r="F370" s="115">
        <v>51496.639999999999</v>
      </c>
      <c r="G370" s="116" t="s">
        <v>129</v>
      </c>
      <c r="H370" s="114">
        <v>4098</v>
      </c>
      <c r="I370" s="114">
        <v>30717862453</v>
      </c>
      <c r="J370" s="116" t="s">
        <v>130</v>
      </c>
      <c r="K370" s="115">
        <f>+K369+Tabla6[[#This Row],[IMPORTE]]</f>
        <v>40321115.939999931</v>
      </c>
      <c r="L370" s="125" t="s">
        <v>196</v>
      </c>
      <c r="M370" s="118" t="s">
        <v>85</v>
      </c>
    </row>
    <row r="371" spans="2:13" x14ac:dyDescent="0.35">
      <c r="B371" s="134" t="s">
        <v>117</v>
      </c>
      <c r="C371" s="113" t="s">
        <v>138</v>
      </c>
      <c r="D371" s="114">
        <v>890606</v>
      </c>
      <c r="E371" s="114">
        <v>404</v>
      </c>
      <c r="F371" s="115">
        <v>51496.639999999999</v>
      </c>
      <c r="G371" s="116" t="s">
        <v>129</v>
      </c>
      <c r="H371" s="114">
        <v>4098</v>
      </c>
      <c r="I371" s="114">
        <v>30717862453</v>
      </c>
      <c r="J371" s="116" t="s">
        <v>130</v>
      </c>
      <c r="K371" s="115">
        <f>+K370+Tabla6[[#This Row],[IMPORTE]]</f>
        <v>40372612.579999931</v>
      </c>
      <c r="L371" s="125" t="s">
        <v>196</v>
      </c>
      <c r="M371" s="118" t="s">
        <v>85</v>
      </c>
    </row>
    <row r="372" spans="2:13" x14ac:dyDescent="0.35">
      <c r="B372" s="134" t="s">
        <v>117</v>
      </c>
      <c r="C372" s="113" t="s">
        <v>138</v>
      </c>
      <c r="D372" s="114">
        <v>913798</v>
      </c>
      <c r="E372" s="114">
        <v>404</v>
      </c>
      <c r="F372" s="115">
        <v>51496.639999999999</v>
      </c>
      <c r="G372" s="116" t="s">
        <v>129</v>
      </c>
      <c r="H372" s="114">
        <v>4098</v>
      </c>
      <c r="I372" s="114">
        <v>30717862453</v>
      </c>
      <c r="J372" s="116" t="s">
        <v>130</v>
      </c>
      <c r="K372" s="115">
        <f>+K371+Tabla6[[#This Row],[IMPORTE]]</f>
        <v>40424109.219999932</v>
      </c>
      <c r="L372" s="125" t="s">
        <v>196</v>
      </c>
      <c r="M372" s="118" t="s">
        <v>85</v>
      </c>
    </row>
    <row r="373" spans="2:13" x14ac:dyDescent="0.35">
      <c r="B373" s="134" t="s">
        <v>117</v>
      </c>
      <c r="C373" s="113" t="s">
        <v>138</v>
      </c>
      <c r="D373" s="114">
        <v>991204</v>
      </c>
      <c r="E373" s="114">
        <v>404</v>
      </c>
      <c r="F373" s="115">
        <v>51496.639999999999</v>
      </c>
      <c r="G373" s="116" t="s">
        <v>129</v>
      </c>
      <c r="H373" s="114">
        <v>4098</v>
      </c>
      <c r="I373" s="114">
        <v>30717862453</v>
      </c>
      <c r="J373" s="116" t="s">
        <v>130</v>
      </c>
      <c r="K373" s="115">
        <f>+K372+Tabla6[[#This Row],[IMPORTE]]</f>
        <v>40475605.859999932</v>
      </c>
      <c r="L373" s="125" t="s">
        <v>196</v>
      </c>
      <c r="M373" s="118" t="s">
        <v>85</v>
      </c>
    </row>
    <row r="374" spans="2:13" x14ac:dyDescent="0.35">
      <c r="B374" s="134" t="s">
        <v>117</v>
      </c>
      <c r="C374" s="113" t="s">
        <v>138</v>
      </c>
      <c r="D374" s="114">
        <v>996584</v>
      </c>
      <c r="E374" s="114">
        <v>404</v>
      </c>
      <c r="F374" s="115">
        <v>51496.639999999999</v>
      </c>
      <c r="G374" s="116" t="s">
        <v>129</v>
      </c>
      <c r="H374" s="114">
        <v>4098</v>
      </c>
      <c r="I374" s="114">
        <v>30717862453</v>
      </c>
      <c r="J374" s="116" t="s">
        <v>130</v>
      </c>
      <c r="K374" s="115">
        <f>+K373+Tabla6[[#This Row],[IMPORTE]]</f>
        <v>40527102.499999933</v>
      </c>
      <c r="L374" s="125" t="s">
        <v>196</v>
      </c>
      <c r="M374" s="118" t="s">
        <v>85</v>
      </c>
    </row>
    <row r="375" spans="2:13" x14ac:dyDescent="0.35">
      <c r="B375" s="4" t="s">
        <v>104</v>
      </c>
      <c r="C375" s="104" t="s">
        <v>138</v>
      </c>
      <c r="D375" s="105">
        <v>218970</v>
      </c>
      <c r="E375" s="105">
        <v>404</v>
      </c>
      <c r="F375" s="101">
        <v>57650.58</v>
      </c>
      <c r="G375" s="5" t="s">
        <v>106</v>
      </c>
      <c r="H375" s="105">
        <v>183</v>
      </c>
      <c r="I375" s="70" t="s">
        <v>107</v>
      </c>
      <c r="J375" s="5" t="s">
        <v>109</v>
      </c>
      <c r="K375" s="101">
        <f>+K374+Tabla6[[#This Row],[IMPORTE]]</f>
        <v>40584753.079999931</v>
      </c>
      <c r="L375" s="5" t="s">
        <v>220</v>
      </c>
      <c r="M375" s="133" t="s">
        <v>100</v>
      </c>
    </row>
    <row r="376" spans="2:13" x14ac:dyDescent="0.35">
      <c r="B376" s="134" t="s">
        <v>117</v>
      </c>
      <c r="C376" s="113" t="s">
        <v>138</v>
      </c>
      <c r="D376" s="114">
        <v>219639</v>
      </c>
      <c r="E376" s="114">
        <v>404</v>
      </c>
      <c r="F376" s="115">
        <v>74868.19</v>
      </c>
      <c r="G376" s="116" t="s">
        <v>129</v>
      </c>
      <c r="H376" s="114">
        <v>4098</v>
      </c>
      <c r="I376" s="114">
        <v>30717862453</v>
      </c>
      <c r="J376" s="116" t="s">
        <v>130</v>
      </c>
      <c r="K376" s="115">
        <f>+K375+Tabla6[[#This Row],[IMPORTE]]</f>
        <v>40659621.269999929</v>
      </c>
      <c r="L376" s="125" t="s">
        <v>196</v>
      </c>
      <c r="M376" s="118" t="s">
        <v>85</v>
      </c>
    </row>
    <row r="377" spans="2:13" x14ac:dyDescent="0.35">
      <c r="B377" s="134" t="s">
        <v>117</v>
      </c>
      <c r="C377" s="113" t="s">
        <v>138</v>
      </c>
      <c r="D377" s="114">
        <v>243607</v>
      </c>
      <c r="E377" s="114">
        <v>404</v>
      </c>
      <c r="F377" s="115">
        <v>77244.960000000006</v>
      </c>
      <c r="G377" s="116" t="s">
        <v>129</v>
      </c>
      <c r="H377" s="114">
        <v>4098</v>
      </c>
      <c r="I377" s="114">
        <v>30717862453</v>
      </c>
      <c r="J377" s="116" t="s">
        <v>130</v>
      </c>
      <c r="K377" s="115">
        <f>+K376+Tabla6[[#This Row],[IMPORTE]]</f>
        <v>40736866.22999993</v>
      </c>
      <c r="L377" s="125" t="s">
        <v>196</v>
      </c>
      <c r="M377" s="118" t="s">
        <v>85</v>
      </c>
    </row>
    <row r="378" spans="2:13" x14ac:dyDescent="0.35">
      <c r="B378" s="134" t="s">
        <v>117</v>
      </c>
      <c r="C378" s="113" t="s">
        <v>138</v>
      </c>
      <c r="D378" s="114">
        <v>245846</v>
      </c>
      <c r="E378" s="114">
        <v>404</v>
      </c>
      <c r="F378" s="115">
        <v>77244.960000000006</v>
      </c>
      <c r="G378" s="116" t="s">
        <v>129</v>
      </c>
      <c r="H378" s="114">
        <v>4098</v>
      </c>
      <c r="I378" s="114">
        <v>30717862453</v>
      </c>
      <c r="J378" s="116" t="s">
        <v>130</v>
      </c>
      <c r="K378" s="115">
        <f>+K377+Tabla6[[#This Row],[IMPORTE]]</f>
        <v>40814111.189999931</v>
      </c>
      <c r="L378" s="125" t="s">
        <v>196</v>
      </c>
      <c r="M378" s="118" t="s">
        <v>85</v>
      </c>
    </row>
    <row r="379" spans="2:13" x14ac:dyDescent="0.35">
      <c r="B379" s="134" t="s">
        <v>117</v>
      </c>
      <c r="C379" s="113" t="s">
        <v>138</v>
      </c>
      <c r="D379" s="114">
        <v>559850</v>
      </c>
      <c r="E379" s="114">
        <v>404</v>
      </c>
      <c r="F379" s="115">
        <v>77244.960000000006</v>
      </c>
      <c r="G379" s="116" t="s">
        <v>129</v>
      </c>
      <c r="H379" s="114">
        <v>4098</v>
      </c>
      <c r="I379" s="114">
        <v>30717862453</v>
      </c>
      <c r="J379" s="116" t="s">
        <v>130</v>
      </c>
      <c r="K379" s="115">
        <f>+K378+Tabla6[[#This Row],[IMPORTE]]</f>
        <v>40891356.149999931</v>
      </c>
      <c r="L379" s="125" t="s">
        <v>196</v>
      </c>
      <c r="M379" s="118" t="s">
        <v>85</v>
      </c>
    </row>
    <row r="380" spans="2:13" x14ac:dyDescent="0.35">
      <c r="B380" s="134" t="s">
        <v>117</v>
      </c>
      <c r="C380" s="113" t="s">
        <v>138</v>
      </c>
      <c r="D380" s="114">
        <v>576567</v>
      </c>
      <c r="E380" s="114">
        <v>404</v>
      </c>
      <c r="F380" s="115">
        <v>77244.960000000006</v>
      </c>
      <c r="G380" s="116" t="s">
        <v>129</v>
      </c>
      <c r="H380" s="114">
        <v>4098</v>
      </c>
      <c r="I380" s="114">
        <v>30717862453</v>
      </c>
      <c r="J380" s="116" t="s">
        <v>130</v>
      </c>
      <c r="K380" s="115">
        <f>+K379+Tabla6[[#This Row],[IMPORTE]]</f>
        <v>40968601.109999932</v>
      </c>
      <c r="L380" s="125" t="s">
        <v>196</v>
      </c>
      <c r="M380" s="118" t="s">
        <v>85</v>
      </c>
    </row>
    <row r="381" spans="2:13" x14ac:dyDescent="0.35">
      <c r="B381" s="134" t="s">
        <v>117</v>
      </c>
      <c r="C381" s="113" t="s">
        <v>138</v>
      </c>
      <c r="D381" s="114">
        <v>883948</v>
      </c>
      <c r="E381" s="114">
        <v>404</v>
      </c>
      <c r="F381" s="115">
        <v>77244.960000000006</v>
      </c>
      <c r="G381" s="116" t="s">
        <v>129</v>
      </c>
      <c r="H381" s="114">
        <v>4098</v>
      </c>
      <c r="I381" s="114">
        <v>30717862453</v>
      </c>
      <c r="J381" s="116" t="s">
        <v>130</v>
      </c>
      <c r="K381" s="115">
        <f>+K380+Tabla6[[#This Row],[IMPORTE]]</f>
        <v>41045846.069999933</v>
      </c>
      <c r="L381" s="125" t="s">
        <v>196</v>
      </c>
      <c r="M381" s="118" t="s">
        <v>85</v>
      </c>
    </row>
    <row r="382" spans="2:13" x14ac:dyDescent="0.35">
      <c r="B382" s="134" t="s">
        <v>117</v>
      </c>
      <c r="C382" s="113" t="s">
        <v>138</v>
      </c>
      <c r="D382" s="114">
        <v>882276</v>
      </c>
      <c r="E382" s="114">
        <v>404</v>
      </c>
      <c r="F382" s="115">
        <v>78730.44</v>
      </c>
      <c r="G382" s="116" t="s">
        <v>129</v>
      </c>
      <c r="H382" s="114">
        <v>4098</v>
      </c>
      <c r="I382" s="114">
        <v>30717862453</v>
      </c>
      <c r="J382" s="116" t="s">
        <v>130</v>
      </c>
      <c r="K382" s="115">
        <f>+K381+Tabla6[[#This Row],[IMPORTE]]</f>
        <v>41124576.509999931</v>
      </c>
      <c r="L382" s="125" t="s">
        <v>196</v>
      </c>
      <c r="M382" s="118" t="s">
        <v>85</v>
      </c>
    </row>
    <row r="383" spans="2:13" x14ac:dyDescent="0.35">
      <c r="B383" s="4" t="s">
        <v>104</v>
      </c>
      <c r="C383" s="104" t="s">
        <v>138</v>
      </c>
      <c r="D383" s="105">
        <v>218963</v>
      </c>
      <c r="E383" s="105">
        <v>404</v>
      </c>
      <c r="F383" s="101">
        <v>88797.8</v>
      </c>
      <c r="G383" s="5" t="s">
        <v>106</v>
      </c>
      <c r="H383" s="105">
        <v>183</v>
      </c>
      <c r="I383" s="70" t="s">
        <v>107</v>
      </c>
      <c r="J383" s="5" t="s">
        <v>112</v>
      </c>
      <c r="K383" s="101">
        <f>+K382+Tabla6[[#This Row],[IMPORTE]]</f>
        <v>41213374.309999928</v>
      </c>
      <c r="L383" s="5" t="s">
        <v>220</v>
      </c>
      <c r="M383" s="133" t="s">
        <v>100</v>
      </c>
    </row>
    <row r="384" spans="2:13" x14ac:dyDescent="0.35">
      <c r="B384" s="4" t="s">
        <v>104</v>
      </c>
      <c r="C384" s="104" t="s">
        <v>138</v>
      </c>
      <c r="D384" s="105">
        <v>218944</v>
      </c>
      <c r="E384" s="105">
        <v>404</v>
      </c>
      <c r="F384" s="101">
        <v>93022.66</v>
      </c>
      <c r="G384" s="5" t="s">
        <v>106</v>
      </c>
      <c r="H384" s="105">
        <v>183</v>
      </c>
      <c r="I384" s="70" t="s">
        <v>107</v>
      </c>
      <c r="J384" s="5" t="s">
        <v>139</v>
      </c>
      <c r="K384" s="101">
        <f>+K383+Tabla6[[#This Row],[IMPORTE]]</f>
        <v>41306396.969999924</v>
      </c>
      <c r="L384" s="5" t="s">
        <v>221</v>
      </c>
      <c r="M384" s="133" t="s">
        <v>100</v>
      </c>
    </row>
    <row r="385" spans="2:13" x14ac:dyDescent="0.35">
      <c r="B385" s="4" t="s">
        <v>104</v>
      </c>
      <c r="C385" s="104" t="s">
        <v>138</v>
      </c>
      <c r="D385" s="105">
        <v>218965</v>
      </c>
      <c r="E385" s="105">
        <v>404</v>
      </c>
      <c r="F385" s="101">
        <v>96084.3</v>
      </c>
      <c r="G385" s="5" t="s">
        <v>106</v>
      </c>
      <c r="H385" s="105">
        <v>183</v>
      </c>
      <c r="I385" s="70" t="s">
        <v>107</v>
      </c>
      <c r="J385" s="5" t="s">
        <v>116</v>
      </c>
      <c r="K385" s="101">
        <f>+K384+Tabla6[[#This Row],[IMPORTE]]</f>
        <v>41402481.269999921</v>
      </c>
      <c r="L385" s="5" t="s">
        <v>220</v>
      </c>
      <c r="M385" s="133" t="s">
        <v>100</v>
      </c>
    </row>
    <row r="386" spans="2:13" x14ac:dyDescent="0.35">
      <c r="B386" s="134" t="s">
        <v>117</v>
      </c>
      <c r="C386" s="113" t="s">
        <v>138</v>
      </c>
      <c r="D386" s="114">
        <v>608927</v>
      </c>
      <c r="E386" s="114">
        <v>404</v>
      </c>
      <c r="F386" s="115">
        <v>96556.2</v>
      </c>
      <c r="G386" s="116" t="s">
        <v>129</v>
      </c>
      <c r="H386" s="114">
        <v>4098</v>
      </c>
      <c r="I386" s="114">
        <v>30717862453</v>
      </c>
      <c r="J386" s="116" t="s">
        <v>130</v>
      </c>
      <c r="K386" s="115">
        <f>+K385+Tabla6[[#This Row],[IMPORTE]]</f>
        <v>41499037.469999924</v>
      </c>
      <c r="L386" s="125" t="s">
        <v>196</v>
      </c>
      <c r="M386" s="118" t="s">
        <v>85</v>
      </c>
    </row>
    <row r="387" spans="2:13" x14ac:dyDescent="0.35">
      <c r="B387" s="134" t="s">
        <v>117</v>
      </c>
      <c r="C387" s="113" t="s">
        <v>138</v>
      </c>
      <c r="D387" s="114">
        <v>652560</v>
      </c>
      <c r="E387" s="114">
        <v>404</v>
      </c>
      <c r="F387" s="115">
        <v>102993.28</v>
      </c>
      <c r="G387" s="116" t="s">
        <v>129</v>
      </c>
      <c r="H387" s="114">
        <v>4098</v>
      </c>
      <c r="I387" s="114">
        <v>30717862453</v>
      </c>
      <c r="J387" s="116" t="s">
        <v>130</v>
      </c>
      <c r="K387" s="115">
        <f>+K386+Tabla6[[#This Row],[IMPORTE]]</f>
        <v>41602030.749999925</v>
      </c>
      <c r="L387" s="125" t="s">
        <v>196</v>
      </c>
      <c r="M387" s="118" t="s">
        <v>85</v>
      </c>
    </row>
    <row r="388" spans="2:13" x14ac:dyDescent="0.35">
      <c r="B388" s="4" t="s">
        <v>104</v>
      </c>
      <c r="C388" s="104" t="s">
        <v>138</v>
      </c>
      <c r="D388" s="105">
        <v>218966</v>
      </c>
      <c r="E388" s="105">
        <v>404</v>
      </c>
      <c r="F388" s="101">
        <v>114168.6</v>
      </c>
      <c r="G388" s="5" t="s">
        <v>106</v>
      </c>
      <c r="H388" s="105">
        <v>183</v>
      </c>
      <c r="I388" s="70" t="s">
        <v>107</v>
      </c>
      <c r="J388" s="5" t="s">
        <v>116</v>
      </c>
      <c r="K388" s="101">
        <f>+K387+Tabla6[[#This Row],[IMPORTE]]</f>
        <v>41716199.349999927</v>
      </c>
      <c r="L388" s="5" t="s">
        <v>220</v>
      </c>
      <c r="M388" s="133" t="s">
        <v>100</v>
      </c>
    </row>
    <row r="389" spans="2:13" x14ac:dyDescent="0.35">
      <c r="B389" s="4" t="s">
        <v>104</v>
      </c>
      <c r="C389" s="104" t="s">
        <v>138</v>
      </c>
      <c r="D389" s="105">
        <v>218968</v>
      </c>
      <c r="E389" s="105">
        <v>404</v>
      </c>
      <c r="F389" s="101">
        <v>133386.93</v>
      </c>
      <c r="G389" s="5" t="s">
        <v>106</v>
      </c>
      <c r="H389" s="105">
        <v>183</v>
      </c>
      <c r="I389" s="70" t="s">
        <v>107</v>
      </c>
      <c r="J389" s="5" t="s">
        <v>115</v>
      </c>
      <c r="K389" s="101">
        <f>+K388+Tabla6[[#This Row],[IMPORTE]]</f>
        <v>41849586.279999927</v>
      </c>
      <c r="L389" s="5" t="s">
        <v>220</v>
      </c>
      <c r="M389" s="133" t="s">
        <v>100</v>
      </c>
    </row>
    <row r="390" spans="2:13" x14ac:dyDescent="0.35">
      <c r="B390" s="134" t="s">
        <v>117</v>
      </c>
      <c r="C390" s="113" t="s">
        <v>138</v>
      </c>
      <c r="D390" s="114">
        <v>310082</v>
      </c>
      <c r="E390" s="114">
        <v>404</v>
      </c>
      <c r="F390" s="115">
        <v>138583.72</v>
      </c>
      <c r="G390" s="116" t="s">
        <v>129</v>
      </c>
      <c r="H390" s="114">
        <v>4098</v>
      </c>
      <c r="I390" s="114">
        <v>30717862453</v>
      </c>
      <c r="J390" s="116" t="s">
        <v>130</v>
      </c>
      <c r="K390" s="115">
        <f>+K389+Tabla6[[#This Row],[IMPORTE]]</f>
        <v>41988169.999999925</v>
      </c>
      <c r="L390" s="125" t="s">
        <v>196</v>
      </c>
      <c r="M390" s="118" t="s">
        <v>85</v>
      </c>
    </row>
    <row r="391" spans="2:13" x14ac:dyDescent="0.35">
      <c r="B391" s="4" t="s">
        <v>104</v>
      </c>
      <c r="C391" s="104" t="s">
        <v>138</v>
      </c>
      <c r="D391" s="105">
        <v>218964</v>
      </c>
      <c r="E391" s="105">
        <v>404</v>
      </c>
      <c r="F391" s="101">
        <v>153757.06</v>
      </c>
      <c r="G391" s="5" t="s">
        <v>106</v>
      </c>
      <c r="H391" s="105">
        <v>183</v>
      </c>
      <c r="I391" s="70" t="s">
        <v>107</v>
      </c>
      <c r="J391" s="5" t="s">
        <v>116</v>
      </c>
      <c r="K391" s="101">
        <f>+K390+Tabla6[[#This Row],[IMPORTE]]</f>
        <v>42141927.059999928</v>
      </c>
      <c r="L391" s="5" t="s">
        <v>220</v>
      </c>
      <c r="M391" s="133" t="s">
        <v>100</v>
      </c>
    </row>
    <row r="392" spans="2:13" x14ac:dyDescent="0.35">
      <c r="B392" s="134" t="s">
        <v>117</v>
      </c>
      <c r="C392" s="113" t="s">
        <v>138</v>
      </c>
      <c r="D392" s="114">
        <v>840908</v>
      </c>
      <c r="E392" s="114">
        <v>404</v>
      </c>
      <c r="F392" s="115">
        <v>157933.21</v>
      </c>
      <c r="G392" s="116" t="s">
        <v>129</v>
      </c>
      <c r="H392" s="114">
        <v>4098</v>
      </c>
      <c r="I392" s="114">
        <v>30717862453</v>
      </c>
      <c r="J392" s="116" t="s">
        <v>130</v>
      </c>
      <c r="K392" s="115">
        <f>+K391+Tabla6[[#This Row],[IMPORTE]]</f>
        <v>42299860.269999929</v>
      </c>
      <c r="L392" s="125" t="s">
        <v>196</v>
      </c>
      <c r="M392" s="118" t="s">
        <v>85</v>
      </c>
    </row>
    <row r="393" spans="2:13" x14ac:dyDescent="0.35">
      <c r="B393" s="134" t="s">
        <v>117</v>
      </c>
      <c r="C393" s="113" t="s">
        <v>138</v>
      </c>
      <c r="D393" s="114">
        <v>374109</v>
      </c>
      <c r="E393" s="114">
        <v>404</v>
      </c>
      <c r="F393" s="115">
        <v>199008.95</v>
      </c>
      <c r="G393" s="116" t="s">
        <v>129</v>
      </c>
      <c r="H393" s="114">
        <v>4098</v>
      </c>
      <c r="I393" s="114">
        <v>30717862453</v>
      </c>
      <c r="J393" s="116" t="s">
        <v>130</v>
      </c>
      <c r="K393" s="115">
        <f>+K392+Tabla6[[#This Row],[IMPORTE]]</f>
        <v>42498869.219999932</v>
      </c>
      <c r="L393" s="125" t="s">
        <v>196</v>
      </c>
      <c r="M393" s="118" t="s">
        <v>85</v>
      </c>
    </row>
    <row r="394" spans="2:13" x14ac:dyDescent="0.35">
      <c r="B394" s="4" t="s">
        <v>104</v>
      </c>
      <c r="C394" s="104" t="s">
        <v>138</v>
      </c>
      <c r="D394" s="105">
        <v>218945</v>
      </c>
      <c r="E394" s="105">
        <v>404</v>
      </c>
      <c r="F394" s="101">
        <v>204000.81</v>
      </c>
      <c r="G394" s="5" t="s">
        <v>106</v>
      </c>
      <c r="H394" s="105">
        <v>183</v>
      </c>
      <c r="I394" s="70" t="s">
        <v>107</v>
      </c>
      <c r="J394" s="5" t="s">
        <v>108</v>
      </c>
      <c r="K394" s="101">
        <f>+K393+Tabla6[[#This Row],[IMPORTE]]</f>
        <v>42702870.029999934</v>
      </c>
      <c r="L394" s="5" t="s">
        <v>220</v>
      </c>
      <c r="M394" s="133" t="s">
        <v>100</v>
      </c>
    </row>
    <row r="395" spans="2:13" x14ac:dyDescent="0.35">
      <c r="B395" s="4" t="s">
        <v>104</v>
      </c>
      <c r="C395" s="104" t="s">
        <v>138</v>
      </c>
      <c r="D395" s="105">
        <v>218973</v>
      </c>
      <c r="E395" s="105">
        <v>404</v>
      </c>
      <c r="F395" s="101">
        <v>214383.26</v>
      </c>
      <c r="G395" s="5" t="s">
        <v>106</v>
      </c>
      <c r="H395" s="105">
        <v>183</v>
      </c>
      <c r="I395" s="70" t="s">
        <v>107</v>
      </c>
      <c r="J395" s="5" t="s">
        <v>113</v>
      </c>
      <c r="K395" s="101">
        <f>+K394+Tabla6[[#This Row],[IMPORTE]]</f>
        <v>42917253.289999932</v>
      </c>
      <c r="L395" s="5" t="s">
        <v>220</v>
      </c>
      <c r="M395" s="133" t="s">
        <v>100</v>
      </c>
    </row>
    <row r="396" spans="2:13" x14ac:dyDescent="0.35">
      <c r="B396" s="134" t="s">
        <v>117</v>
      </c>
      <c r="C396" s="113" t="s">
        <v>138</v>
      </c>
      <c r="D396" s="114">
        <v>302670</v>
      </c>
      <c r="E396" s="114">
        <v>404</v>
      </c>
      <c r="F396" s="115">
        <v>215049.96</v>
      </c>
      <c r="G396" s="116" t="s">
        <v>129</v>
      </c>
      <c r="H396" s="114">
        <v>4098</v>
      </c>
      <c r="I396" s="114">
        <v>30717862453</v>
      </c>
      <c r="J396" s="116" t="s">
        <v>130</v>
      </c>
      <c r="K396" s="115">
        <f>+K395+Tabla6[[#This Row],[IMPORTE]]</f>
        <v>43132303.249999933</v>
      </c>
      <c r="L396" s="125" t="s">
        <v>196</v>
      </c>
      <c r="M396" s="118" t="s">
        <v>85</v>
      </c>
    </row>
    <row r="397" spans="2:13" x14ac:dyDescent="0.35">
      <c r="B397" s="4" t="s">
        <v>104</v>
      </c>
      <c r="C397" s="104" t="s">
        <v>138</v>
      </c>
      <c r="D397" s="105">
        <v>218962</v>
      </c>
      <c r="E397" s="105">
        <v>404</v>
      </c>
      <c r="F397" s="101">
        <v>231168.6</v>
      </c>
      <c r="G397" s="5" t="s">
        <v>106</v>
      </c>
      <c r="H397" s="105">
        <v>183</v>
      </c>
      <c r="I397" s="70" t="s">
        <v>107</v>
      </c>
      <c r="J397" s="5" t="s">
        <v>112</v>
      </c>
      <c r="K397" s="101">
        <f>+K396+Tabla6[[#This Row],[IMPORTE]]</f>
        <v>43363471.849999934</v>
      </c>
      <c r="L397" s="5" t="s">
        <v>220</v>
      </c>
      <c r="M397" s="133" t="s">
        <v>100</v>
      </c>
    </row>
    <row r="398" spans="2:13" x14ac:dyDescent="0.35">
      <c r="B398" s="4" t="s">
        <v>104</v>
      </c>
      <c r="C398" s="104" t="s">
        <v>138</v>
      </c>
      <c r="D398" s="105">
        <v>218972</v>
      </c>
      <c r="E398" s="105">
        <v>404</v>
      </c>
      <c r="F398" s="101">
        <v>259191.01</v>
      </c>
      <c r="G398" s="5" t="s">
        <v>106</v>
      </c>
      <c r="H398" s="105">
        <v>183</v>
      </c>
      <c r="I398" s="70" t="s">
        <v>107</v>
      </c>
      <c r="J398" s="5" t="s">
        <v>113</v>
      </c>
      <c r="K398" s="101">
        <f>+K397+Tabla6[[#This Row],[IMPORTE]]</f>
        <v>43622662.859999932</v>
      </c>
      <c r="L398" s="5" t="s">
        <v>220</v>
      </c>
      <c r="M398" s="133" t="s">
        <v>100</v>
      </c>
    </row>
    <row r="399" spans="2:13" x14ac:dyDescent="0.35">
      <c r="B399" s="134" t="s">
        <v>117</v>
      </c>
      <c r="C399" s="113" t="s">
        <v>138</v>
      </c>
      <c r="D399" s="114">
        <v>211668</v>
      </c>
      <c r="E399" s="114">
        <v>404</v>
      </c>
      <c r="F399" s="115">
        <v>271939.90000000002</v>
      </c>
      <c r="G399" s="116" t="s">
        <v>129</v>
      </c>
      <c r="H399" s="114">
        <v>4098</v>
      </c>
      <c r="I399" s="114">
        <v>30717862453</v>
      </c>
      <c r="J399" s="116" t="s">
        <v>130</v>
      </c>
      <c r="K399" s="115">
        <f>+K398+Tabla6[[#This Row],[IMPORTE]]</f>
        <v>43894602.759999931</v>
      </c>
      <c r="L399" s="125" t="s">
        <v>196</v>
      </c>
      <c r="M399" s="118" t="s">
        <v>85</v>
      </c>
    </row>
    <row r="400" spans="2:13" x14ac:dyDescent="0.35">
      <c r="B400" s="134" t="s">
        <v>117</v>
      </c>
      <c r="C400" s="113" t="s">
        <v>138</v>
      </c>
      <c r="D400" s="114">
        <v>431430</v>
      </c>
      <c r="E400" s="114">
        <v>404</v>
      </c>
      <c r="F400" s="115">
        <v>298680.51</v>
      </c>
      <c r="G400" s="116" t="s">
        <v>129</v>
      </c>
      <c r="H400" s="114">
        <v>4098</v>
      </c>
      <c r="I400" s="114">
        <v>30717862453</v>
      </c>
      <c r="J400" s="116" t="s">
        <v>130</v>
      </c>
      <c r="K400" s="115">
        <f>+K399+Tabla6[[#This Row],[IMPORTE]]</f>
        <v>44193283.269999929</v>
      </c>
      <c r="L400" s="125" t="s">
        <v>196</v>
      </c>
      <c r="M400" s="118" t="s">
        <v>85</v>
      </c>
    </row>
    <row r="401" spans="2:13" x14ac:dyDescent="0.35">
      <c r="B401" s="134" t="s">
        <v>117</v>
      </c>
      <c r="C401" s="113" t="s">
        <v>138</v>
      </c>
      <c r="D401" s="114">
        <v>789117</v>
      </c>
      <c r="E401" s="114">
        <v>404</v>
      </c>
      <c r="F401" s="115">
        <v>299683.95</v>
      </c>
      <c r="G401" s="116" t="s">
        <v>129</v>
      </c>
      <c r="H401" s="114">
        <v>4098</v>
      </c>
      <c r="I401" s="114">
        <v>30717862453</v>
      </c>
      <c r="J401" s="116" t="s">
        <v>130</v>
      </c>
      <c r="K401" s="115">
        <f>+K400+Tabla6[[#This Row],[IMPORTE]]</f>
        <v>44492967.219999932</v>
      </c>
      <c r="L401" s="125" t="s">
        <v>196</v>
      </c>
      <c r="M401" s="118" t="s">
        <v>85</v>
      </c>
    </row>
    <row r="402" spans="2:13" x14ac:dyDescent="0.35">
      <c r="B402" s="4" t="s">
        <v>104</v>
      </c>
      <c r="C402" s="104" t="s">
        <v>138</v>
      </c>
      <c r="D402" s="105">
        <v>218961</v>
      </c>
      <c r="E402" s="105">
        <v>404</v>
      </c>
      <c r="F402" s="101">
        <v>382521.44</v>
      </c>
      <c r="G402" s="5" t="s">
        <v>106</v>
      </c>
      <c r="H402" s="105">
        <v>183</v>
      </c>
      <c r="I402" s="70" t="s">
        <v>107</v>
      </c>
      <c r="J402" s="5" t="s">
        <v>112</v>
      </c>
      <c r="K402" s="101">
        <f>+K401+Tabla6[[#This Row],[IMPORTE]]</f>
        <v>44875488.659999929</v>
      </c>
      <c r="L402" s="5" t="s">
        <v>220</v>
      </c>
      <c r="M402" s="133" t="s">
        <v>100</v>
      </c>
    </row>
    <row r="403" spans="2:13" x14ac:dyDescent="0.35">
      <c r="B403" s="4" t="s">
        <v>104</v>
      </c>
      <c r="C403" s="104" t="s">
        <v>138</v>
      </c>
      <c r="D403" s="105">
        <v>218969</v>
      </c>
      <c r="E403" s="105">
        <v>404</v>
      </c>
      <c r="F403" s="101">
        <v>417747.35</v>
      </c>
      <c r="G403" s="5" t="s">
        <v>106</v>
      </c>
      <c r="H403" s="105">
        <v>183</v>
      </c>
      <c r="I403" s="70" t="s">
        <v>107</v>
      </c>
      <c r="J403" s="5" t="s">
        <v>115</v>
      </c>
      <c r="K403" s="101">
        <f>+K402+Tabla6[[#This Row],[IMPORTE]]</f>
        <v>45293236.009999931</v>
      </c>
      <c r="L403" s="5" t="s">
        <v>220</v>
      </c>
      <c r="M403" s="133" t="s">
        <v>100</v>
      </c>
    </row>
    <row r="404" spans="2:13" x14ac:dyDescent="0.35">
      <c r="B404" s="4" t="s">
        <v>104</v>
      </c>
      <c r="C404" s="104" t="s">
        <v>138</v>
      </c>
      <c r="D404" s="105">
        <v>218943</v>
      </c>
      <c r="E404" s="105">
        <v>404</v>
      </c>
      <c r="F404" s="101">
        <v>481118.81</v>
      </c>
      <c r="G404" s="5" t="s">
        <v>106</v>
      </c>
      <c r="H404" s="105">
        <v>183</v>
      </c>
      <c r="I404" s="70" t="s">
        <v>107</v>
      </c>
      <c r="J404" s="5" t="s">
        <v>111</v>
      </c>
      <c r="K404" s="101">
        <f>+K403+Tabla6[[#This Row],[IMPORTE]]</f>
        <v>45774354.819999933</v>
      </c>
      <c r="L404" s="5" t="s">
        <v>220</v>
      </c>
      <c r="M404" s="133" t="s">
        <v>100</v>
      </c>
    </row>
    <row r="405" spans="2:13" x14ac:dyDescent="0.35">
      <c r="B405" s="4" t="s">
        <v>117</v>
      </c>
      <c r="C405" s="104" t="s">
        <v>138</v>
      </c>
      <c r="D405" s="105">
        <v>132</v>
      </c>
      <c r="E405" s="105">
        <v>811</v>
      </c>
      <c r="F405" s="101">
        <v>891814.33</v>
      </c>
      <c r="G405" s="5" t="s">
        <v>118</v>
      </c>
      <c r="H405" s="105">
        <v>4151</v>
      </c>
      <c r="I405" s="70" t="s">
        <v>107</v>
      </c>
      <c r="J405" s="5" t="s">
        <v>119</v>
      </c>
      <c r="K405" s="101">
        <f>+K404+Tabla6[[#This Row],[IMPORTE]]</f>
        <v>46666169.149999931</v>
      </c>
      <c r="L405" s="5" t="s">
        <v>222</v>
      </c>
      <c r="M405" s="133" t="s">
        <v>100</v>
      </c>
    </row>
    <row r="406" spans="2:13" x14ac:dyDescent="0.35">
      <c r="B406" s="4" t="s">
        <v>104</v>
      </c>
      <c r="C406" s="104" t="s">
        <v>138</v>
      </c>
      <c r="D406" s="105">
        <v>218967</v>
      </c>
      <c r="E406" s="105">
        <v>404</v>
      </c>
      <c r="F406" s="101">
        <v>961629.13</v>
      </c>
      <c r="G406" s="5" t="s">
        <v>106</v>
      </c>
      <c r="H406" s="105">
        <v>183</v>
      </c>
      <c r="I406" s="70" t="s">
        <v>107</v>
      </c>
      <c r="J406" s="5" t="s">
        <v>110</v>
      </c>
      <c r="K406" s="101">
        <f>+K405+Tabla6[[#This Row],[IMPORTE]]</f>
        <v>47627798.279999934</v>
      </c>
      <c r="L406" s="5" t="s">
        <v>220</v>
      </c>
      <c r="M406" s="133" t="s">
        <v>100</v>
      </c>
    </row>
    <row r="407" spans="2:13" x14ac:dyDescent="0.35">
      <c r="B407" s="134" t="s">
        <v>117</v>
      </c>
      <c r="C407" s="113" t="s">
        <v>138</v>
      </c>
      <c r="D407" s="114">
        <v>773317</v>
      </c>
      <c r="E407" s="114">
        <v>404</v>
      </c>
      <c r="F407" s="115">
        <v>2186131.4</v>
      </c>
      <c r="G407" s="116" t="s">
        <v>129</v>
      </c>
      <c r="H407" s="114">
        <v>4098</v>
      </c>
      <c r="I407" s="114">
        <v>30717862453</v>
      </c>
      <c r="J407" s="116" t="s">
        <v>130</v>
      </c>
      <c r="K407" s="115">
        <f>+K406+Tabla6[[#This Row],[IMPORTE]]</f>
        <v>49813929.679999933</v>
      </c>
      <c r="L407" s="125" t="s">
        <v>196</v>
      </c>
      <c r="M407" s="118" t="s">
        <v>85</v>
      </c>
    </row>
    <row r="408" spans="2:13" x14ac:dyDescent="0.35">
      <c r="B408" s="134" t="s">
        <v>132</v>
      </c>
      <c r="C408" s="113" t="s">
        <v>138</v>
      </c>
      <c r="D408" s="114">
        <v>342836</v>
      </c>
      <c r="E408" s="114">
        <v>404</v>
      </c>
      <c r="F408" s="115">
        <v>-38622.480000000003</v>
      </c>
      <c r="G408" s="116" t="s">
        <v>133</v>
      </c>
      <c r="H408" s="114">
        <v>4100</v>
      </c>
      <c r="I408" s="114">
        <v>30692264785</v>
      </c>
      <c r="J408" s="116" t="s">
        <v>127</v>
      </c>
      <c r="K408" s="115">
        <f>+K407+Tabla6[[#This Row],[IMPORTE]]</f>
        <v>49775307.199999936</v>
      </c>
      <c r="L408" s="125" t="s">
        <v>196</v>
      </c>
      <c r="M408" s="118" t="s">
        <v>85</v>
      </c>
    </row>
    <row r="409" spans="2:13" x14ac:dyDescent="0.35">
      <c r="B409" s="4" t="s">
        <v>117</v>
      </c>
      <c r="C409" s="104" t="s">
        <v>140</v>
      </c>
      <c r="D409" s="105">
        <v>583898</v>
      </c>
      <c r="E409" s="105">
        <v>404</v>
      </c>
      <c r="F409" s="101">
        <v>5632.41</v>
      </c>
      <c r="G409" s="5" t="s">
        <v>129</v>
      </c>
      <c r="H409" s="105">
        <v>4098</v>
      </c>
      <c r="I409" s="105">
        <v>30717862453</v>
      </c>
      <c r="J409" s="5" t="s">
        <v>130</v>
      </c>
      <c r="K409" s="101">
        <f>+K408+Tabla6[[#This Row],[IMPORTE]]</f>
        <v>49780939.609999932</v>
      </c>
      <c r="L409" s="5" t="s">
        <v>223</v>
      </c>
      <c r="M409" s="133" t="s">
        <v>100</v>
      </c>
    </row>
    <row r="410" spans="2:13" x14ac:dyDescent="0.35">
      <c r="B410" s="4" t="s">
        <v>117</v>
      </c>
      <c r="C410" s="104" t="s">
        <v>140</v>
      </c>
      <c r="D410" s="105">
        <v>14673</v>
      </c>
      <c r="E410" s="105">
        <v>404</v>
      </c>
      <c r="F410" s="101">
        <v>6073.6</v>
      </c>
      <c r="G410" s="5" t="s">
        <v>129</v>
      </c>
      <c r="H410" s="105">
        <v>4098</v>
      </c>
      <c r="I410" s="105">
        <v>30717862453</v>
      </c>
      <c r="J410" s="5" t="s">
        <v>130</v>
      </c>
      <c r="K410" s="101">
        <f>+K409+Tabla6[[#This Row],[IMPORTE]]</f>
        <v>49787013.209999934</v>
      </c>
      <c r="L410" s="5" t="s">
        <v>223</v>
      </c>
      <c r="M410" s="133" t="s">
        <v>100</v>
      </c>
    </row>
    <row r="411" spans="2:13" x14ac:dyDescent="0.35">
      <c r="B411" s="4" t="s">
        <v>117</v>
      </c>
      <c r="C411" s="104" t="s">
        <v>140</v>
      </c>
      <c r="D411" s="105">
        <v>46467</v>
      </c>
      <c r="E411" s="105">
        <v>404</v>
      </c>
      <c r="F411" s="101">
        <v>8662.92</v>
      </c>
      <c r="G411" s="5" t="s">
        <v>129</v>
      </c>
      <c r="H411" s="105">
        <v>4098</v>
      </c>
      <c r="I411" s="105">
        <v>30717862453</v>
      </c>
      <c r="J411" s="5" t="s">
        <v>130</v>
      </c>
      <c r="K411" s="101">
        <f>+K410+Tabla6[[#This Row],[IMPORTE]]</f>
        <v>49795676.129999936</v>
      </c>
      <c r="L411" s="5" t="s">
        <v>223</v>
      </c>
      <c r="M411" s="133" t="s">
        <v>100</v>
      </c>
    </row>
    <row r="412" spans="2:13" x14ac:dyDescent="0.35">
      <c r="B412" s="4" t="s">
        <v>117</v>
      </c>
      <c r="C412" s="104" t="s">
        <v>140</v>
      </c>
      <c r="D412" s="105">
        <v>758886</v>
      </c>
      <c r="E412" s="105">
        <v>404</v>
      </c>
      <c r="F412" s="101">
        <v>19311.240000000002</v>
      </c>
      <c r="G412" s="5" t="s">
        <v>129</v>
      </c>
      <c r="H412" s="105">
        <v>4098</v>
      </c>
      <c r="I412" s="105">
        <v>30717862453</v>
      </c>
      <c r="J412" s="5" t="s">
        <v>130</v>
      </c>
      <c r="K412" s="101">
        <f>+K411+Tabla6[[#This Row],[IMPORTE]]</f>
        <v>49814987.369999938</v>
      </c>
      <c r="L412" s="5" t="s">
        <v>223</v>
      </c>
      <c r="M412" s="133" t="s">
        <v>100</v>
      </c>
    </row>
    <row r="413" spans="2:13" x14ac:dyDescent="0.35">
      <c r="B413" s="4" t="s">
        <v>104</v>
      </c>
      <c r="C413" s="104" t="s">
        <v>140</v>
      </c>
      <c r="D413" s="105">
        <v>280401</v>
      </c>
      <c r="E413" s="105">
        <v>404</v>
      </c>
      <c r="F413" s="101">
        <v>19662.57</v>
      </c>
      <c r="G413" s="5" t="s">
        <v>106</v>
      </c>
      <c r="H413" s="105">
        <v>183</v>
      </c>
      <c r="I413" s="70" t="s">
        <v>107</v>
      </c>
      <c r="J413" s="5" t="s">
        <v>110</v>
      </c>
      <c r="K413" s="101">
        <f>+K412+Tabla6[[#This Row],[IMPORTE]]</f>
        <v>49834649.939999938</v>
      </c>
      <c r="L413" s="5" t="s">
        <v>224</v>
      </c>
      <c r="M413" s="133" t="s">
        <v>100</v>
      </c>
    </row>
    <row r="414" spans="2:13" x14ac:dyDescent="0.35">
      <c r="B414" s="4" t="s">
        <v>104</v>
      </c>
      <c r="C414" s="104" t="s">
        <v>140</v>
      </c>
      <c r="D414" s="105">
        <v>280400</v>
      </c>
      <c r="E414" s="105">
        <v>404</v>
      </c>
      <c r="F414" s="101">
        <v>25370.799999999999</v>
      </c>
      <c r="G414" s="5" t="s">
        <v>106</v>
      </c>
      <c r="H414" s="105">
        <v>183</v>
      </c>
      <c r="I414" s="70" t="s">
        <v>107</v>
      </c>
      <c r="J414" s="5" t="s">
        <v>116</v>
      </c>
      <c r="K414" s="101">
        <f>+K413+Tabla6[[#This Row],[IMPORTE]]</f>
        <v>49860020.739999935</v>
      </c>
      <c r="L414" s="5" t="s">
        <v>225</v>
      </c>
      <c r="M414" s="133" t="s">
        <v>100</v>
      </c>
    </row>
    <row r="415" spans="2:13" x14ac:dyDescent="0.35">
      <c r="B415" s="4" t="s">
        <v>117</v>
      </c>
      <c r="C415" s="104" t="s">
        <v>140</v>
      </c>
      <c r="D415" s="105">
        <v>21176</v>
      </c>
      <c r="E415" s="105">
        <v>404</v>
      </c>
      <c r="F415" s="101">
        <v>25748.32</v>
      </c>
      <c r="G415" s="5" t="s">
        <v>129</v>
      </c>
      <c r="H415" s="105">
        <v>4098</v>
      </c>
      <c r="I415" s="105">
        <v>30717862453</v>
      </c>
      <c r="J415" s="5" t="s">
        <v>130</v>
      </c>
      <c r="K415" s="101">
        <f>+K414+Tabla6[[#This Row],[IMPORTE]]</f>
        <v>49885769.059999935</v>
      </c>
      <c r="L415" s="5" t="s">
        <v>223</v>
      </c>
      <c r="M415" s="133" t="s">
        <v>100</v>
      </c>
    </row>
    <row r="416" spans="2:13" x14ac:dyDescent="0.35">
      <c r="B416" s="4" t="s">
        <v>117</v>
      </c>
      <c r="C416" s="104" t="s">
        <v>140</v>
      </c>
      <c r="D416" s="105">
        <v>312995</v>
      </c>
      <c r="E416" s="105">
        <v>404</v>
      </c>
      <c r="F416" s="101">
        <v>25748.32</v>
      </c>
      <c r="G416" s="5" t="s">
        <v>129</v>
      </c>
      <c r="H416" s="105">
        <v>4098</v>
      </c>
      <c r="I416" s="105">
        <v>30717862453</v>
      </c>
      <c r="J416" s="5" t="s">
        <v>130</v>
      </c>
      <c r="K416" s="101">
        <f>+K415+Tabla6[[#This Row],[IMPORTE]]</f>
        <v>49911517.379999936</v>
      </c>
      <c r="L416" s="5" t="s">
        <v>223</v>
      </c>
      <c r="M416" s="133" t="s">
        <v>100</v>
      </c>
    </row>
    <row r="417" spans="2:13" x14ac:dyDescent="0.35">
      <c r="B417" s="4" t="s">
        <v>117</v>
      </c>
      <c r="C417" s="104" t="s">
        <v>140</v>
      </c>
      <c r="D417" s="105">
        <v>850800</v>
      </c>
      <c r="E417" s="105">
        <v>404</v>
      </c>
      <c r="F417" s="101">
        <v>25748.32</v>
      </c>
      <c r="G417" s="5" t="s">
        <v>129</v>
      </c>
      <c r="H417" s="105">
        <v>4098</v>
      </c>
      <c r="I417" s="105">
        <v>30717862453</v>
      </c>
      <c r="J417" s="5" t="s">
        <v>130</v>
      </c>
      <c r="K417" s="101">
        <f>+K416+Tabla6[[#This Row],[IMPORTE]]</f>
        <v>49937265.699999936</v>
      </c>
      <c r="L417" s="5" t="s">
        <v>223</v>
      </c>
      <c r="M417" s="133" t="s">
        <v>100</v>
      </c>
    </row>
    <row r="418" spans="2:13" x14ac:dyDescent="0.35">
      <c r="B418" s="4" t="s">
        <v>117</v>
      </c>
      <c r="C418" s="104" t="s">
        <v>140</v>
      </c>
      <c r="D418" s="105">
        <v>381117</v>
      </c>
      <c r="E418" s="105">
        <v>404</v>
      </c>
      <c r="F418" s="101">
        <v>29610.57</v>
      </c>
      <c r="G418" s="5" t="s">
        <v>129</v>
      </c>
      <c r="H418" s="105">
        <v>4098</v>
      </c>
      <c r="I418" s="105">
        <v>30717862453</v>
      </c>
      <c r="J418" s="5" t="s">
        <v>130</v>
      </c>
      <c r="K418" s="101">
        <f>+K417+Tabla6[[#This Row],[IMPORTE]]</f>
        <v>49966876.269999936</v>
      </c>
      <c r="L418" s="5" t="s">
        <v>223</v>
      </c>
      <c r="M418" s="133" t="s">
        <v>100</v>
      </c>
    </row>
    <row r="419" spans="2:13" x14ac:dyDescent="0.35">
      <c r="B419" s="4" t="s">
        <v>117</v>
      </c>
      <c r="C419" s="104" t="s">
        <v>140</v>
      </c>
      <c r="D419" s="105">
        <v>538872</v>
      </c>
      <c r="E419" s="105">
        <v>404</v>
      </c>
      <c r="F419" s="101">
        <v>29610.57</v>
      </c>
      <c r="G419" s="5" t="s">
        <v>129</v>
      </c>
      <c r="H419" s="105">
        <v>4098</v>
      </c>
      <c r="I419" s="105">
        <v>30717862453</v>
      </c>
      <c r="J419" s="5" t="s">
        <v>130</v>
      </c>
      <c r="K419" s="101">
        <f>+K418+Tabla6[[#This Row],[IMPORTE]]</f>
        <v>49996486.839999937</v>
      </c>
      <c r="L419" s="5" t="s">
        <v>223</v>
      </c>
      <c r="M419" s="133" t="s">
        <v>100</v>
      </c>
    </row>
    <row r="420" spans="2:13" x14ac:dyDescent="0.35">
      <c r="B420" s="4" t="s">
        <v>117</v>
      </c>
      <c r="C420" s="104" t="s">
        <v>140</v>
      </c>
      <c r="D420" s="105">
        <v>441311</v>
      </c>
      <c r="E420" s="105">
        <v>404</v>
      </c>
      <c r="F420" s="101">
        <v>36950.730000000003</v>
      </c>
      <c r="G420" s="5" t="s">
        <v>129</v>
      </c>
      <c r="H420" s="105">
        <v>4098</v>
      </c>
      <c r="I420" s="105">
        <v>30717862453</v>
      </c>
      <c r="J420" s="5" t="s">
        <v>130</v>
      </c>
      <c r="K420" s="101">
        <f>+K419+Tabla6[[#This Row],[IMPORTE]]</f>
        <v>50033437.569999933</v>
      </c>
      <c r="L420" s="5" t="s">
        <v>223</v>
      </c>
      <c r="M420" s="133" t="s">
        <v>100</v>
      </c>
    </row>
    <row r="421" spans="2:13" x14ac:dyDescent="0.35">
      <c r="B421" s="4" t="s">
        <v>104</v>
      </c>
      <c r="C421" s="104" t="s">
        <v>140</v>
      </c>
      <c r="D421" s="105">
        <v>280409</v>
      </c>
      <c r="E421" s="105">
        <v>404</v>
      </c>
      <c r="F421" s="101">
        <v>38056.199999999997</v>
      </c>
      <c r="G421" s="5" t="s">
        <v>106</v>
      </c>
      <c r="H421" s="105">
        <v>183</v>
      </c>
      <c r="I421" s="70" t="s">
        <v>107</v>
      </c>
      <c r="J421" s="5" t="s">
        <v>113</v>
      </c>
      <c r="K421" s="101">
        <f>+K420+Tabla6[[#This Row],[IMPORTE]]</f>
        <v>50071493.769999936</v>
      </c>
      <c r="L421" s="5" t="s">
        <v>225</v>
      </c>
      <c r="M421" s="133" t="s">
        <v>100</v>
      </c>
    </row>
    <row r="422" spans="2:13" x14ac:dyDescent="0.35">
      <c r="B422" s="4" t="s">
        <v>117</v>
      </c>
      <c r="C422" s="104" t="s">
        <v>140</v>
      </c>
      <c r="D422" s="105">
        <v>4735</v>
      </c>
      <c r="E422" s="105">
        <v>404</v>
      </c>
      <c r="F422" s="101">
        <v>38622.480000000003</v>
      </c>
      <c r="G422" s="5" t="s">
        <v>129</v>
      </c>
      <c r="H422" s="105">
        <v>4098</v>
      </c>
      <c r="I422" s="105">
        <v>30717862453</v>
      </c>
      <c r="J422" s="5" t="s">
        <v>130</v>
      </c>
      <c r="K422" s="101">
        <f>+K421+Tabla6[[#This Row],[IMPORTE]]</f>
        <v>50110116.249999933</v>
      </c>
      <c r="L422" s="5" t="s">
        <v>223</v>
      </c>
      <c r="M422" s="133" t="s">
        <v>100</v>
      </c>
    </row>
    <row r="423" spans="2:13" x14ac:dyDescent="0.35">
      <c r="B423" s="4" t="s">
        <v>117</v>
      </c>
      <c r="C423" s="104" t="s">
        <v>140</v>
      </c>
      <c r="D423" s="105">
        <v>11106</v>
      </c>
      <c r="E423" s="105">
        <v>404</v>
      </c>
      <c r="F423" s="101">
        <v>38622.480000000003</v>
      </c>
      <c r="G423" s="5" t="s">
        <v>129</v>
      </c>
      <c r="H423" s="105">
        <v>4098</v>
      </c>
      <c r="I423" s="105">
        <v>30717862453</v>
      </c>
      <c r="J423" s="5" t="s">
        <v>130</v>
      </c>
      <c r="K423" s="101">
        <f>+K422+Tabla6[[#This Row],[IMPORTE]]</f>
        <v>50148738.72999993</v>
      </c>
      <c r="L423" s="5" t="s">
        <v>223</v>
      </c>
      <c r="M423" s="133" t="s">
        <v>100</v>
      </c>
    </row>
    <row r="424" spans="2:13" x14ac:dyDescent="0.35">
      <c r="B424" s="4" t="s">
        <v>117</v>
      </c>
      <c r="C424" s="104" t="s">
        <v>140</v>
      </c>
      <c r="D424" s="105">
        <v>14838</v>
      </c>
      <c r="E424" s="105">
        <v>404</v>
      </c>
      <c r="F424" s="101">
        <v>38622.480000000003</v>
      </c>
      <c r="G424" s="5" t="s">
        <v>129</v>
      </c>
      <c r="H424" s="105">
        <v>4098</v>
      </c>
      <c r="I424" s="105">
        <v>30717862453</v>
      </c>
      <c r="J424" s="5" t="s">
        <v>130</v>
      </c>
      <c r="K424" s="101">
        <f>+K423+Tabla6[[#This Row],[IMPORTE]]</f>
        <v>50187361.209999926</v>
      </c>
      <c r="L424" s="5" t="s">
        <v>223</v>
      </c>
      <c r="M424" s="133" t="s">
        <v>100</v>
      </c>
    </row>
    <row r="425" spans="2:13" x14ac:dyDescent="0.35">
      <c r="B425" s="4" t="s">
        <v>117</v>
      </c>
      <c r="C425" s="104" t="s">
        <v>140</v>
      </c>
      <c r="D425" s="105">
        <v>86554</v>
      </c>
      <c r="E425" s="105">
        <v>404</v>
      </c>
      <c r="F425" s="101">
        <v>38622.480000000003</v>
      </c>
      <c r="G425" s="5" t="s">
        <v>129</v>
      </c>
      <c r="H425" s="105">
        <v>4098</v>
      </c>
      <c r="I425" s="105">
        <v>30717862453</v>
      </c>
      <c r="J425" s="5" t="s">
        <v>130</v>
      </c>
      <c r="K425" s="101">
        <f>+K424+Tabla6[[#This Row],[IMPORTE]]</f>
        <v>50225983.689999923</v>
      </c>
      <c r="L425" s="5" t="s">
        <v>223</v>
      </c>
      <c r="M425" s="133" t="s">
        <v>100</v>
      </c>
    </row>
    <row r="426" spans="2:13" x14ac:dyDescent="0.35">
      <c r="B426" s="4" t="s">
        <v>117</v>
      </c>
      <c r="C426" s="104" t="s">
        <v>140</v>
      </c>
      <c r="D426" s="105">
        <v>94183</v>
      </c>
      <c r="E426" s="105">
        <v>404</v>
      </c>
      <c r="F426" s="101">
        <v>38622.480000000003</v>
      </c>
      <c r="G426" s="5" t="s">
        <v>129</v>
      </c>
      <c r="H426" s="105">
        <v>4098</v>
      </c>
      <c r="I426" s="105">
        <v>30717862453</v>
      </c>
      <c r="J426" s="5" t="s">
        <v>130</v>
      </c>
      <c r="K426" s="101">
        <f>+K425+Tabla6[[#This Row],[IMPORTE]]</f>
        <v>50264606.16999992</v>
      </c>
      <c r="L426" s="5" t="s">
        <v>223</v>
      </c>
      <c r="M426" s="133" t="s">
        <v>100</v>
      </c>
    </row>
    <row r="427" spans="2:13" x14ac:dyDescent="0.35">
      <c r="B427" s="4" t="s">
        <v>117</v>
      </c>
      <c r="C427" s="104" t="s">
        <v>140</v>
      </c>
      <c r="D427" s="105">
        <v>115876</v>
      </c>
      <c r="E427" s="105">
        <v>404</v>
      </c>
      <c r="F427" s="101">
        <v>38622.480000000003</v>
      </c>
      <c r="G427" s="5" t="s">
        <v>129</v>
      </c>
      <c r="H427" s="105">
        <v>4098</v>
      </c>
      <c r="I427" s="105">
        <v>30717862453</v>
      </c>
      <c r="J427" s="5" t="s">
        <v>130</v>
      </c>
      <c r="K427" s="101">
        <f>+K426+Tabla6[[#This Row],[IMPORTE]]</f>
        <v>50303228.649999917</v>
      </c>
      <c r="L427" s="5" t="s">
        <v>223</v>
      </c>
      <c r="M427" s="133" t="s">
        <v>100</v>
      </c>
    </row>
    <row r="428" spans="2:13" x14ac:dyDescent="0.35">
      <c r="B428" s="4" t="s">
        <v>117</v>
      </c>
      <c r="C428" s="104" t="s">
        <v>140</v>
      </c>
      <c r="D428" s="105">
        <v>120627</v>
      </c>
      <c r="E428" s="105">
        <v>404</v>
      </c>
      <c r="F428" s="101">
        <v>38622.480000000003</v>
      </c>
      <c r="G428" s="5" t="s">
        <v>129</v>
      </c>
      <c r="H428" s="105">
        <v>4098</v>
      </c>
      <c r="I428" s="105">
        <v>30717862453</v>
      </c>
      <c r="J428" s="5" t="s">
        <v>130</v>
      </c>
      <c r="K428" s="101">
        <f>+K427+Tabla6[[#This Row],[IMPORTE]]</f>
        <v>50341851.129999913</v>
      </c>
      <c r="L428" s="5" t="s">
        <v>223</v>
      </c>
      <c r="M428" s="133" t="s">
        <v>100</v>
      </c>
    </row>
    <row r="429" spans="2:13" x14ac:dyDescent="0.35">
      <c r="B429" s="4" t="s">
        <v>117</v>
      </c>
      <c r="C429" s="104" t="s">
        <v>140</v>
      </c>
      <c r="D429" s="105">
        <v>129634</v>
      </c>
      <c r="E429" s="105">
        <v>404</v>
      </c>
      <c r="F429" s="101">
        <v>38622.480000000003</v>
      </c>
      <c r="G429" s="5" t="s">
        <v>129</v>
      </c>
      <c r="H429" s="105">
        <v>4098</v>
      </c>
      <c r="I429" s="105">
        <v>30717862453</v>
      </c>
      <c r="J429" s="5" t="s">
        <v>130</v>
      </c>
      <c r="K429" s="101">
        <f>+K428+Tabla6[[#This Row],[IMPORTE]]</f>
        <v>50380473.60999991</v>
      </c>
      <c r="L429" s="5" t="s">
        <v>223</v>
      </c>
      <c r="M429" s="133" t="s">
        <v>100</v>
      </c>
    </row>
    <row r="430" spans="2:13" x14ac:dyDescent="0.35">
      <c r="B430" s="4" t="s">
        <v>117</v>
      </c>
      <c r="C430" s="104" t="s">
        <v>140</v>
      </c>
      <c r="D430" s="105">
        <v>138199</v>
      </c>
      <c r="E430" s="105">
        <v>404</v>
      </c>
      <c r="F430" s="101">
        <v>38622.480000000003</v>
      </c>
      <c r="G430" s="5" t="s">
        <v>129</v>
      </c>
      <c r="H430" s="105">
        <v>4098</v>
      </c>
      <c r="I430" s="105">
        <v>30717862453</v>
      </c>
      <c r="J430" s="5" t="s">
        <v>130</v>
      </c>
      <c r="K430" s="101">
        <f>+K429+Tabla6[[#This Row],[IMPORTE]]</f>
        <v>50419096.089999907</v>
      </c>
      <c r="L430" s="5" t="s">
        <v>223</v>
      </c>
      <c r="M430" s="133" t="s">
        <v>100</v>
      </c>
    </row>
    <row r="431" spans="2:13" x14ac:dyDescent="0.35">
      <c r="B431" s="4" t="s">
        <v>117</v>
      </c>
      <c r="C431" s="104" t="s">
        <v>140</v>
      </c>
      <c r="D431" s="105">
        <v>186736</v>
      </c>
      <c r="E431" s="105">
        <v>404</v>
      </c>
      <c r="F431" s="101">
        <v>38622.480000000003</v>
      </c>
      <c r="G431" s="5" t="s">
        <v>129</v>
      </c>
      <c r="H431" s="105">
        <v>4098</v>
      </c>
      <c r="I431" s="105">
        <v>30717862453</v>
      </c>
      <c r="J431" s="5" t="s">
        <v>130</v>
      </c>
      <c r="K431" s="101">
        <f>+K430+Tabla6[[#This Row],[IMPORTE]]</f>
        <v>50457718.569999903</v>
      </c>
      <c r="L431" s="5" t="s">
        <v>223</v>
      </c>
      <c r="M431" s="133" t="s">
        <v>100</v>
      </c>
    </row>
    <row r="432" spans="2:13" x14ac:dyDescent="0.35">
      <c r="B432" s="4" t="s">
        <v>117</v>
      </c>
      <c r="C432" s="104" t="s">
        <v>140</v>
      </c>
      <c r="D432" s="105">
        <v>195131</v>
      </c>
      <c r="E432" s="105">
        <v>404</v>
      </c>
      <c r="F432" s="101">
        <v>38622.480000000003</v>
      </c>
      <c r="G432" s="5" t="s">
        <v>129</v>
      </c>
      <c r="H432" s="105">
        <v>4098</v>
      </c>
      <c r="I432" s="105">
        <v>30717862453</v>
      </c>
      <c r="J432" s="5" t="s">
        <v>130</v>
      </c>
      <c r="K432" s="101">
        <f>+K431+Tabla6[[#This Row],[IMPORTE]]</f>
        <v>50496341.0499999</v>
      </c>
      <c r="L432" s="5" t="s">
        <v>223</v>
      </c>
      <c r="M432" s="133" t="s">
        <v>100</v>
      </c>
    </row>
    <row r="433" spans="2:13" x14ac:dyDescent="0.35">
      <c r="B433" s="4" t="s">
        <v>117</v>
      </c>
      <c r="C433" s="104" t="s">
        <v>140</v>
      </c>
      <c r="D433" s="105">
        <v>202528</v>
      </c>
      <c r="E433" s="105">
        <v>404</v>
      </c>
      <c r="F433" s="101">
        <v>38622.480000000003</v>
      </c>
      <c r="G433" s="5" t="s">
        <v>129</v>
      </c>
      <c r="H433" s="105">
        <v>4098</v>
      </c>
      <c r="I433" s="105">
        <v>30717862453</v>
      </c>
      <c r="J433" s="5" t="s">
        <v>130</v>
      </c>
      <c r="K433" s="101">
        <f>+K432+Tabla6[[#This Row],[IMPORTE]]</f>
        <v>50534963.529999897</v>
      </c>
      <c r="L433" s="5" t="s">
        <v>223</v>
      </c>
      <c r="M433" s="133" t="s">
        <v>100</v>
      </c>
    </row>
    <row r="434" spans="2:13" x14ac:dyDescent="0.35">
      <c r="B434" s="4" t="s">
        <v>117</v>
      </c>
      <c r="C434" s="104" t="s">
        <v>140</v>
      </c>
      <c r="D434" s="105">
        <v>279942</v>
      </c>
      <c r="E434" s="105">
        <v>404</v>
      </c>
      <c r="F434" s="101">
        <v>38622.480000000003</v>
      </c>
      <c r="G434" s="5" t="s">
        <v>129</v>
      </c>
      <c r="H434" s="105">
        <v>4098</v>
      </c>
      <c r="I434" s="105">
        <v>30717862453</v>
      </c>
      <c r="J434" s="5" t="s">
        <v>130</v>
      </c>
      <c r="K434" s="101">
        <f>+K433+Tabla6[[#This Row],[IMPORTE]]</f>
        <v>50573586.009999894</v>
      </c>
      <c r="L434" s="5" t="s">
        <v>223</v>
      </c>
      <c r="M434" s="133" t="s">
        <v>100</v>
      </c>
    </row>
    <row r="435" spans="2:13" x14ac:dyDescent="0.35">
      <c r="B435" s="4" t="s">
        <v>117</v>
      </c>
      <c r="C435" s="104" t="s">
        <v>140</v>
      </c>
      <c r="D435" s="105">
        <v>310880</v>
      </c>
      <c r="E435" s="105">
        <v>404</v>
      </c>
      <c r="F435" s="101">
        <v>38622.480000000003</v>
      </c>
      <c r="G435" s="5" t="s">
        <v>129</v>
      </c>
      <c r="H435" s="105">
        <v>4098</v>
      </c>
      <c r="I435" s="105">
        <v>30717862453</v>
      </c>
      <c r="J435" s="5" t="s">
        <v>130</v>
      </c>
      <c r="K435" s="101">
        <f>+K434+Tabla6[[#This Row],[IMPORTE]]</f>
        <v>50612208.48999989</v>
      </c>
      <c r="L435" s="5" t="s">
        <v>223</v>
      </c>
      <c r="M435" s="133" t="s">
        <v>100</v>
      </c>
    </row>
    <row r="436" spans="2:13" x14ac:dyDescent="0.35">
      <c r="B436" s="4" t="s">
        <v>117</v>
      </c>
      <c r="C436" s="104" t="s">
        <v>140</v>
      </c>
      <c r="D436" s="105">
        <v>324006</v>
      </c>
      <c r="E436" s="105">
        <v>404</v>
      </c>
      <c r="F436" s="101">
        <v>38622.480000000003</v>
      </c>
      <c r="G436" s="5" t="s">
        <v>129</v>
      </c>
      <c r="H436" s="105">
        <v>4098</v>
      </c>
      <c r="I436" s="105">
        <v>30717862453</v>
      </c>
      <c r="J436" s="5" t="s">
        <v>130</v>
      </c>
      <c r="K436" s="101">
        <f>+K435+Tabla6[[#This Row],[IMPORTE]]</f>
        <v>50650830.969999887</v>
      </c>
      <c r="L436" s="5" t="s">
        <v>223</v>
      </c>
      <c r="M436" s="133" t="s">
        <v>100</v>
      </c>
    </row>
    <row r="437" spans="2:13" x14ac:dyDescent="0.35">
      <c r="B437" s="4" t="s">
        <v>117</v>
      </c>
      <c r="C437" s="104" t="s">
        <v>140</v>
      </c>
      <c r="D437" s="105">
        <v>330542</v>
      </c>
      <c r="E437" s="105">
        <v>404</v>
      </c>
      <c r="F437" s="101">
        <v>38622.480000000003</v>
      </c>
      <c r="G437" s="5" t="s">
        <v>129</v>
      </c>
      <c r="H437" s="105">
        <v>4098</v>
      </c>
      <c r="I437" s="105">
        <v>30717862453</v>
      </c>
      <c r="J437" s="5" t="s">
        <v>130</v>
      </c>
      <c r="K437" s="101">
        <f>+K436+Tabla6[[#This Row],[IMPORTE]]</f>
        <v>50689453.449999884</v>
      </c>
      <c r="L437" s="5" t="s">
        <v>223</v>
      </c>
      <c r="M437" s="133" t="s">
        <v>100</v>
      </c>
    </row>
    <row r="438" spans="2:13" x14ac:dyDescent="0.35">
      <c r="B438" s="4" t="s">
        <v>117</v>
      </c>
      <c r="C438" s="104" t="s">
        <v>140</v>
      </c>
      <c r="D438" s="105">
        <v>451789</v>
      </c>
      <c r="E438" s="105">
        <v>404</v>
      </c>
      <c r="F438" s="101">
        <v>38622.480000000003</v>
      </c>
      <c r="G438" s="5" t="s">
        <v>129</v>
      </c>
      <c r="H438" s="105">
        <v>4098</v>
      </c>
      <c r="I438" s="105">
        <v>30717862453</v>
      </c>
      <c r="J438" s="5" t="s">
        <v>130</v>
      </c>
      <c r="K438" s="101">
        <f>+K437+Tabla6[[#This Row],[IMPORTE]]</f>
        <v>50728075.92999988</v>
      </c>
      <c r="L438" s="5" t="s">
        <v>223</v>
      </c>
      <c r="M438" s="133" t="s">
        <v>100</v>
      </c>
    </row>
    <row r="439" spans="2:13" x14ac:dyDescent="0.35">
      <c r="B439" s="4" t="s">
        <v>117</v>
      </c>
      <c r="C439" s="104" t="s">
        <v>140</v>
      </c>
      <c r="D439" s="105">
        <v>462681</v>
      </c>
      <c r="E439" s="105">
        <v>404</v>
      </c>
      <c r="F439" s="101">
        <v>38622.480000000003</v>
      </c>
      <c r="G439" s="5" t="s">
        <v>129</v>
      </c>
      <c r="H439" s="105">
        <v>4098</v>
      </c>
      <c r="I439" s="105">
        <v>30717862453</v>
      </c>
      <c r="J439" s="5" t="s">
        <v>130</v>
      </c>
      <c r="K439" s="101">
        <f>+K438+Tabla6[[#This Row],[IMPORTE]]</f>
        <v>50766698.409999877</v>
      </c>
      <c r="L439" s="5" t="s">
        <v>223</v>
      </c>
      <c r="M439" s="133" t="s">
        <v>100</v>
      </c>
    </row>
    <row r="440" spans="2:13" x14ac:dyDescent="0.35">
      <c r="B440" s="4" t="s">
        <v>117</v>
      </c>
      <c r="C440" s="104" t="s">
        <v>140</v>
      </c>
      <c r="D440" s="105">
        <v>477155</v>
      </c>
      <c r="E440" s="105">
        <v>404</v>
      </c>
      <c r="F440" s="101">
        <v>38622.480000000003</v>
      </c>
      <c r="G440" s="5" t="s">
        <v>129</v>
      </c>
      <c r="H440" s="105">
        <v>4098</v>
      </c>
      <c r="I440" s="105">
        <v>30717862453</v>
      </c>
      <c r="J440" s="5" t="s">
        <v>130</v>
      </c>
      <c r="K440" s="101">
        <f>+K439+Tabla6[[#This Row],[IMPORTE]]</f>
        <v>50805320.889999874</v>
      </c>
      <c r="L440" s="5" t="s">
        <v>223</v>
      </c>
      <c r="M440" s="133" t="s">
        <v>100</v>
      </c>
    </row>
    <row r="441" spans="2:13" x14ac:dyDescent="0.35">
      <c r="B441" s="4" t="s">
        <v>117</v>
      </c>
      <c r="C441" s="104" t="s">
        <v>140</v>
      </c>
      <c r="D441" s="105">
        <v>493638</v>
      </c>
      <c r="E441" s="105">
        <v>404</v>
      </c>
      <c r="F441" s="101">
        <v>38622.480000000003</v>
      </c>
      <c r="G441" s="5" t="s">
        <v>129</v>
      </c>
      <c r="H441" s="105">
        <v>4098</v>
      </c>
      <c r="I441" s="105">
        <v>30717862453</v>
      </c>
      <c r="J441" s="5" t="s">
        <v>130</v>
      </c>
      <c r="K441" s="101">
        <f>+K440+Tabla6[[#This Row],[IMPORTE]]</f>
        <v>50843943.369999871</v>
      </c>
      <c r="L441" s="5" t="s">
        <v>223</v>
      </c>
      <c r="M441" s="133" t="s">
        <v>100</v>
      </c>
    </row>
    <row r="442" spans="2:13" x14ac:dyDescent="0.35">
      <c r="B442" s="4" t="s">
        <v>117</v>
      </c>
      <c r="C442" s="104" t="s">
        <v>140</v>
      </c>
      <c r="D442" s="105">
        <v>502640</v>
      </c>
      <c r="E442" s="105">
        <v>404</v>
      </c>
      <c r="F442" s="101">
        <v>38622.480000000003</v>
      </c>
      <c r="G442" s="5" t="s">
        <v>129</v>
      </c>
      <c r="H442" s="105">
        <v>4098</v>
      </c>
      <c r="I442" s="105">
        <v>30717862453</v>
      </c>
      <c r="J442" s="5" t="s">
        <v>130</v>
      </c>
      <c r="K442" s="101">
        <f>+K441+Tabla6[[#This Row],[IMPORTE]]</f>
        <v>50882565.849999867</v>
      </c>
      <c r="L442" s="5" t="s">
        <v>223</v>
      </c>
      <c r="M442" s="133" t="s">
        <v>100</v>
      </c>
    </row>
    <row r="443" spans="2:13" x14ac:dyDescent="0.35">
      <c r="B443" s="4" t="s">
        <v>117</v>
      </c>
      <c r="C443" s="104" t="s">
        <v>140</v>
      </c>
      <c r="D443" s="105">
        <v>503056</v>
      </c>
      <c r="E443" s="105">
        <v>404</v>
      </c>
      <c r="F443" s="101">
        <v>38622.480000000003</v>
      </c>
      <c r="G443" s="5" t="s">
        <v>129</v>
      </c>
      <c r="H443" s="105">
        <v>4098</v>
      </c>
      <c r="I443" s="105">
        <v>30717862453</v>
      </c>
      <c r="J443" s="5" t="s">
        <v>130</v>
      </c>
      <c r="K443" s="101">
        <f>+K442+Tabla6[[#This Row],[IMPORTE]]</f>
        <v>50921188.329999864</v>
      </c>
      <c r="L443" s="5" t="s">
        <v>223</v>
      </c>
      <c r="M443" s="133" t="s">
        <v>100</v>
      </c>
    </row>
    <row r="444" spans="2:13" x14ac:dyDescent="0.35">
      <c r="B444" s="4" t="s">
        <v>117</v>
      </c>
      <c r="C444" s="104" t="s">
        <v>140</v>
      </c>
      <c r="D444" s="105">
        <v>524331</v>
      </c>
      <c r="E444" s="105">
        <v>404</v>
      </c>
      <c r="F444" s="101">
        <v>38622.480000000003</v>
      </c>
      <c r="G444" s="5" t="s">
        <v>129</v>
      </c>
      <c r="H444" s="105">
        <v>4098</v>
      </c>
      <c r="I444" s="105">
        <v>30717862453</v>
      </c>
      <c r="J444" s="5" t="s">
        <v>130</v>
      </c>
      <c r="K444" s="101">
        <f>+K443+Tabla6[[#This Row],[IMPORTE]]</f>
        <v>50959810.809999861</v>
      </c>
      <c r="L444" s="5" t="s">
        <v>223</v>
      </c>
      <c r="M444" s="133" t="s">
        <v>100</v>
      </c>
    </row>
    <row r="445" spans="2:13" x14ac:dyDescent="0.35">
      <c r="B445" s="4" t="s">
        <v>117</v>
      </c>
      <c r="C445" s="104" t="s">
        <v>140</v>
      </c>
      <c r="D445" s="105">
        <v>534412</v>
      </c>
      <c r="E445" s="105">
        <v>404</v>
      </c>
      <c r="F445" s="101">
        <v>38622.480000000003</v>
      </c>
      <c r="G445" s="5" t="s">
        <v>129</v>
      </c>
      <c r="H445" s="105">
        <v>4098</v>
      </c>
      <c r="I445" s="105">
        <v>30717862453</v>
      </c>
      <c r="J445" s="5" t="s">
        <v>130</v>
      </c>
      <c r="K445" s="101">
        <f>+K444+Tabla6[[#This Row],[IMPORTE]]</f>
        <v>50998433.289999858</v>
      </c>
      <c r="L445" s="5" t="s">
        <v>223</v>
      </c>
      <c r="M445" s="133" t="s">
        <v>100</v>
      </c>
    </row>
    <row r="446" spans="2:13" x14ac:dyDescent="0.35">
      <c r="B446" s="4" t="s">
        <v>117</v>
      </c>
      <c r="C446" s="104" t="s">
        <v>140</v>
      </c>
      <c r="D446" s="105">
        <v>597959</v>
      </c>
      <c r="E446" s="105">
        <v>404</v>
      </c>
      <c r="F446" s="101">
        <v>38622.480000000003</v>
      </c>
      <c r="G446" s="5" t="s">
        <v>129</v>
      </c>
      <c r="H446" s="105">
        <v>4098</v>
      </c>
      <c r="I446" s="105">
        <v>30717862453</v>
      </c>
      <c r="J446" s="5" t="s">
        <v>130</v>
      </c>
      <c r="K446" s="101">
        <f>+K445+Tabla6[[#This Row],[IMPORTE]]</f>
        <v>51037055.769999854</v>
      </c>
      <c r="L446" s="5" t="s">
        <v>223</v>
      </c>
      <c r="M446" s="133" t="s">
        <v>100</v>
      </c>
    </row>
    <row r="447" spans="2:13" x14ac:dyDescent="0.35">
      <c r="B447" s="4" t="s">
        <v>117</v>
      </c>
      <c r="C447" s="104" t="s">
        <v>140</v>
      </c>
      <c r="D447" s="105">
        <v>608969</v>
      </c>
      <c r="E447" s="105">
        <v>404</v>
      </c>
      <c r="F447" s="101">
        <v>38622.480000000003</v>
      </c>
      <c r="G447" s="5" t="s">
        <v>129</v>
      </c>
      <c r="H447" s="105">
        <v>4098</v>
      </c>
      <c r="I447" s="105">
        <v>30717862453</v>
      </c>
      <c r="J447" s="5" t="s">
        <v>130</v>
      </c>
      <c r="K447" s="101">
        <f>+K446+Tabla6[[#This Row],[IMPORTE]]</f>
        <v>51075678.249999851</v>
      </c>
      <c r="L447" s="5" t="s">
        <v>223</v>
      </c>
      <c r="M447" s="133" t="s">
        <v>100</v>
      </c>
    </row>
    <row r="448" spans="2:13" x14ac:dyDescent="0.35">
      <c r="B448" s="4" t="s">
        <v>117</v>
      </c>
      <c r="C448" s="104" t="s">
        <v>140</v>
      </c>
      <c r="D448" s="105">
        <v>626930</v>
      </c>
      <c r="E448" s="105">
        <v>404</v>
      </c>
      <c r="F448" s="101">
        <v>38622.480000000003</v>
      </c>
      <c r="G448" s="5" t="s">
        <v>129</v>
      </c>
      <c r="H448" s="105">
        <v>4098</v>
      </c>
      <c r="I448" s="105">
        <v>30717862453</v>
      </c>
      <c r="J448" s="5" t="s">
        <v>130</v>
      </c>
      <c r="K448" s="101">
        <f>+K447+Tabla6[[#This Row],[IMPORTE]]</f>
        <v>51114300.729999848</v>
      </c>
      <c r="L448" s="5" t="s">
        <v>223</v>
      </c>
      <c r="M448" s="133" t="s">
        <v>100</v>
      </c>
    </row>
    <row r="449" spans="2:13" x14ac:dyDescent="0.35">
      <c r="B449" s="4" t="s">
        <v>117</v>
      </c>
      <c r="C449" s="104" t="s">
        <v>140</v>
      </c>
      <c r="D449" s="105">
        <v>653190</v>
      </c>
      <c r="E449" s="105">
        <v>404</v>
      </c>
      <c r="F449" s="101">
        <v>38622.480000000003</v>
      </c>
      <c r="G449" s="5" t="s">
        <v>129</v>
      </c>
      <c r="H449" s="105">
        <v>4098</v>
      </c>
      <c r="I449" s="105">
        <v>30717862453</v>
      </c>
      <c r="J449" s="5" t="s">
        <v>130</v>
      </c>
      <c r="K449" s="101">
        <f>+K448+Tabla6[[#This Row],[IMPORTE]]</f>
        <v>51152923.209999844</v>
      </c>
      <c r="L449" s="5" t="s">
        <v>223</v>
      </c>
      <c r="M449" s="133" t="s">
        <v>100</v>
      </c>
    </row>
    <row r="450" spans="2:13" x14ac:dyDescent="0.35">
      <c r="B450" s="4" t="s">
        <v>117</v>
      </c>
      <c r="C450" s="104" t="s">
        <v>140</v>
      </c>
      <c r="D450" s="105">
        <v>668384</v>
      </c>
      <c r="E450" s="105">
        <v>404</v>
      </c>
      <c r="F450" s="101">
        <v>38622.480000000003</v>
      </c>
      <c r="G450" s="5" t="s">
        <v>129</v>
      </c>
      <c r="H450" s="105">
        <v>4098</v>
      </c>
      <c r="I450" s="105">
        <v>30717862453</v>
      </c>
      <c r="J450" s="5" t="s">
        <v>130</v>
      </c>
      <c r="K450" s="101">
        <f>+K449+Tabla6[[#This Row],[IMPORTE]]</f>
        <v>51191545.689999841</v>
      </c>
      <c r="L450" s="5" t="s">
        <v>223</v>
      </c>
      <c r="M450" s="133" t="s">
        <v>100</v>
      </c>
    </row>
    <row r="451" spans="2:13" x14ac:dyDescent="0.35">
      <c r="B451" s="4" t="s">
        <v>117</v>
      </c>
      <c r="C451" s="104" t="s">
        <v>140</v>
      </c>
      <c r="D451" s="105">
        <v>721757</v>
      </c>
      <c r="E451" s="105">
        <v>404</v>
      </c>
      <c r="F451" s="101">
        <v>38622.480000000003</v>
      </c>
      <c r="G451" s="5" t="s">
        <v>129</v>
      </c>
      <c r="H451" s="105">
        <v>4098</v>
      </c>
      <c r="I451" s="105">
        <v>30717862453</v>
      </c>
      <c r="J451" s="5" t="s">
        <v>130</v>
      </c>
      <c r="K451" s="101">
        <f>+K450+Tabla6[[#This Row],[IMPORTE]]</f>
        <v>51230168.169999838</v>
      </c>
      <c r="L451" s="5" t="s">
        <v>223</v>
      </c>
      <c r="M451" s="133" t="s">
        <v>100</v>
      </c>
    </row>
    <row r="452" spans="2:13" x14ac:dyDescent="0.35">
      <c r="B452" s="4" t="s">
        <v>117</v>
      </c>
      <c r="C452" s="104" t="s">
        <v>140</v>
      </c>
      <c r="D452" s="105">
        <v>744184</v>
      </c>
      <c r="E452" s="105">
        <v>404</v>
      </c>
      <c r="F452" s="101">
        <v>38622.480000000003</v>
      </c>
      <c r="G452" s="5" t="s">
        <v>129</v>
      </c>
      <c r="H452" s="105">
        <v>4098</v>
      </c>
      <c r="I452" s="105">
        <v>30717862453</v>
      </c>
      <c r="J452" s="5" t="s">
        <v>130</v>
      </c>
      <c r="K452" s="101">
        <f>+K451+Tabla6[[#This Row],[IMPORTE]]</f>
        <v>51268790.649999835</v>
      </c>
      <c r="L452" s="5" t="s">
        <v>223</v>
      </c>
      <c r="M452" s="133" t="s">
        <v>100</v>
      </c>
    </row>
    <row r="453" spans="2:13" x14ac:dyDescent="0.35">
      <c r="B453" s="4" t="s">
        <v>117</v>
      </c>
      <c r="C453" s="104" t="s">
        <v>140</v>
      </c>
      <c r="D453" s="105">
        <v>749501</v>
      </c>
      <c r="E453" s="105">
        <v>404</v>
      </c>
      <c r="F453" s="101">
        <v>38622.480000000003</v>
      </c>
      <c r="G453" s="5" t="s">
        <v>129</v>
      </c>
      <c r="H453" s="105">
        <v>4098</v>
      </c>
      <c r="I453" s="105">
        <v>30717862453</v>
      </c>
      <c r="J453" s="5" t="s">
        <v>130</v>
      </c>
      <c r="K453" s="101">
        <f>+K452+Tabla6[[#This Row],[IMPORTE]]</f>
        <v>51307413.129999831</v>
      </c>
      <c r="L453" s="5" t="s">
        <v>223</v>
      </c>
      <c r="M453" s="133" t="s">
        <v>100</v>
      </c>
    </row>
    <row r="454" spans="2:13" x14ac:dyDescent="0.35">
      <c r="B454" s="4" t="s">
        <v>117</v>
      </c>
      <c r="C454" s="104" t="s">
        <v>140</v>
      </c>
      <c r="D454" s="105">
        <v>749817</v>
      </c>
      <c r="E454" s="105">
        <v>404</v>
      </c>
      <c r="F454" s="101">
        <v>38622.480000000003</v>
      </c>
      <c r="G454" s="5" t="s">
        <v>129</v>
      </c>
      <c r="H454" s="105">
        <v>4098</v>
      </c>
      <c r="I454" s="105">
        <v>30717862453</v>
      </c>
      <c r="J454" s="5" t="s">
        <v>130</v>
      </c>
      <c r="K454" s="101">
        <f>+K453+Tabla6[[#This Row],[IMPORTE]]</f>
        <v>51346035.609999828</v>
      </c>
      <c r="L454" s="5" t="s">
        <v>223</v>
      </c>
      <c r="M454" s="133" t="s">
        <v>100</v>
      </c>
    </row>
    <row r="455" spans="2:13" x14ac:dyDescent="0.35">
      <c r="B455" s="4" t="s">
        <v>117</v>
      </c>
      <c r="C455" s="104" t="s">
        <v>140</v>
      </c>
      <c r="D455" s="105">
        <v>755232</v>
      </c>
      <c r="E455" s="105">
        <v>404</v>
      </c>
      <c r="F455" s="101">
        <v>38622.480000000003</v>
      </c>
      <c r="G455" s="5" t="s">
        <v>129</v>
      </c>
      <c r="H455" s="105">
        <v>4098</v>
      </c>
      <c r="I455" s="105">
        <v>30717862453</v>
      </c>
      <c r="J455" s="5" t="s">
        <v>130</v>
      </c>
      <c r="K455" s="101">
        <f>+K454+Tabla6[[#This Row],[IMPORTE]]</f>
        <v>51384658.089999825</v>
      </c>
      <c r="L455" s="5" t="s">
        <v>223</v>
      </c>
      <c r="M455" s="133" t="s">
        <v>100</v>
      </c>
    </row>
    <row r="456" spans="2:13" x14ac:dyDescent="0.35">
      <c r="B456" s="4" t="s">
        <v>117</v>
      </c>
      <c r="C456" s="104" t="s">
        <v>140</v>
      </c>
      <c r="D456" s="105">
        <v>765852</v>
      </c>
      <c r="E456" s="105">
        <v>404</v>
      </c>
      <c r="F456" s="101">
        <v>38622.480000000003</v>
      </c>
      <c r="G456" s="5" t="s">
        <v>129</v>
      </c>
      <c r="H456" s="105">
        <v>4098</v>
      </c>
      <c r="I456" s="105">
        <v>30717862453</v>
      </c>
      <c r="J456" s="5" t="s">
        <v>130</v>
      </c>
      <c r="K456" s="101">
        <f>+K455+Tabla6[[#This Row],[IMPORTE]]</f>
        <v>51423280.569999821</v>
      </c>
      <c r="L456" s="5" t="s">
        <v>223</v>
      </c>
      <c r="M456" s="133" t="s">
        <v>100</v>
      </c>
    </row>
    <row r="457" spans="2:13" x14ac:dyDescent="0.35">
      <c r="B457" s="4" t="s">
        <v>117</v>
      </c>
      <c r="C457" s="104" t="s">
        <v>140</v>
      </c>
      <c r="D457" s="105">
        <v>771749</v>
      </c>
      <c r="E457" s="105">
        <v>404</v>
      </c>
      <c r="F457" s="101">
        <v>38622.480000000003</v>
      </c>
      <c r="G457" s="5" t="s">
        <v>129</v>
      </c>
      <c r="H457" s="105">
        <v>4098</v>
      </c>
      <c r="I457" s="105">
        <v>30717862453</v>
      </c>
      <c r="J457" s="5" t="s">
        <v>130</v>
      </c>
      <c r="K457" s="101">
        <f>+K456+Tabla6[[#This Row],[IMPORTE]]</f>
        <v>51461903.049999818</v>
      </c>
      <c r="L457" s="5" t="s">
        <v>223</v>
      </c>
      <c r="M457" s="133" t="s">
        <v>100</v>
      </c>
    </row>
    <row r="458" spans="2:13" x14ac:dyDescent="0.35">
      <c r="B458" s="4" t="s">
        <v>117</v>
      </c>
      <c r="C458" s="104" t="s">
        <v>140</v>
      </c>
      <c r="D458" s="105">
        <v>805111</v>
      </c>
      <c r="E458" s="105">
        <v>404</v>
      </c>
      <c r="F458" s="101">
        <v>38622.480000000003</v>
      </c>
      <c r="G458" s="5" t="s">
        <v>129</v>
      </c>
      <c r="H458" s="105">
        <v>4098</v>
      </c>
      <c r="I458" s="105">
        <v>30717862453</v>
      </c>
      <c r="J458" s="5" t="s">
        <v>130</v>
      </c>
      <c r="K458" s="101">
        <f>+K457+Tabla6[[#This Row],[IMPORTE]]</f>
        <v>51500525.529999815</v>
      </c>
      <c r="L458" s="5" t="s">
        <v>223</v>
      </c>
      <c r="M458" s="133" t="s">
        <v>100</v>
      </c>
    </row>
    <row r="459" spans="2:13" x14ac:dyDescent="0.35">
      <c r="B459" s="4" t="s">
        <v>117</v>
      </c>
      <c r="C459" s="104" t="s">
        <v>140</v>
      </c>
      <c r="D459" s="105">
        <v>845624</v>
      </c>
      <c r="E459" s="105">
        <v>404</v>
      </c>
      <c r="F459" s="101">
        <v>38622.480000000003</v>
      </c>
      <c r="G459" s="5" t="s">
        <v>129</v>
      </c>
      <c r="H459" s="105">
        <v>4098</v>
      </c>
      <c r="I459" s="105">
        <v>30717862453</v>
      </c>
      <c r="J459" s="5" t="s">
        <v>130</v>
      </c>
      <c r="K459" s="101">
        <f>+K458+Tabla6[[#This Row],[IMPORTE]]</f>
        <v>51539148.009999812</v>
      </c>
      <c r="L459" s="5" t="s">
        <v>223</v>
      </c>
      <c r="M459" s="133" t="s">
        <v>100</v>
      </c>
    </row>
    <row r="460" spans="2:13" x14ac:dyDescent="0.35">
      <c r="B460" s="4" t="s">
        <v>117</v>
      </c>
      <c r="C460" s="104" t="s">
        <v>140</v>
      </c>
      <c r="D460" s="105">
        <v>890970</v>
      </c>
      <c r="E460" s="105">
        <v>404</v>
      </c>
      <c r="F460" s="101">
        <v>38622.480000000003</v>
      </c>
      <c r="G460" s="5" t="s">
        <v>129</v>
      </c>
      <c r="H460" s="105">
        <v>4098</v>
      </c>
      <c r="I460" s="105">
        <v>30717862453</v>
      </c>
      <c r="J460" s="5" t="s">
        <v>130</v>
      </c>
      <c r="K460" s="101">
        <f>+K459+Tabla6[[#This Row],[IMPORTE]]</f>
        <v>51577770.489999808</v>
      </c>
      <c r="L460" s="5" t="s">
        <v>223</v>
      </c>
      <c r="M460" s="133" t="s">
        <v>100</v>
      </c>
    </row>
    <row r="461" spans="2:13" x14ac:dyDescent="0.35">
      <c r="B461" s="4" t="s">
        <v>117</v>
      </c>
      <c r="C461" s="104" t="s">
        <v>140</v>
      </c>
      <c r="D461" s="105">
        <v>901333</v>
      </c>
      <c r="E461" s="105">
        <v>404</v>
      </c>
      <c r="F461" s="101">
        <v>38622.480000000003</v>
      </c>
      <c r="G461" s="5" t="s">
        <v>129</v>
      </c>
      <c r="H461" s="105">
        <v>4098</v>
      </c>
      <c r="I461" s="105">
        <v>30717862453</v>
      </c>
      <c r="J461" s="5" t="s">
        <v>130</v>
      </c>
      <c r="K461" s="101">
        <f>+K460+Tabla6[[#This Row],[IMPORTE]]</f>
        <v>51616392.969999805</v>
      </c>
      <c r="L461" s="5" t="s">
        <v>223</v>
      </c>
      <c r="M461" s="133" t="s">
        <v>100</v>
      </c>
    </row>
    <row r="462" spans="2:13" x14ac:dyDescent="0.35">
      <c r="B462" s="4" t="s">
        <v>117</v>
      </c>
      <c r="C462" s="104" t="s">
        <v>140</v>
      </c>
      <c r="D462" s="105">
        <v>920330</v>
      </c>
      <c r="E462" s="105">
        <v>404</v>
      </c>
      <c r="F462" s="101">
        <v>38622.480000000003</v>
      </c>
      <c r="G462" s="5" t="s">
        <v>129</v>
      </c>
      <c r="H462" s="105">
        <v>4098</v>
      </c>
      <c r="I462" s="105">
        <v>30717862453</v>
      </c>
      <c r="J462" s="5" t="s">
        <v>130</v>
      </c>
      <c r="K462" s="101">
        <f>+K461+Tabla6[[#This Row],[IMPORTE]]</f>
        <v>51655015.449999802</v>
      </c>
      <c r="L462" s="5" t="s">
        <v>223</v>
      </c>
      <c r="M462" s="133" t="s">
        <v>100</v>
      </c>
    </row>
    <row r="463" spans="2:13" x14ac:dyDescent="0.35">
      <c r="B463" s="4" t="s">
        <v>117</v>
      </c>
      <c r="C463" s="104" t="s">
        <v>140</v>
      </c>
      <c r="D463" s="105">
        <v>963560</v>
      </c>
      <c r="E463" s="105">
        <v>404</v>
      </c>
      <c r="F463" s="101">
        <v>38622.480000000003</v>
      </c>
      <c r="G463" s="5" t="s">
        <v>129</v>
      </c>
      <c r="H463" s="105">
        <v>4098</v>
      </c>
      <c r="I463" s="105">
        <v>30717862453</v>
      </c>
      <c r="J463" s="5" t="s">
        <v>130</v>
      </c>
      <c r="K463" s="101">
        <f>+K462+Tabla6[[#This Row],[IMPORTE]]</f>
        <v>51693637.929999799</v>
      </c>
      <c r="L463" s="5" t="s">
        <v>223</v>
      </c>
      <c r="M463" s="133" t="s">
        <v>100</v>
      </c>
    </row>
    <row r="464" spans="2:13" x14ac:dyDescent="0.35">
      <c r="B464" s="4" t="s">
        <v>117</v>
      </c>
      <c r="C464" s="104" t="s">
        <v>140</v>
      </c>
      <c r="D464" s="105">
        <v>803896</v>
      </c>
      <c r="E464" s="105">
        <v>404</v>
      </c>
      <c r="F464" s="101">
        <v>44623.82</v>
      </c>
      <c r="G464" s="5" t="s">
        <v>129</v>
      </c>
      <c r="H464" s="105">
        <v>4098</v>
      </c>
      <c r="I464" s="105">
        <v>30717862453</v>
      </c>
      <c r="J464" s="5" t="s">
        <v>130</v>
      </c>
      <c r="K464" s="101">
        <f>+K463+Tabla6[[#This Row],[IMPORTE]]</f>
        <v>51738261.749999799</v>
      </c>
      <c r="L464" s="5" t="s">
        <v>223</v>
      </c>
      <c r="M464" s="133" t="s">
        <v>100</v>
      </c>
    </row>
    <row r="465" spans="2:13" x14ac:dyDescent="0.35">
      <c r="B465" s="4" t="s">
        <v>117</v>
      </c>
      <c r="C465" s="104" t="s">
        <v>140</v>
      </c>
      <c r="D465" s="105">
        <v>509069</v>
      </c>
      <c r="E465" s="105">
        <v>404</v>
      </c>
      <c r="F465" s="101">
        <v>46581.89</v>
      </c>
      <c r="G465" s="5" t="s">
        <v>129</v>
      </c>
      <c r="H465" s="105">
        <v>4098</v>
      </c>
      <c r="I465" s="105">
        <v>30717862453</v>
      </c>
      <c r="J465" s="5" t="s">
        <v>130</v>
      </c>
      <c r="K465" s="101">
        <f>+K464+Tabla6[[#This Row],[IMPORTE]]</f>
        <v>51784843.639999799</v>
      </c>
      <c r="L465" s="5" t="s">
        <v>223</v>
      </c>
      <c r="M465" s="133" t="s">
        <v>100</v>
      </c>
    </row>
    <row r="466" spans="2:13" x14ac:dyDescent="0.35">
      <c r="B466" s="4" t="s">
        <v>117</v>
      </c>
      <c r="C466" s="104" t="s">
        <v>140</v>
      </c>
      <c r="D466" s="105">
        <v>57151</v>
      </c>
      <c r="E466" s="105">
        <v>404</v>
      </c>
      <c r="F466" s="101">
        <v>51496.639999999999</v>
      </c>
      <c r="G466" s="5" t="s">
        <v>129</v>
      </c>
      <c r="H466" s="105">
        <v>4098</v>
      </c>
      <c r="I466" s="105">
        <v>30717862453</v>
      </c>
      <c r="J466" s="5" t="s">
        <v>130</v>
      </c>
      <c r="K466" s="101">
        <f>+K465+Tabla6[[#This Row],[IMPORTE]]</f>
        <v>51836340.2799998</v>
      </c>
      <c r="L466" s="5" t="s">
        <v>223</v>
      </c>
      <c r="M466" s="133" t="s">
        <v>100</v>
      </c>
    </row>
    <row r="467" spans="2:13" x14ac:dyDescent="0.35">
      <c r="B467" s="4" t="s">
        <v>117</v>
      </c>
      <c r="C467" s="104" t="s">
        <v>140</v>
      </c>
      <c r="D467" s="105">
        <v>64874</v>
      </c>
      <c r="E467" s="105">
        <v>404</v>
      </c>
      <c r="F467" s="101">
        <v>51496.639999999999</v>
      </c>
      <c r="G467" s="5" t="s">
        <v>129</v>
      </c>
      <c r="H467" s="105">
        <v>4098</v>
      </c>
      <c r="I467" s="105">
        <v>30717862453</v>
      </c>
      <c r="J467" s="5" t="s">
        <v>130</v>
      </c>
      <c r="K467" s="101">
        <f>+K466+Tabla6[[#This Row],[IMPORTE]]</f>
        <v>51887836.919999801</v>
      </c>
      <c r="L467" s="5" t="s">
        <v>223</v>
      </c>
      <c r="M467" s="133" t="s">
        <v>100</v>
      </c>
    </row>
    <row r="468" spans="2:13" x14ac:dyDescent="0.35">
      <c r="B468" s="4" t="s">
        <v>117</v>
      </c>
      <c r="C468" s="104" t="s">
        <v>140</v>
      </c>
      <c r="D468" s="105">
        <v>130717</v>
      </c>
      <c r="E468" s="105">
        <v>404</v>
      </c>
      <c r="F468" s="101">
        <v>51496.639999999999</v>
      </c>
      <c r="G468" s="5" t="s">
        <v>129</v>
      </c>
      <c r="H468" s="105">
        <v>4098</v>
      </c>
      <c r="I468" s="105">
        <v>30717862453</v>
      </c>
      <c r="J468" s="5" t="s">
        <v>130</v>
      </c>
      <c r="K468" s="101">
        <f>+K467+Tabla6[[#This Row],[IMPORTE]]</f>
        <v>51939333.559999801</v>
      </c>
      <c r="L468" s="5" t="s">
        <v>223</v>
      </c>
      <c r="M468" s="133" t="s">
        <v>100</v>
      </c>
    </row>
    <row r="469" spans="2:13" x14ac:dyDescent="0.35">
      <c r="B469" s="4" t="s">
        <v>117</v>
      </c>
      <c r="C469" s="104" t="s">
        <v>140</v>
      </c>
      <c r="D469" s="105">
        <v>160962</v>
      </c>
      <c r="E469" s="105">
        <v>404</v>
      </c>
      <c r="F469" s="101">
        <v>51496.639999999999</v>
      </c>
      <c r="G469" s="5" t="s">
        <v>129</v>
      </c>
      <c r="H469" s="105">
        <v>4098</v>
      </c>
      <c r="I469" s="105">
        <v>30717862453</v>
      </c>
      <c r="J469" s="5" t="s">
        <v>130</v>
      </c>
      <c r="K469" s="101">
        <f>+K468+Tabla6[[#This Row],[IMPORTE]]</f>
        <v>51990830.199999802</v>
      </c>
      <c r="L469" s="5" t="s">
        <v>223</v>
      </c>
      <c r="M469" s="133" t="s">
        <v>100</v>
      </c>
    </row>
    <row r="470" spans="2:13" x14ac:dyDescent="0.35">
      <c r="B470" s="4" t="s">
        <v>117</v>
      </c>
      <c r="C470" s="104" t="s">
        <v>140</v>
      </c>
      <c r="D470" s="105">
        <v>287964</v>
      </c>
      <c r="E470" s="105">
        <v>404</v>
      </c>
      <c r="F470" s="101">
        <v>51496.639999999999</v>
      </c>
      <c r="G470" s="5" t="s">
        <v>129</v>
      </c>
      <c r="H470" s="105">
        <v>4098</v>
      </c>
      <c r="I470" s="105">
        <v>30717862453</v>
      </c>
      <c r="J470" s="5" t="s">
        <v>130</v>
      </c>
      <c r="K470" s="101">
        <f>+K469+Tabla6[[#This Row],[IMPORTE]]</f>
        <v>52042326.839999802</v>
      </c>
      <c r="L470" s="5" t="s">
        <v>223</v>
      </c>
      <c r="M470" s="133" t="s">
        <v>100</v>
      </c>
    </row>
    <row r="471" spans="2:13" x14ac:dyDescent="0.35">
      <c r="B471" s="4" t="s">
        <v>117</v>
      </c>
      <c r="C471" s="104" t="s">
        <v>140</v>
      </c>
      <c r="D471" s="105">
        <v>477978</v>
      </c>
      <c r="E471" s="105">
        <v>404</v>
      </c>
      <c r="F471" s="101">
        <v>51496.639999999999</v>
      </c>
      <c r="G471" s="5" t="s">
        <v>129</v>
      </c>
      <c r="H471" s="105">
        <v>4098</v>
      </c>
      <c r="I471" s="105">
        <v>30717862453</v>
      </c>
      <c r="J471" s="5" t="s">
        <v>130</v>
      </c>
      <c r="K471" s="101">
        <f>+K470+Tabla6[[#This Row],[IMPORTE]]</f>
        <v>52093823.479999803</v>
      </c>
      <c r="L471" s="5" t="s">
        <v>223</v>
      </c>
      <c r="M471" s="133" t="s">
        <v>100</v>
      </c>
    </row>
    <row r="472" spans="2:13" x14ac:dyDescent="0.35">
      <c r="B472" s="4" t="s">
        <v>117</v>
      </c>
      <c r="C472" s="104" t="s">
        <v>140</v>
      </c>
      <c r="D472" s="105">
        <v>645628</v>
      </c>
      <c r="E472" s="105">
        <v>404</v>
      </c>
      <c r="F472" s="101">
        <v>51496.639999999999</v>
      </c>
      <c r="G472" s="5" t="s">
        <v>129</v>
      </c>
      <c r="H472" s="105">
        <v>4098</v>
      </c>
      <c r="I472" s="105">
        <v>30717862453</v>
      </c>
      <c r="J472" s="5" t="s">
        <v>130</v>
      </c>
      <c r="K472" s="101">
        <f>+K471+Tabla6[[#This Row],[IMPORTE]]</f>
        <v>52145320.119999804</v>
      </c>
      <c r="L472" s="5" t="s">
        <v>223</v>
      </c>
      <c r="M472" s="133" t="s">
        <v>100</v>
      </c>
    </row>
    <row r="473" spans="2:13" x14ac:dyDescent="0.35">
      <c r="B473" s="4" t="s">
        <v>117</v>
      </c>
      <c r="C473" s="104" t="s">
        <v>140</v>
      </c>
      <c r="D473" s="105">
        <v>738902</v>
      </c>
      <c r="E473" s="105">
        <v>404</v>
      </c>
      <c r="F473" s="101">
        <v>51496.639999999999</v>
      </c>
      <c r="G473" s="5" t="s">
        <v>129</v>
      </c>
      <c r="H473" s="105">
        <v>4098</v>
      </c>
      <c r="I473" s="105">
        <v>30717862453</v>
      </c>
      <c r="J473" s="5" t="s">
        <v>130</v>
      </c>
      <c r="K473" s="101">
        <f>+K472+Tabla6[[#This Row],[IMPORTE]]</f>
        <v>52196816.759999804</v>
      </c>
      <c r="L473" s="5" t="s">
        <v>223</v>
      </c>
      <c r="M473" s="133" t="s">
        <v>100</v>
      </c>
    </row>
    <row r="474" spans="2:13" x14ac:dyDescent="0.35">
      <c r="B474" s="4" t="s">
        <v>117</v>
      </c>
      <c r="C474" s="104" t="s">
        <v>140</v>
      </c>
      <c r="D474" s="105">
        <v>826961</v>
      </c>
      <c r="E474" s="105">
        <v>404</v>
      </c>
      <c r="F474" s="101">
        <v>51496.639999999999</v>
      </c>
      <c r="G474" s="5" t="s">
        <v>129</v>
      </c>
      <c r="H474" s="105">
        <v>4098</v>
      </c>
      <c r="I474" s="105">
        <v>30717862453</v>
      </c>
      <c r="J474" s="5" t="s">
        <v>130</v>
      </c>
      <c r="K474" s="101">
        <f>+K473+Tabla6[[#This Row],[IMPORTE]]</f>
        <v>52248313.399999805</v>
      </c>
      <c r="L474" s="5" t="s">
        <v>223</v>
      </c>
      <c r="M474" s="133" t="s">
        <v>100</v>
      </c>
    </row>
    <row r="475" spans="2:13" x14ac:dyDescent="0.35">
      <c r="B475" s="4" t="s">
        <v>117</v>
      </c>
      <c r="C475" s="104" t="s">
        <v>140</v>
      </c>
      <c r="D475" s="105">
        <v>897389</v>
      </c>
      <c r="E475" s="105">
        <v>404</v>
      </c>
      <c r="F475" s="101">
        <v>51496.639999999999</v>
      </c>
      <c r="G475" s="5" t="s">
        <v>129</v>
      </c>
      <c r="H475" s="105">
        <v>4098</v>
      </c>
      <c r="I475" s="105">
        <v>30717862453</v>
      </c>
      <c r="J475" s="5" t="s">
        <v>130</v>
      </c>
      <c r="K475" s="101">
        <f>+K474+Tabla6[[#This Row],[IMPORTE]]</f>
        <v>52299810.039999805</v>
      </c>
      <c r="L475" s="5" t="s">
        <v>223</v>
      </c>
      <c r="M475" s="133" t="s">
        <v>100</v>
      </c>
    </row>
    <row r="476" spans="2:13" x14ac:dyDescent="0.35">
      <c r="B476" s="4" t="s">
        <v>117</v>
      </c>
      <c r="C476" s="104" t="s">
        <v>140</v>
      </c>
      <c r="D476" s="105">
        <v>918807</v>
      </c>
      <c r="E476" s="105">
        <v>404</v>
      </c>
      <c r="F476" s="101">
        <v>51496.639999999999</v>
      </c>
      <c r="G476" s="5" t="s">
        <v>129</v>
      </c>
      <c r="H476" s="105">
        <v>4098</v>
      </c>
      <c r="I476" s="105">
        <v>30717862453</v>
      </c>
      <c r="J476" s="5" t="s">
        <v>130</v>
      </c>
      <c r="K476" s="101">
        <f>+K475+Tabla6[[#This Row],[IMPORTE]]</f>
        <v>52351306.679999806</v>
      </c>
      <c r="L476" s="5" t="s">
        <v>223</v>
      </c>
      <c r="M476" s="133" t="s">
        <v>100</v>
      </c>
    </row>
    <row r="477" spans="2:13" x14ac:dyDescent="0.35">
      <c r="B477" s="4" t="s">
        <v>104</v>
      </c>
      <c r="C477" s="104" t="s">
        <v>140</v>
      </c>
      <c r="D477" s="105">
        <v>280372</v>
      </c>
      <c r="E477" s="105">
        <v>404</v>
      </c>
      <c r="F477" s="101">
        <v>56215.17</v>
      </c>
      <c r="G477" s="5" t="s">
        <v>106</v>
      </c>
      <c r="H477" s="105">
        <v>183</v>
      </c>
      <c r="I477" s="70" t="s">
        <v>107</v>
      </c>
      <c r="J477" s="5" t="s">
        <v>111</v>
      </c>
      <c r="K477" s="101">
        <f>+K476+Tabla6[[#This Row],[IMPORTE]]</f>
        <v>52407521.849999808</v>
      </c>
      <c r="L477" s="5" t="s">
        <v>224</v>
      </c>
      <c r="M477" s="133" t="s">
        <v>100</v>
      </c>
    </row>
    <row r="478" spans="2:13" x14ac:dyDescent="0.35">
      <c r="B478" s="4" t="s">
        <v>104</v>
      </c>
      <c r="C478" s="104" t="s">
        <v>140</v>
      </c>
      <c r="D478" s="105">
        <v>280405</v>
      </c>
      <c r="E478" s="105">
        <v>404</v>
      </c>
      <c r="F478" s="101">
        <v>58000.71</v>
      </c>
      <c r="G478" s="5" t="s">
        <v>106</v>
      </c>
      <c r="H478" s="105">
        <v>183</v>
      </c>
      <c r="I478" s="70" t="s">
        <v>107</v>
      </c>
      <c r="J478" s="5" t="s">
        <v>109</v>
      </c>
      <c r="K478" s="101">
        <f>+K477+Tabla6[[#This Row],[IMPORTE]]</f>
        <v>52465522.559999809</v>
      </c>
      <c r="L478" s="5" t="s">
        <v>224</v>
      </c>
      <c r="M478" s="133" t="s">
        <v>100</v>
      </c>
    </row>
    <row r="479" spans="2:13" x14ac:dyDescent="0.35">
      <c r="B479" s="4" t="s">
        <v>104</v>
      </c>
      <c r="C479" s="104" t="s">
        <v>140</v>
      </c>
      <c r="D479" s="105">
        <v>280407</v>
      </c>
      <c r="E479" s="105">
        <v>404</v>
      </c>
      <c r="F479" s="101">
        <v>76112.399999999994</v>
      </c>
      <c r="G479" s="5" t="s">
        <v>106</v>
      </c>
      <c r="H479" s="105">
        <v>183</v>
      </c>
      <c r="I479" s="70" t="s">
        <v>107</v>
      </c>
      <c r="J479" s="5" t="s">
        <v>109</v>
      </c>
      <c r="K479" s="101">
        <f>+K478+Tabla6[[#This Row],[IMPORTE]]</f>
        <v>52541634.959999807</v>
      </c>
      <c r="L479" s="5" t="s">
        <v>225</v>
      </c>
      <c r="M479" s="133" t="s">
        <v>100</v>
      </c>
    </row>
    <row r="480" spans="2:13" x14ac:dyDescent="0.35">
      <c r="B480" s="4" t="s">
        <v>117</v>
      </c>
      <c r="C480" s="104" t="s">
        <v>140</v>
      </c>
      <c r="D480" s="105">
        <v>144781</v>
      </c>
      <c r="E480" s="105">
        <v>404</v>
      </c>
      <c r="F480" s="101">
        <v>77244.960000000006</v>
      </c>
      <c r="G480" s="5" t="s">
        <v>129</v>
      </c>
      <c r="H480" s="105">
        <v>4098</v>
      </c>
      <c r="I480" s="105">
        <v>30717862453</v>
      </c>
      <c r="J480" s="5" t="s">
        <v>130</v>
      </c>
      <c r="K480" s="101">
        <f>+K479+Tabla6[[#This Row],[IMPORTE]]</f>
        <v>52618879.919999808</v>
      </c>
      <c r="L480" s="5" t="s">
        <v>223</v>
      </c>
      <c r="M480" s="133" t="s">
        <v>100</v>
      </c>
    </row>
    <row r="481" spans="2:13" x14ac:dyDescent="0.35">
      <c r="B481" s="4" t="s">
        <v>117</v>
      </c>
      <c r="C481" s="104" t="s">
        <v>140</v>
      </c>
      <c r="D481" s="105">
        <v>213841</v>
      </c>
      <c r="E481" s="105">
        <v>404</v>
      </c>
      <c r="F481" s="101">
        <v>77244.960000000006</v>
      </c>
      <c r="G481" s="5" t="s">
        <v>129</v>
      </c>
      <c r="H481" s="105">
        <v>4098</v>
      </c>
      <c r="I481" s="105">
        <v>30717862453</v>
      </c>
      <c r="J481" s="5" t="s">
        <v>130</v>
      </c>
      <c r="K481" s="101">
        <f>+K480+Tabla6[[#This Row],[IMPORTE]]</f>
        <v>52696124.879999809</v>
      </c>
      <c r="L481" s="5" t="s">
        <v>223</v>
      </c>
      <c r="M481" s="133" t="s">
        <v>100</v>
      </c>
    </row>
    <row r="482" spans="2:13" x14ac:dyDescent="0.35">
      <c r="B482" s="4" t="s">
        <v>117</v>
      </c>
      <c r="C482" s="104" t="s">
        <v>140</v>
      </c>
      <c r="D482" s="105">
        <v>474935</v>
      </c>
      <c r="E482" s="105">
        <v>404</v>
      </c>
      <c r="F482" s="101">
        <v>77244.960000000006</v>
      </c>
      <c r="G482" s="5" t="s">
        <v>129</v>
      </c>
      <c r="H482" s="105">
        <v>4098</v>
      </c>
      <c r="I482" s="105">
        <v>30717862453</v>
      </c>
      <c r="J482" s="5" t="s">
        <v>130</v>
      </c>
      <c r="K482" s="101">
        <f>+K481+Tabla6[[#This Row],[IMPORTE]]</f>
        <v>52773369.83999981</v>
      </c>
      <c r="L482" s="5" t="s">
        <v>223</v>
      </c>
      <c r="M482" s="133" t="s">
        <v>100</v>
      </c>
    </row>
    <row r="483" spans="2:13" x14ac:dyDescent="0.35">
      <c r="B483" s="4" t="s">
        <v>117</v>
      </c>
      <c r="C483" s="104" t="s">
        <v>140</v>
      </c>
      <c r="D483" s="105">
        <v>72717</v>
      </c>
      <c r="E483" s="105">
        <v>404</v>
      </c>
      <c r="F483" s="101">
        <v>102993.28</v>
      </c>
      <c r="G483" s="5" t="s">
        <v>129</v>
      </c>
      <c r="H483" s="105">
        <v>4098</v>
      </c>
      <c r="I483" s="105">
        <v>30717862453</v>
      </c>
      <c r="J483" s="5" t="s">
        <v>130</v>
      </c>
      <c r="K483" s="101">
        <f>+K482+Tabla6[[#This Row],[IMPORTE]]</f>
        <v>52876363.119999811</v>
      </c>
      <c r="L483" s="5" t="s">
        <v>223</v>
      </c>
      <c r="M483" s="133" t="s">
        <v>100</v>
      </c>
    </row>
    <row r="484" spans="2:13" x14ac:dyDescent="0.35">
      <c r="B484" s="4" t="s">
        <v>104</v>
      </c>
      <c r="C484" s="104" t="s">
        <v>140</v>
      </c>
      <c r="D484" s="105">
        <v>280396</v>
      </c>
      <c r="E484" s="105">
        <v>404</v>
      </c>
      <c r="F484" s="101">
        <v>119444.76</v>
      </c>
      <c r="G484" s="5" t="s">
        <v>106</v>
      </c>
      <c r="H484" s="105">
        <v>183</v>
      </c>
      <c r="I484" s="70" t="s">
        <v>107</v>
      </c>
      <c r="J484" s="5" t="s">
        <v>112</v>
      </c>
      <c r="K484" s="101">
        <f>+K483+Tabla6[[#This Row],[IMPORTE]]</f>
        <v>52995807.879999809</v>
      </c>
      <c r="L484" s="5" t="s">
        <v>224</v>
      </c>
      <c r="M484" s="133" t="s">
        <v>100</v>
      </c>
    </row>
    <row r="485" spans="2:13" x14ac:dyDescent="0.35">
      <c r="B485" s="4" t="s">
        <v>117</v>
      </c>
      <c r="C485" s="104" t="s">
        <v>140</v>
      </c>
      <c r="D485" s="105">
        <v>298922</v>
      </c>
      <c r="E485" s="105">
        <v>404</v>
      </c>
      <c r="F485" s="101">
        <v>128741.6</v>
      </c>
      <c r="G485" s="5" t="s">
        <v>129</v>
      </c>
      <c r="H485" s="105">
        <v>4098</v>
      </c>
      <c r="I485" s="105">
        <v>30717862453</v>
      </c>
      <c r="J485" s="5" t="s">
        <v>130</v>
      </c>
      <c r="K485" s="101">
        <f>+K484+Tabla6[[#This Row],[IMPORTE]]</f>
        <v>53124549.47999981</v>
      </c>
      <c r="L485" s="5" t="s">
        <v>223</v>
      </c>
      <c r="M485" s="133" t="s">
        <v>100</v>
      </c>
    </row>
    <row r="486" spans="2:13" x14ac:dyDescent="0.35">
      <c r="B486" s="134" t="s">
        <v>104</v>
      </c>
      <c r="C486" s="113" t="s">
        <v>140</v>
      </c>
      <c r="D486" s="114">
        <v>280408</v>
      </c>
      <c r="E486" s="114">
        <v>404</v>
      </c>
      <c r="F486" s="115">
        <v>153734.88</v>
      </c>
      <c r="G486" s="116" t="s">
        <v>106</v>
      </c>
      <c r="H486" s="114">
        <v>183</v>
      </c>
      <c r="I486" s="128" t="s">
        <v>107</v>
      </c>
      <c r="J486" s="116" t="s">
        <v>113</v>
      </c>
      <c r="K486" s="115">
        <f>+K485+Tabla6[[#This Row],[IMPORTE]]</f>
        <v>53278284.359999813</v>
      </c>
      <c r="L486" s="125" t="s">
        <v>197</v>
      </c>
      <c r="M486" s="118" t="s">
        <v>85</v>
      </c>
    </row>
    <row r="487" spans="2:13" x14ac:dyDescent="0.35">
      <c r="B487" s="4" t="s">
        <v>117</v>
      </c>
      <c r="C487" s="104" t="s">
        <v>140</v>
      </c>
      <c r="D487" s="105">
        <v>389566</v>
      </c>
      <c r="E487" s="105">
        <v>404</v>
      </c>
      <c r="F487" s="101">
        <v>196455.67999999999</v>
      </c>
      <c r="G487" s="5" t="s">
        <v>129</v>
      </c>
      <c r="H487" s="105">
        <v>4098</v>
      </c>
      <c r="I487" s="105">
        <v>30717862453</v>
      </c>
      <c r="J487" s="5" t="s">
        <v>130</v>
      </c>
      <c r="K487" s="101">
        <f>+K486+Tabla6[[#This Row],[IMPORTE]]</f>
        <v>53474740.039999813</v>
      </c>
      <c r="L487" s="5" t="s">
        <v>223</v>
      </c>
      <c r="M487" s="133" t="s">
        <v>100</v>
      </c>
    </row>
    <row r="488" spans="2:13" x14ac:dyDescent="0.35">
      <c r="B488" s="4" t="s">
        <v>117</v>
      </c>
      <c r="C488" s="104" t="s">
        <v>140</v>
      </c>
      <c r="D488" s="105">
        <v>173961</v>
      </c>
      <c r="E488" s="105">
        <v>404</v>
      </c>
      <c r="F488" s="101">
        <v>215049.96</v>
      </c>
      <c r="G488" s="5" t="s">
        <v>129</v>
      </c>
      <c r="H488" s="105">
        <v>4098</v>
      </c>
      <c r="I488" s="105">
        <v>30717862453</v>
      </c>
      <c r="J488" s="5" t="s">
        <v>130</v>
      </c>
      <c r="K488" s="101">
        <f>+K487+Tabla6[[#This Row],[IMPORTE]]</f>
        <v>53689789.999999814</v>
      </c>
      <c r="L488" s="5" t="s">
        <v>223</v>
      </c>
      <c r="M488" s="133" t="s">
        <v>100</v>
      </c>
    </row>
    <row r="489" spans="2:13" x14ac:dyDescent="0.35">
      <c r="B489" s="4" t="s">
        <v>117</v>
      </c>
      <c r="C489" s="104" t="s">
        <v>140</v>
      </c>
      <c r="D489" s="105">
        <v>347822</v>
      </c>
      <c r="E489" s="105">
        <v>404</v>
      </c>
      <c r="F489" s="101">
        <v>215049.96</v>
      </c>
      <c r="G489" s="5" t="s">
        <v>129</v>
      </c>
      <c r="H489" s="105">
        <v>4098</v>
      </c>
      <c r="I489" s="105">
        <v>30717862453</v>
      </c>
      <c r="J489" s="5" t="s">
        <v>130</v>
      </c>
      <c r="K489" s="101">
        <f>+K488+Tabla6[[#This Row],[IMPORTE]]</f>
        <v>53904839.959999815</v>
      </c>
      <c r="L489" s="5" t="s">
        <v>223</v>
      </c>
      <c r="M489" s="133" t="s">
        <v>100</v>
      </c>
    </row>
    <row r="490" spans="2:13" x14ac:dyDescent="0.35">
      <c r="B490" s="4" t="s">
        <v>104</v>
      </c>
      <c r="C490" s="104" t="s">
        <v>140</v>
      </c>
      <c r="D490" s="105">
        <v>280403</v>
      </c>
      <c r="E490" s="105">
        <v>404</v>
      </c>
      <c r="F490" s="101">
        <v>317468.76</v>
      </c>
      <c r="G490" s="5" t="s">
        <v>106</v>
      </c>
      <c r="H490" s="105">
        <v>183</v>
      </c>
      <c r="I490" s="70" t="s">
        <v>107</v>
      </c>
      <c r="J490" s="5" t="s">
        <v>115</v>
      </c>
      <c r="K490" s="101">
        <f>+K489+Tabla6[[#This Row],[IMPORTE]]</f>
        <v>54222308.719999813</v>
      </c>
      <c r="L490" s="5" t="s">
        <v>224</v>
      </c>
      <c r="M490" s="133" t="s">
        <v>100</v>
      </c>
    </row>
    <row r="491" spans="2:13" x14ac:dyDescent="0.35">
      <c r="B491" s="4" t="s">
        <v>117</v>
      </c>
      <c r="C491" s="104" t="s">
        <v>140</v>
      </c>
      <c r="D491" s="105">
        <v>187698</v>
      </c>
      <c r="E491" s="105">
        <v>404</v>
      </c>
      <c r="F491" s="101">
        <v>351024.25</v>
      </c>
      <c r="G491" s="5" t="s">
        <v>129</v>
      </c>
      <c r="H491" s="105">
        <v>4098</v>
      </c>
      <c r="I491" s="105">
        <v>30717862453</v>
      </c>
      <c r="J491" s="5" t="s">
        <v>130</v>
      </c>
      <c r="K491" s="101">
        <f>+K490+Tabla6[[#This Row],[IMPORTE]]</f>
        <v>54573332.969999813</v>
      </c>
      <c r="L491" s="5" t="s">
        <v>223</v>
      </c>
      <c r="M491" s="133" t="s">
        <v>100</v>
      </c>
    </row>
    <row r="492" spans="2:13" x14ac:dyDescent="0.35">
      <c r="B492" s="134" t="s">
        <v>104</v>
      </c>
      <c r="C492" s="113" t="s">
        <v>140</v>
      </c>
      <c r="D492" s="114">
        <v>280402</v>
      </c>
      <c r="E492" s="114">
        <v>404</v>
      </c>
      <c r="F492" s="115">
        <v>406826.95</v>
      </c>
      <c r="G492" s="116" t="s">
        <v>106</v>
      </c>
      <c r="H492" s="114">
        <v>183</v>
      </c>
      <c r="I492" s="128" t="s">
        <v>107</v>
      </c>
      <c r="J492" s="116" t="s">
        <v>110</v>
      </c>
      <c r="K492" s="115">
        <f>+K491+Tabla6[[#This Row],[IMPORTE]]</f>
        <v>54980159.919999816</v>
      </c>
      <c r="L492" s="125" t="s">
        <v>197</v>
      </c>
      <c r="M492" s="118" t="s">
        <v>85</v>
      </c>
    </row>
    <row r="493" spans="2:13" x14ac:dyDescent="0.35">
      <c r="B493" s="4" t="s">
        <v>117</v>
      </c>
      <c r="C493" s="104" t="s">
        <v>140</v>
      </c>
      <c r="D493" s="105">
        <v>656311</v>
      </c>
      <c r="E493" s="105">
        <v>404</v>
      </c>
      <c r="F493" s="101">
        <v>450595.6</v>
      </c>
      <c r="G493" s="5" t="s">
        <v>129</v>
      </c>
      <c r="H493" s="105">
        <v>4098</v>
      </c>
      <c r="I493" s="105">
        <v>30717862453</v>
      </c>
      <c r="J493" s="5" t="s">
        <v>130</v>
      </c>
      <c r="K493" s="101">
        <f>+K492+Tabla6[[#This Row],[IMPORTE]]</f>
        <v>55430755.519999817</v>
      </c>
      <c r="L493" s="5" t="s">
        <v>223</v>
      </c>
      <c r="M493" s="133" t="s">
        <v>100</v>
      </c>
    </row>
    <row r="494" spans="2:13" x14ac:dyDescent="0.35">
      <c r="B494" s="134" t="s">
        <v>104</v>
      </c>
      <c r="C494" s="113" t="s">
        <v>140</v>
      </c>
      <c r="D494" s="114">
        <v>280406</v>
      </c>
      <c r="E494" s="114">
        <v>404</v>
      </c>
      <c r="F494" s="115">
        <v>463595.82</v>
      </c>
      <c r="G494" s="116" t="s">
        <v>106</v>
      </c>
      <c r="H494" s="114">
        <v>183</v>
      </c>
      <c r="I494" s="128" t="s">
        <v>107</v>
      </c>
      <c r="J494" s="116" t="s">
        <v>109</v>
      </c>
      <c r="K494" s="115">
        <f>+K493+Tabla6[[#This Row],[IMPORTE]]</f>
        <v>55894351.339999817</v>
      </c>
      <c r="L494" s="125" t="s">
        <v>197</v>
      </c>
      <c r="M494" s="118" t="s">
        <v>85</v>
      </c>
    </row>
    <row r="495" spans="2:13" x14ac:dyDescent="0.35">
      <c r="B495" s="134" t="s">
        <v>104</v>
      </c>
      <c r="C495" s="113" t="s">
        <v>140</v>
      </c>
      <c r="D495" s="114">
        <v>280399</v>
      </c>
      <c r="E495" s="114">
        <v>404</v>
      </c>
      <c r="F495" s="115">
        <v>489389.37</v>
      </c>
      <c r="G495" s="116" t="s">
        <v>106</v>
      </c>
      <c r="H495" s="114">
        <v>183</v>
      </c>
      <c r="I495" s="128" t="s">
        <v>107</v>
      </c>
      <c r="J495" s="116" t="s">
        <v>116</v>
      </c>
      <c r="K495" s="115">
        <f>+K494+Tabla6[[#This Row],[IMPORTE]]</f>
        <v>56383740.709999815</v>
      </c>
      <c r="L495" s="125" t="s">
        <v>197</v>
      </c>
      <c r="M495" s="118" t="s">
        <v>85</v>
      </c>
    </row>
    <row r="496" spans="2:13" x14ac:dyDescent="0.35">
      <c r="B496" s="134" t="s">
        <v>104</v>
      </c>
      <c r="C496" s="113" t="s">
        <v>140</v>
      </c>
      <c r="D496" s="114">
        <v>280404</v>
      </c>
      <c r="E496" s="114">
        <v>404</v>
      </c>
      <c r="F496" s="115">
        <v>516276.54</v>
      </c>
      <c r="G496" s="116" t="s">
        <v>106</v>
      </c>
      <c r="H496" s="114">
        <v>183</v>
      </c>
      <c r="I496" s="128" t="s">
        <v>107</v>
      </c>
      <c r="J496" s="116" t="s">
        <v>115</v>
      </c>
      <c r="K496" s="115">
        <f>+K495+Tabla6[[#This Row],[IMPORTE]]</f>
        <v>56900017.249999814</v>
      </c>
      <c r="L496" s="125" t="s">
        <v>197</v>
      </c>
      <c r="M496" s="118" t="s">
        <v>85</v>
      </c>
    </row>
    <row r="497" spans="2:13" x14ac:dyDescent="0.35">
      <c r="B497" s="134" t="s">
        <v>104</v>
      </c>
      <c r="C497" s="113" t="s">
        <v>140</v>
      </c>
      <c r="D497" s="114">
        <v>280397</v>
      </c>
      <c r="E497" s="114">
        <v>404</v>
      </c>
      <c r="F497" s="115">
        <v>531668.03</v>
      </c>
      <c r="G497" s="116" t="s">
        <v>106</v>
      </c>
      <c r="H497" s="114">
        <v>183</v>
      </c>
      <c r="I497" s="128" t="s">
        <v>107</v>
      </c>
      <c r="J497" s="116" t="s">
        <v>112</v>
      </c>
      <c r="K497" s="115">
        <f>+K496+Tabla6[[#This Row],[IMPORTE]]</f>
        <v>57431685.279999815</v>
      </c>
      <c r="L497" s="125" t="s">
        <v>197</v>
      </c>
      <c r="M497" s="118" t="s">
        <v>85</v>
      </c>
    </row>
    <row r="498" spans="2:13" x14ac:dyDescent="0.35">
      <c r="B498" s="4" t="s">
        <v>117</v>
      </c>
      <c r="C498" s="104" t="s">
        <v>140</v>
      </c>
      <c r="D498" s="105">
        <v>139</v>
      </c>
      <c r="E498" s="105">
        <v>811</v>
      </c>
      <c r="F498" s="101">
        <v>557386.46</v>
      </c>
      <c r="G498" s="5" t="s">
        <v>118</v>
      </c>
      <c r="H498" s="105">
        <v>4151</v>
      </c>
      <c r="I498" s="70" t="s">
        <v>107</v>
      </c>
      <c r="J498" s="5" t="s">
        <v>119</v>
      </c>
      <c r="K498" s="101">
        <f>+K497+Tabla6[[#This Row],[IMPORTE]]</f>
        <v>57989071.739999816</v>
      </c>
      <c r="L498" s="5" t="s">
        <v>226</v>
      </c>
      <c r="M498" s="133" t="s">
        <v>100</v>
      </c>
    </row>
    <row r="499" spans="2:13" x14ac:dyDescent="0.35">
      <c r="B499" s="4" t="s">
        <v>104</v>
      </c>
      <c r="C499" s="104" t="s">
        <v>140</v>
      </c>
      <c r="D499" s="105">
        <v>280360</v>
      </c>
      <c r="E499" s="105">
        <v>404</v>
      </c>
      <c r="F499" s="101">
        <v>657160.32999999996</v>
      </c>
      <c r="G499" s="5" t="s">
        <v>106</v>
      </c>
      <c r="H499" s="105">
        <v>183</v>
      </c>
      <c r="I499" s="70" t="s">
        <v>107</v>
      </c>
      <c r="J499" s="5" t="s">
        <v>141</v>
      </c>
      <c r="K499" s="101">
        <f>+K498+Tabla6[[#This Row],[IMPORTE]]</f>
        <v>58646232.069999814</v>
      </c>
      <c r="L499" s="5" t="s">
        <v>224</v>
      </c>
      <c r="M499" s="133" t="s">
        <v>100</v>
      </c>
    </row>
    <row r="500" spans="2:13" x14ac:dyDescent="0.35">
      <c r="B500" s="4" t="s">
        <v>104</v>
      </c>
      <c r="C500" s="104" t="s">
        <v>140</v>
      </c>
      <c r="D500" s="105">
        <v>280398</v>
      </c>
      <c r="E500" s="105">
        <v>404</v>
      </c>
      <c r="F500" s="101">
        <v>1366120</v>
      </c>
      <c r="G500" s="5" t="s">
        <v>106</v>
      </c>
      <c r="H500" s="105">
        <v>183</v>
      </c>
      <c r="I500" s="70" t="s">
        <v>107</v>
      </c>
      <c r="J500" s="5" t="s">
        <v>116</v>
      </c>
      <c r="K500" s="101">
        <f>+K499+Tabla6[[#This Row],[IMPORTE]]</f>
        <v>60012352.069999814</v>
      </c>
      <c r="L500" s="5" t="s">
        <v>224</v>
      </c>
      <c r="M500" s="133" t="s">
        <v>100</v>
      </c>
    </row>
    <row r="501" spans="2:13" x14ac:dyDescent="0.35">
      <c r="B501" s="4" t="s">
        <v>132</v>
      </c>
      <c r="C501" s="104" t="s">
        <v>140</v>
      </c>
      <c r="D501" s="105">
        <v>140</v>
      </c>
      <c r="E501" s="105">
        <v>811</v>
      </c>
      <c r="F501" s="101">
        <v>-153867.09</v>
      </c>
      <c r="G501" s="5" t="s">
        <v>142</v>
      </c>
      <c r="H501" s="105">
        <v>4458</v>
      </c>
      <c r="I501" s="70" t="s">
        <v>107</v>
      </c>
      <c r="J501" s="5" t="s">
        <v>127</v>
      </c>
      <c r="K501" s="101">
        <f>+K500+Tabla6[[#This Row],[IMPORTE]]</f>
        <v>59858484.97999981</v>
      </c>
      <c r="L501" s="5" t="s">
        <v>226</v>
      </c>
      <c r="M501" s="133" t="s">
        <v>100</v>
      </c>
    </row>
    <row r="502" spans="2:13" x14ac:dyDescent="0.35">
      <c r="B502" s="4" t="s">
        <v>117</v>
      </c>
      <c r="C502" s="104" t="s">
        <v>143</v>
      </c>
      <c r="D502" s="105">
        <v>78642</v>
      </c>
      <c r="E502" s="105">
        <v>404</v>
      </c>
      <c r="F502" s="101">
        <v>3346.78</v>
      </c>
      <c r="G502" s="5" t="s">
        <v>129</v>
      </c>
      <c r="H502" s="105">
        <v>4098</v>
      </c>
      <c r="I502" s="105">
        <v>30717862453</v>
      </c>
      <c r="J502" s="5" t="s">
        <v>130</v>
      </c>
      <c r="K502" s="101">
        <f>+K501+Tabla6[[#This Row],[IMPORTE]]</f>
        <v>59861831.759999812</v>
      </c>
      <c r="L502" s="5" t="s">
        <v>227</v>
      </c>
      <c r="M502" s="133" t="s">
        <v>100</v>
      </c>
    </row>
    <row r="503" spans="2:13" x14ac:dyDescent="0.35">
      <c r="B503" s="4" t="s">
        <v>117</v>
      </c>
      <c r="C503" s="104" t="s">
        <v>143</v>
      </c>
      <c r="D503" s="105">
        <v>987580</v>
      </c>
      <c r="E503" s="105">
        <v>404</v>
      </c>
      <c r="F503" s="101">
        <v>7912.16</v>
      </c>
      <c r="G503" s="5" t="s">
        <v>129</v>
      </c>
      <c r="H503" s="105">
        <v>4098</v>
      </c>
      <c r="I503" s="105">
        <v>30717862453</v>
      </c>
      <c r="J503" s="5" t="s">
        <v>130</v>
      </c>
      <c r="K503" s="101">
        <f>+K502+Tabla6[[#This Row],[IMPORTE]]</f>
        <v>59869743.919999808</v>
      </c>
      <c r="L503" s="5" t="s">
        <v>227</v>
      </c>
      <c r="M503" s="133" t="s">
        <v>100</v>
      </c>
    </row>
    <row r="504" spans="2:13" x14ac:dyDescent="0.35">
      <c r="B504" s="4" t="s">
        <v>117</v>
      </c>
      <c r="C504" s="104" t="s">
        <v>143</v>
      </c>
      <c r="D504" s="105">
        <v>112908</v>
      </c>
      <c r="E504" s="105">
        <v>404</v>
      </c>
      <c r="F504" s="101">
        <v>8614.6299999999992</v>
      </c>
      <c r="G504" s="5" t="s">
        <v>129</v>
      </c>
      <c r="H504" s="105">
        <v>4098</v>
      </c>
      <c r="I504" s="105">
        <v>30717862453</v>
      </c>
      <c r="J504" s="5" t="s">
        <v>130</v>
      </c>
      <c r="K504" s="101">
        <f>+K503+Tabla6[[#This Row],[IMPORTE]]</f>
        <v>59878358.549999811</v>
      </c>
      <c r="L504" s="5" t="s">
        <v>227</v>
      </c>
      <c r="M504" s="133" t="s">
        <v>100</v>
      </c>
    </row>
    <row r="505" spans="2:13" x14ac:dyDescent="0.35">
      <c r="B505" s="4" t="s">
        <v>117</v>
      </c>
      <c r="C505" s="104" t="s">
        <v>143</v>
      </c>
      <c r="D505" s="105">
        <v>445941</v>
      </c>
      <c r="E505" s="105">
        <v>404</v>
      </c>
      <c r="F505" s="101">
        <v>9008.9699999999993</v>
      </c>
      <c r="G505" s="5" t="s">
        <v>129</v>
      </c>
      <c r="H505" s="105">
        <v>4098</v>
      </c>
      <c r="I505" s="105">
        <v>30717862453</v>
      </c>
      <c r="J505" s="5" t="s">
        <v>130</v>
      </c>
      <c r="K505" s="101">
        <f>+K504+Tabla6[[#This Row],[IMPORTE]]</f>
        <v>59887367.51999981</v>
      </c>
      <c r="L505" s="5" t="s">
        <v>227</v>
      </c>
      <c r="M505" s="133" t="s">
        <v>100</v>
      </c>
    </row>
    <row r="506" spans="2:13" x14ac:dyDescent="0.35">
      <c r="B506" s="4" t="s">
        <v>117</v>
      </c>
      <c r="C506" s="104" t="s">
        <v>143</v>
      </c>
      <c r="D506" s="105">
        <v>626924</v>
      </c>
      <c r="E506" s="105">
        <v>404</v>
      </c>
      <c r="F506" s="101">
        <v>16280.86</v>
      </c>
      <c r="G506" s="5" t="s">
        <v>129</v>
      </c>
      <c r="H506" s="105">
        <v>4098</v>
      </c>
      <c r="I506" s="105">
        <v>30717862453</v>
      </c>
      <c r="J506" s="5" t="s">
        <v>130</v>
      </c>
      <c r="K506" s="101">
        <f>+K505+Tabla6[[#This Row],[IMPORTE]]</f>
        <v>59903648.379999809</v>
      </c>
      <c r="L506" s="5" t="s">
        <v>227</v>
      </c>
      <c r="M506" s="133" t="s">
        <v>100</v>
      </c>
    </row>
    <row r="507" spans="2:13" x14ac:dyDescent="0.35">
      <c r="B507" s="4" t="s">
        <v>117</v>
      </c>
      <c r="C507" s="104" t="s">
        <v>143</v>
      </c>
      <c r="D507" s="105">
        <v>156572</v>
      </c>
      <c r="E507" s="105">
        <v>404</v>
      </c>
      <c r="F507" s="101">
        <v>19311.240000000002</v>
      </c>
      <c r="G507" s="5" t="s">
        <v>129</v>
      </c>
      <c r="H507" s="105">
        <v>4098</v>
      </c>
      <c r="I507" s="105">
        <v>30717862453</v>
      </c>
      <c r="J507" s="5" t="s">
        <v>130</v>
      </c>
      <c r="K507" s="101">
        <f>+K506+Tabla6[[#This Row],[IMPORTE]]</f>
        <v>59922959.619999811</v>
      </c>
      <c r="L507" s="5" t="s">
        <v>227</v>
      </c>
      <c r="M507" s="133" t="s">
        <v>100</v>
      </c>
    </row>
    <row r="508" spans="2:13" x14ac:dyDescent="0.35">
      <c r="B508" s="4" t="s">
        <v>117</v>
      </c>
      <c r="C508" s="104" t="s">
        <v>143</v>
      </c>
      <c r="D508" s="105">
        <v>475953</v>
      </c>
      <c r="E508" s="105">
        <v>404</v>
      </c>
      <c r="F508" s="101">
        <v>19311.240000000002</v>
      </c>
      <c r="G508" s="5" t="s">
        <v>129</v>
      </c>
      <c r="H508" s="105">
        <v>4098</v>
      </c>
      <c r="I508" s="105">
        <v>30717862453</v>
      </c>
      <c r="J508" s="5" t="s">
        <v>130</v>
      </c>
      <c r="K508" s="101">
        <f>+K507+Tabla6[[#This Row],[IMPORTE]]</f>
        <v>59942270.859999813</v>
      </c>
      <c r="L508" s="5" t="s">
        <v>227</v>
      </c>
      <c r="M508" s="133" t="s">
        <v>100</v>
      </c>
    </row>
    <row r="509" spans="2:13" x14ac:dyDescent="0.35">
      <c r="B509" s="4" t="s">
        <v>117</v>
      </c>
      <c r="C509" s="104" t="s">
        <v>143</v>
      </c>
      <c r="D509" s="105">
        <v>742394</v>
      </c>
      <c r="E509" s="105">
        <v>404</v>
      </c>
      <c r="F509" s="101">
        <v>19311.240000000002</v>
      </c>
      <c r="G509" s="5" t="s">
        <v>129</v>
      </c>
      <c r="H509" s="105">
        <v>4098</v>
      </c>
      <c r="I509" s="105">
        <v>30717862453</v>
      </c>
      <c r="J509" s="5" t="s">
        <v>130</v>
      </c>
      <c r="K509" s="101">
        <f>+K508+Tabla6[[#This Row],[IMPORTE]]</f>
        <v>59961582.099999815</v>
      </c>
      <c r="L509" s="5" t="s">
        <v>227</v>
      </c>
      <c r="M509" s="133" t="s">
        <v>100</v>
      </c>
    </row>
    <row r="510" spans="2:13" x14ac:dyDescent="0.35">
      <c r="B510" s="4" t="s">
        <v>117</v>
      </c>
      <c r="C510" s="104" t="s">
        <v>143</v>
      </c>
      <c r="D510" s="105">
        <v>887038</v>
      </c>
      <c r="E510" s="105">
        <v>404</v>
      </c>
      <c r="F510" s="101">
        <v>19311.240000000002</v>
      </c>
      <c r="G510" s="5" t="s">
        <v>129</v>
      </c>
      <c r="H510" s="105">
        <v>4098</v>
      </c>
      <c r="I510" s="105">
        <v>30717862453</v>
      </c>
      <c r="J510" s="5" t="s">
        <v>130</v>
      </c>
      <c r="K510" s="101">
        <f>+K509+Tabla6[[#This Row],[IMPORTE]]</f>
        <v>59980893.339999817</v>
      </c>
      <c r="L510" s="5" t="s">
        <v>227</v>
      </c>
      <c r="M510" s="133" t="s">
        <v>100</v>
      </c>
    </row>
    <row r="511" spans="2:13" x14ac:dyDescent="0.35">
      <c r="B511" s="4" t="s">
        <v>117</v>
      </c>
      <c r="C511" s="104" t="s">
        <v>143</v>
      </c>
      <c r="D511" s="105">
        <v>523940</v>
      </c>
      <c r="E511" s="105">
        <v>404</v>
      </c>
      <c r="F511" s="101">
        <v>21688.01</v>
      </c>
      <c r="G511" s="5" t="s">
        <v>129</v>
      </c>
      <c r="H511" s="105">
        <v>4098</v>
      </c>
      <c r="I511" s="105">
        <v>30717862453</v>
      </c>
      <c r="J511" s="5" t="s">
        <v>130</v>
      </c>
      <c r="K511" s="101">
        <f>+K510+Tabla6[[#This Row],[IMPORTE]]</f>
        <v>60002581.349999815</v>
      </c>
      <c r="L511" s="5" t="s">
        <v>227</v>
      </c>
      <c r="M511" s="133" t="s">
        <v>100</v>
      </c>
    </row>
    <row r="512" spans="2:13" x14ac:dyDescent="0.35">
      <c r="B512" s="4" t="s">
        <v>117</v>
      </c>
      <c r="C512" s="104" t="s">
        <v>143</v>
      </c>
      <c r="D512" s="105">
        <v>912648</v>
      </c>
      <c r="E512" s="105">
        <v>404</v>
      </c>
      <c r="F512" s="101">
        <v>25748.32</v>
      </c>
      <c r="G512" s="5" t="s">
        <v>129</v>
      </c>
      <c r="H512" s="105">
        <v>4098</v>
      </c>
      <c r="I512" s="105">
        <v>30717862453</v>
      </c>
      <c r="J512" s="5" t="s">
        <v>130</v>
      </c>
      <c r="K512" s="101">
        <f>+K511+Tabla6[[#This Row],[IMPORTE]]</f>
        <v>60028329.669999816</v>
      </c>
      <c r="L512" s="5" t="s">
        <v>227</v>
      </c>
      <c r="M512" s="133" t="s">
        <v>100</v>
      </c>
    </row>
    <row r="513" spans="2:13" x14ac:dyDescent="0.35">
      <c r="B513" s="4" t="s">
        <v>117</v>
      </c>
      <c r="C513" s="104" t="s">
        <v>143</v>
      </c>
      <c r="D513" s="105">
        <v>978165</v>
      </c>
      <c r="E513" s="105">
        <v>404</v>
      </c>
      <c r="F513" s="101">
        <v>25748.32</v>
      </c>
      <c r="G513" s="5" t="s">
        <v>129</v>
      </c>
      <c r="H513" s="105">
        <v>4098</v>
      </c>
      <c r="I513" s="105">
        <v>30717862453</v>
      </c>
      <c r="J513" s="5" t="s">
        <v>130</v>
      </c>
      <c r="K513" s="101">
        <f>+K512+Tabla6[[#This Row],[IMPORTE]]</f>
        <v>60054077.989999816</v>
      </c>
      <c r="L513" s="5" t="s">
        <v>227</v>
      </c>
      <c r="M513" s="133" t="s">
        <v>100</v>
      </c>
    </row>
    <row r="514" spans="2:13" x14ac:dyDescent="0.35">
      <c r="B514" s="4" t="s">
        <v>117</v>
      </c>
      <c r="C514" s="104" t="s">
        <v>143</v>
      </c>
      <c r="D514" s="105">
        <v>60932</v>
      </c>
      <c r="E514" s="105">
        <v>404</v>
      </c>
      <c r="F514" s="101">
        <v>30897.98</v>
      </c>
      <c r="G514" s="5" t="s">
        <v>129</v>
      </c>
      <c r="H514" s="105">
        <v>4098</v>
      </c>
      <c r="I514" s="105">
        <v>30717862453</v>
      </c>
      <c r="J514" s="5" t="s">
        <v>130</v>
      </c>
      <c r="K514" s="101">
        <f>+K513+Tabla6[[#This Row],[IMPORTE]]</f>
        <v>60084975.969999813</v>
      </c>
      <c r="L514" s="5" t="s">
        <v>227</v>
      </c>
      <c r="M514" s="133" t="s">
        <v>100</v>
      </c>
    </row>
    <row r="515" spans="2:13" x14ac:dyDescent="0.35">
      <c r="B515" s="4" t="s">
        <v>117</v>
      </c>
      <c r="C515" s="104" t="s">
        <v>143</v>
      </c>
      <c r="D515" s="105">
        <v>583482</v>
      </c>
      <c r="E515" s="105">
        <v>404</v>
      </c>
      <c r="F515" s="101">
        <v>30897.98</v>
      </c>
      <c r="G515" s="5" t="s">
        <v>129</v>
      </c>
      <c r="H515" s="105">
        <v>4098</v>
      </c>
      <c r="I515" s="105">
        <v>30717862453</v>
      </c>
      <c r="J515" s="5" t="s">
        <v>130</v>
      </c>
      <c r="K515" s="101">
        <f>+K514+Tabla6[[#This Row],[IMPORTE]]</f>
        <v>60115873.949999809</v>
      </c>
      <c r="L515" s="5" t="s">
        <v>227</v>
      </c>
      <c r="M515" s="133" t="s">
        <v>100</v>
      </c>
    </row>
    <row r="516" spans="2:13" x14ac:dyDescent="0.35">
      <c r="B516" s="4" t="s">
        <v>117</v>
      </c>
      <c r="C516" s="104" t="s">
        <v>143</v>
      </c>
      <c r="D516" s="105">
        <v>746314</v>
      </c>
      <c r="E516" s="105">
        <v>404</v>
      </c>
      <c r="F516" s="101">
        <v>30897.98</v>
      </c>
      <c r="G516" s="5" t="s">
        <v>129</v>
      </c>
      <c r="H516" s="105">
        <v>4098</v>
      </c>
      <c r="I516" s="105">
        <v>30717862453</v>
      </c>
      <c r="J516" s="5" t="s">
        <v>130</v>
      </c>
      <c r="K516" s="101">
        <f>+K515+Tabla6[[#This Row],[IMPORTE]]</f>
        <v>60146771.929999806</v>
      </c>
      <c r="L516" s="5" t="s">
        <v>227</v>
      </c>
      <c r="M516" s="133" t="s">
        <v>100</v>
      </c>
    </row>
    <row r="517" spans="2:13" x14ac:dyDescent="0.35">
      <c r="B517" s="4" t="s">
        <v>117</v>
      </c>
      <c r="C517" s="104" t="s">
        <v>143</v>
      </c>
      <c r="D517" s="105">
        <v>969131</v>
      </c>
      <c r="E517" s="105">
        <v>404</v>
      </c>
      <c r="F517" s="101">
        <v>30897.98</v>
      </c>
      <c r="G517" s="5" t="s">
        <v>129</v>
      </c>
      <c r="H517" s="105">
        <v>4098</v>
      </c>
      <c r="I517" s="105">
        <v>30717862453</v>
      </c>
      <c r="J517" s="5" t="s">
        <v>130</v>
      </c>
      <c r="K517" s="101">
        <f>+K516+Tabla6[[#This Row],[IMPORTE]]</f>
        <v>60177669.909999803</v>
      </c>
      <c r="L517" s="5" t="s">
        <v>227</v>
      </c>
      <c r="M517" s="133" t="s">
        <v>100</v>
      </c>
    </row>
    <row r="518" spans="2:13" x14ac:dyDescent="0.35">
      <c r="B518" s="4" t="s">
        <v>104</v>
      </c>
      <c r="C518" s="104" t="s">
        <v>143</v>
      </c>
      <c r="D518" s="105">
        <v>216710</v>
      </c>
      <c r="E518" s="105">
        <v>404</v>
      </c>
      <c r="F518" s="101">
        <v>38056.199999999997</v>
      </c>
      <c r="G518" s="5" t="s">
        <v>106</v>
      </c>
      <c r="H518" s="105">
        <v>183</v>
      </c>
      <c r="I518" s="70" t="s">
        <v>107</v>
      </c>
      <c r="J518" s="5" t="s">
        <v>116</v>
      </c>
      <c r="K518" s="101">
        <f>+K517+Tabla6[[#This Row],[IMPORTE]]</f>
        <v>60215726.109999806</v>
      </c>
      <c r="L518" s="5" t="s">
        <v>228</v>
      </c>
      <c r="M518" s="133" t="s">
        <v>100</v>
      </c>
    </row>
    <row r="519" spans="2:13" x14ac:dyDescent="0.35">
      <c r="B519" s="4" t="s">
        <v>104</v>
      </c>
      <c r="C519" s="104" t="s">
        <v>143</v>
      </c>
      <c r="D519" s="105">
        <v>216714</v>
      </c>
      <c r="E519" s="105">
        <v>404</v>
      </c>
      <c r="F519" s="101">
        <v>38056.199999999997</v>
      </c>
      <c r="G519" s="5" t="s">
        <v>106</v>
      </c>
      <c r="H519" s="105">
        <v>183</v>
      </c>
      <c r="I519" s="70" t="s">
        <v>107</v>
      </c>
      <c r="J519" s="5" t="s">
        <v>115</v>
      </c>
      <c r="K519" s="101">
        <f>+K518+Tabla6[[#This Row],[IMPORTE]]</f>
        <v>60253782.309999809</v>
      </c>
      <c r="L519" s="5" t="s">
        <v>228</v>
      </c>
      <c r="M519" s="133" t="s">
        <v>100</v>
      </c>
    </row>
    <row r="520" spans="2:13" x14ac:dyDescent="0.35">
      <c r="B520" s="4" t="s">
        <v>104</v>
      </c>
      <c r="C520" s="104" t="s">
        <v>143</v>
      </c>
      <c r="D520" s="105">
        <v>216716</v>
      </c>
      <c r="E520" s="105">
        <v>404</v>
      </c>
      <c r="F520" s="101">
        <v>38056.199999999997</v>
      </c>
      <c r="G520" s="5" t="s">
        <v>106</v>
      </c>
      <c r="H520" s="105">
        <v>183</v>
      </c>
      <c r="I520" s="70" t="s">
        <v>107</v>
      </c>
      <c r="J520" s="5" t="s">
        <v>109</v>
      </c>
      <c r="K520" s="101">
        <f>+K519+Tabla6[[#This Row],[IMPORTE]]</f>
        <v>60291838.509999812</v>
      </c>
      <c r="L520" s="5" t="s">
        <v>228</v>
      </c>
      <c r="M520" s="133" t="s">
        <v>100</v>
      </c>
    </row>
    <row r="521" spans="2:13" x14ac:dyDescent="0.35">
      <c r="B521" s="4" t="s">
        <v>117</v>
      </c>
      <c r="C521" s="104" t="s">
        <v>143</v>
      </c>
      <c r="D521" s="105">
        <v>24721</v>
      </c>
      <c r="E521" s="105">
        <v>404</v>
      </c>
      <c r="F521" s="101">
        <v>38622.480000000003</v>
      </c>
      <c r="G521" s="5" t="s">
        <v>129</v>
      </c>
      <c r="H521" s="105">
        <v>4098</v>
      </c>
      <c r="I521" s="105">
        <v>30717862453</v>
      </c>
      <c r="J521" s="5" t="s">
        <v>130</v>
      </c>
      <c r="K521" s="101">
        <f>+K520+Tabla6[[#This Row],[IMPORTE]]</f>
        <v>60330460.989999808</v>
      </c>
      <c r="L521" s="5" t="s">
        <v>227</v>
      </c>
      <c r="M521" s="133" t="s">
        <v>100</v>
      </c>
    </row>
    <row r="522" spans="2:13" x14ac:dyDescent="0.35">
      <c r="B522" s="4" t="s">
        <v>117</v>
      </c>
      <c r="C522" s="104" t="s">
        <v>143</v>
      </c>
      <c r="D522" s="105">
        <v>32338</v>
      </c>
      <c r="E522" s="105">
        <v>404</v>
      </c>
      <c r="F522" s="101">
        <v>38622.480000000003</v>
      </c>
      <c r="G522" s="5" t="s">
        <v>129</v>
      </c>
      <c r="H522" s="105">
        <v>4098</v>
      </c>
      <c r="I522" s="105">
        <v>30717862453</v>
      </c>
      <c r="J522" s="5" t="s">
        <v>130</v>
      </c>
      <c r="K522" s="101">
        <f>+K521+Tabla6[[#This Row],[IMPORTE]]</f>
        <v>60369083.469999805</v>
      </c>
      <c r="L522" s="5" t="s">
        <v>227</v>
      </c>
      <c r="M522" s="133" t="s">
        <v>100</v>
      </c>
    </row>
    <row r="523" spans="2:13" x14ac:dyDescent="0.35">
      <c r="B523" s="4" t="s">
        <v>117</v>
      </c>
      <c r="C523" s="104" t="s">
        <v>143</v>
      </c>
      <c r="D523" s="105">
        <v>51204</v>
      </c>
      <c r="E523" s="105">
        <v>404</v>
      </c>
      <c r="F523" s="101">
        <v>38622.480000000003</v>
      </c>
      <c r="G523" s="5" t="s">
        <v>129</v>
      </c>
      <c r="H523" s="105">
        <v>4098</v>
      </c>
      <c r="I523" s="105">
        <v>30717862453</v>
      </c>
      <c r="J523" s="5" t="s">
        <v>130</v>
      </c>
      <c r="K523" s="101">
        <f>+K522+Tabla6[[#This Row],[IMPORTE]]</f>
        <v>60407705.949999802</v>
      </c>
      <c r="L523" s="5" t="s">
        <v>227</v>
      </c>
      <c r="M523" s="133" t="s">
        <v>100</v>
      </c>
    </row>
    <row r="524" spans="2:13" x14ac:dyDescent="0.35">
      <c r="B524" s="4" t="s">
        <v>117</v>
      </c>
      <c r="C524" s="104" t="s">
        <v>143</v>
      </c>
      <c r="D524" s="105">
        <v>64106</v>
      </c>
      <c r="E524" s="105">
        <v>404</v>
      </c>
      <c r="F524" s="101">
        <v>38622.480000000003</v>
      </c>
      <c r="G524" s="5" t="s">
        <v>129</v>
      </c>
      <c r="H524" s="105">
        <v>4098</v>
      </c>
      <c r="I524" s="105">
        <v>30717862453</v>
      </c>
      <c r="J524" s="5" t="s">
        <v>130</v>
      </c>
      <c r="K524" s="101">
        <f>+K523+Tabla6[[#This Row],[IMPORTE]]</f>
        <v>60446328.429999799</v>
      </c>
      <c r="L524" s="5" t="s">
        <v>227</v>
      </c>
      <c r="M524" s="133" t="s">
        <v>100</v>
      </c>
    </row>
    <row r="525" spans="2:13" x14ac:dyDescent="0.35">
      <c r="B525" s="4" t="s">
        <v>117</v>
      </c>
      <c r="C525" s="104" t="s">
        <v>143</v>
      </c>
      <c r="D525" s="105">
        <v>98861</v>
      </c>
      <c r="E525" s="105">
        <v>404</v>
      </c>
      <c r="F525" s="101">
        <v>38622.480000000003</v>
      </c>
      <c r="G525" s="5" t="s">
        <v>129</v>
      </c>
      <c r="H525" s="105">
        <v>4098</v>
      </c>
      <c r="I525" s="105">
        <v>30717862453</v>
      </c>
      <c r="J525" s="5" t="s">
        <v>130</v>
      </c>
      <c r="K525" s="101">
        <f>+K524+Tabla6[[#This Row],[IMPORTE]]</f>
        <v>60484950.909999795</v>
      </c>
      <c r="L525" s="5" t="s">
        <v>227</v>
      </c>
      <c r="M525" s="133" t="s">
        <v>100</v>
      </c>
    </row>
    <row r="526" spans="2:13" x14ac:dyDescent="0.35">
      <c r="B526" s="4" t="s">
        <v>117</v>
      </c>
      <c r="C526" s="104" t="s">
        <v>143</v>
      </c>
      <c r="D526" s="105">
        <v>142616</v>
      </c>
      <c r="E526" s="105">
        <v>404</v>
      </c>
      <c r="F526" s="101">
        <v>38622.480000000003</v>
      </c>
      <c r="G526" s="5" t="s">
        <v>129</v>
      </c>
      <c r="H526" s="105">
        <v>4098</v>
      </c>
      <c r="I526" s="105">
        <v>30717862453</v>
      </c>
      <c r="J526" s="5" t="s">
        <v>130</v>
      </c>
      <c r="K526" s="101">
        <f>+K525+Tabla6[[#This Row],[IMPORTE]]</f>
        <v>60523573.389999792</v>
      </c>
      <c r="L526" s="5" t="s">
        <v>227</v>
      </c>
      <c r="M526" s="133" t="s">
        <v>100</v>
      </c>
    </row>
    <row r="527" spans="2:13" x14ac:dyDescent="0.35">
      <c r="B527" s="4" t="s">
        <v>117</v>
      </c>
      <c r="C527" s="104" t="s">
        <v>143</v>
      </c>
      <c r="D527" s="105">
        <v>191942</v>
      </c>
      <c r="E527" s="105">
        <v>404</v>
      </c>
      <c r="F527" s="101">
        <v>38622.480000000003</v>
      </c>
      <c r="G527" s="5" t="s">
        <v>129</v>
      </c>
      <c r="H527" s="105">
        <v>4098</v>
      </c>
      <c r="I527" s="105">
        <v>30717862453</v>
      </c>
      <c r="J527" s="5" t="s">
        <v>130</v>
      </c>
      <c r="K527" s="101">
        <f>+K526+Tabla6[[#This Row],[IMPORTE]]</f>
        <v>60562195.869999789</v>
      </c>
      <c r="L527" s="5" t="s">
        <v>227</v>
      </c>
      <c r="M527" s="133" t="s">
        <v>100</v>
      </c>
    </row>
    <row r="528" spans="2:13" x14ac:dyDescent="0.35">
      <c r="B528" s="4" t="s">
        <v>117</v>
      </c>
      <c r="C528" s="104" t="s">
        <v>143</v>
      </c>
      <c r="D528" s="105">
        <v>202009</v>
      </c>
      <c r="E528" s="105">
        <v>404</v>
      </c>
      <c r="F528" s="101">
        <v>38622.480000000003</v>
      </c>
      <c r="G528" s="5" t="s">
        <v>129</v>
      </c>
      <c r="H528" s="105">
        <v>4098</v>
      </c>
      <c r="I528" s="105">
        <v>30717862453</v>
      </c>
      <c r="J528" s="5" t="s">
        <v>130</v>
      </c>
      <c r="K528" s="101">
        <f>+K527+Tabla6[[#This Row],[IMPORTE]]</f>
        <v>60600818.349999785</v>
      </c>
      <c r="L528" s="5" t="s">
        <v>227</v>
      </c>
      <c r="M528" s="133" t="s">
        <v>100</v>
      </c>
    </row>
    <row r="529" spans="2:13" x14ac:dyDescent="0.35">
      <c r="B529" s="4" t="s">
        <v>117</v>
      </c>
      <c r="C529" s="104" t="s">
        <v>143</v>
      </c>
      <c r="D529" s="105">
        <v>220427</v>
      </c>
      <c r="E529" s="105">
        <v>404</v>
      </c>
      <c r="F529" s="101">
        <v>38622.480000000003</v>
      </c>
      <c r="G529" s="5" t="s">
        <v>129</v>
      </c>
      <c r="H529" s="105">
        <v>4098</v>
      </c>
      <c r="I529" s="105">
        <v>30717862453</v>
      </c>
      <c r="J529" s="5" t="s">
        <v>130</v>
      </c>
      <c r="K529" s="101">
        <f>+K528+Tabla6[[#This Row],[IMPORTE]]</f>
        <v>60639440.829999782</v>
      </c>
      <c r="L529" s="5" t="s">
        <v>227</v>
      </c>
      <c r="M529" s="133" t="s">
        <v>100</v>
      </c>
    </row>
    <row r="530" spans="2:13" x14ac:dyDescent="0.35">
      <c r="B530" s="4" t="s">
        <v>117</v>
      </c>
      <c r="C530" s="104" t="s">
        <v>143</v>
      </c>
      <c r="D530" s="105">
        <v>227531</v>
      </c>
      <c r="E530" s="105">
        <v>404</v>
      </c>
      <c r="F530" s="101">
        <v>38622.480000000003</v>
      </c>
      <c r="G530" s="5" t="s">
        <v>129</v>
      </c>
      <c r="H530" s="105">
        <v>4098</v>
      </c>
      <c r="I530" s="105">
        <v>30717862453</v>
      </c>
      <c r="J530" s="5" t="s">
        <v>130</v>
      </c>
      <c r="K530" s="101">
        <f>+K529+Tabla6[[#This Row],[IMPORTE]]</f>
        <v>60678063.309999779</v>
      </c>
      <c r="L530" s="5" t="s">
        <v>227</v>
      </c>
      <c r="M530" s="133" t="s">
        <v>100</v>
      </c>
    </row>
    <row r="531" spans="2:13" x14ac:dyDescent="0.35">
      <c r="B531" s="4" t="s">
        <v>117</v>
      </c>
      <c r="C531" s="104" t="s">
        <v>143</v>
      </c>
      <c r="D531" s="105">
        <v>232900</v>
      </c>
      <c r="E531" s="105">
        <v>404</v>
      </c>
      <c r="F531" s="101">
        <v>38622.480000000003</v>
      </c>
      <c r="G531" s="5" t="s">
        <v>129</v>
      </c>
      <c r="H531" s="105">
        <v>4098</v>
      </c>
      <c r="I531" s="105">
        <v>30717862453</v>
      </c>
      <c r="J531" s="5" t="s">
        <v>130</v>
      </c>
      <c r="K531" s="101">
        <f>+K530+Tabla6[[#This Row],[IMPORTE]]</f>
        <v>60716685.789999776</v>
      </c>
      <c r="L531" s="5" t="s">
        <v>227</v>
      </c>
      <c r="M531" s="133" t="s">
        <v>100</v>
      </c>
    </row>
    <row r="532" spans="2:13" x14ac:dyDescent="0.35">
      <c r="B532" s="4" t="s">
        <v>117</v>
      </c>
      <c r="C532" s="104" t="s">
        <v>143</v>
      </c>
      <c r="D532" s="105">
        <v>233112</v>
      </c>
      <c r="E532" s="105">
        <v>404</v>
      </c>
      <c r="F532" s="101">
        <v>38622.480000000003</v>
      </c>
      <c r="G532" s="5" t="s">
        <v>129</v>
      </c>
      <c r="H532" s="105">
        <v>4098</v>
      </c>
      <c r="I532" s="105">
        <v>30717862453</v>
      </c>
      <c r="J532" s="5" t="s">
        <v>130</v>
      </c>
      <c r="K532" s="101">
        <f>+K531+Tabla6[[#This Row],[IMPORTE]]</f>
        <v>60755308.269999772</v>
      </c>
      <c r="L532" s="5" t="s">
        <v>227</v>
      </c>
      <c r="M532" s="133" t="s">
        <v>100</v>
      </c>
    </row>
    <row r="533" spans="2:13" x14ac:dyDescent="0.35">
      <c r="B533" s="4" t="s">
        <v>117</v>
      </c>
      <c r="C533" s="104" t="s">
        <v>143</v>
      </c>
      <c r="D533" s="105">
        <v>252637</v>
      </c>
      <c r="E533" s="105">
        <v>404</v>
      </c>
      <c r="F533" s="101">
        <v>38622.480000000003</v>
      </c>
      <c r="G533" s="5" t="s">
        <v>129</v>
      </c>
      <c r="H533" s="105">
        <v>4098</v>
      </c>
      <c r="I533" s="105">
        <v>30717862453</v>
      </c>
      <c r="J533" s="5" t="s">
        <v>130</v>
      </c>
      <c r="K533" s="101">
        <f>+K532+Tabla6[[#This Row],[IMPORTE]]</f>
        <v>60793930.749999769</v>
      </c>
      <c r="L533" s="5" t="s">
        <v>227</v>
      </c>
      <c r="M533" s="133" t="s">
        <v>100</v>
      </c>
    </row>
    <row r="534" spans="2:13" x14ac:dyDescent="0.35">
      <c r="B534" s="4" t="s">
        <v>117</v>
      </c>
      <c r="C534" s="104" t="s">
        <v>143</v>
      </c>
      <c r="D534" s="105">
        <v>255547</v>
      </c>
      <c r="E534" s="105">
        <v>404</v>
      </c>
      <c r="F534" s="101">
        <v>38622.480000000003</v>
      </c>
      <c r="G534" s="5" t="s">
        <v>129</v>
      </c>
      <c r="H534" s="105">
        <v>4098</v>
      </c>
      <c r="I534" s="105">
        <v>30717862453</v>
      </c>
      <c r="J534" s="5" t="s">
        <v>130</v>
      </c>
      <c r="K534" s="101">
        <f>+K533+Tabla6[[#This Row],[IMPORTE]]</f>
        <v>60832553.229999766</v>
      </c>
      <c r="L534" s="5" t="s">
        <v>227</v>
      </c>
      <c r="M534" s="133" t="s">
        <v>100</v>
      </c>
    </row>
    <row r="535" spans="2:13" x14ac:dyDescent="0.35">
      <c r="B535" s="4" t="s">
        <v>117</v>
      </c>
      <c r="C535" s="104" t="s">
        <v>143</v>
      </c>
      <c r="D535" s="105">
        <v>257675</v>
      </c>
      <c r="E535" s="105">
        <v>404</v>
      </c>
      <c r="F535" s="101">
        <v>38622.480000000003</v>
      </c>
      <c r="G535" s="5" t="s">
        <v>129</v>
      </c>
      <c r="H535" s="105">
        <v>4098</v>
      </c>
      <c r="I535" s="105">
        <v>30717862453</v>
      </c>
      <c r="J535" s="5" t="s">
        <v>130</v>
      </c>
      <c r="K535" s="101">
        <f>+K534+Tabla6[[#This Row],[IMPORTE]]</f>
        <v>60871175.709999762</v>
      </c>
      <c r="L535" s="5" t="s">
        <v>227</v>
      </c>
      <c r="M535" s="133" t="s">
        <v>100</v>
      </c>
    </row>
    <row r="536" spans="2:13" x14ac:dyDescent="0.35">
      <c r="B536" s="4" t="s">
        <v>117</v>
      </c>
      <c r="C536" s="104" t="s">
        <v>143</v>
      </c>
      <c r="D536" s="105">
        <v>273427</v>
      </c>
      <c r="E536" s="105">
        <v>404</v>
      </c>
      <c r="F536" s="101">
        <v>38622.480000000003</v>
      </c>
      <c r="G536" s="5" t="s">
        <v>129</v>
      </c>
      <c r="H536" s="105">
        <v>4098</v>
      </c>
      <c r="I536" s="105">
        <v>30717862453</v>
      </c>
      <c r="J536" s="5" t="s">
        <v>130</v>
      </c>
      <c r="K536" s="101">
        <f>+K535+Tabla6[[#This Row],[IMPORTE]]</f>
        <v>60909798.189999759</v>
      </c>
      <c r="L536" s="5" t="s">
        <v>227</v>
      </c>
      <c r="M536" s="133" t="s">
        <v>100</v>
      </c>
    </row>
    <row r="537" spans="2:13" x14ac:dyDescent="0.35">
      <c r="B537" s="4" t="s">
        <v>117</v>
      </c>
      <c r="C537" s="104" t="s">
        <v>143</v>
      </c>
      <c r="D537" s="105">
        <v>283298</v>
      </c>
      <c r="E537" s="105">
        <v>404</v>
      </c>
      <c r="F537" s="101">
        <v>38622.480000000003</v>
      </c>
      <c r="G537" s="5" t="s">
        <v>129</v>
      </c>
      <c r="H537" s="105">
        <v>4098</v>
      </c>
      <c r="I537" s="105">
        <v>30717862453</v>
      </c>
      <c r="J537" s="5" t="s">
        <v>130</v>
      </c>
      <c r="K537" s="101">
        <f>+K536+Tabla6[[#This Row],[IMPORTE]]</f>
        <v>60948420.669999756</v>
      </c>
      <c r="L537" s="5" t="s">
        <v>227</v>
      </c>
      <c r="M537" s="133" t="s">
        <v>100</v>
      </c>
    </row>
    <row r="538" spans="2:13" x14ac:dyDescent="0.35">
      <c r="B538" s="4" t="s">
        <v>117</v>
      </c>
      <c r="C538" s="104" t="s">
        <v>143</v>
      </c>
      <c r="D538" s="105">
        <v>303666</v>
      </c>
      <c r="E538" s="105">
        <v>404</v>
      </c>
      <c r="F538" s="101">
        <v>38622.480000000003</v>
      </c>
      <c r="G538" s="5" t="s">
        <v>129</v>
      </c>
      <c r="H538" s="105">
        <v>4098</v>
      </c>
      <c r="I538" s="105">
        <v>30717862453</v>
      </c>
      <c r="J538" s="5" t="s">
        <v>130</v>
      </c>
      <c r="K538" s="101">
        <f>+K537+Tabla6[[#This Row],[IMPORTE]]</f>
        <v>60987043.149999753</v>
      </c>
      <c r="L538" s="5" t="s">
        <v>227</v>
      </c>
      <c r="M538" s="133" t="s">
        <v>100</v>
      </c>
    </row>
    <row r="539" spans="2:13" x14ac:dyDescent="0.35">
      <c r="B539" s="4" t="s">
        <v>117</v>
      </c>
      <c r="C539" s="104" t="s">
        <v>143</v>
      </c>
      <c r="D539" s="105">
        <v>320344</v>
      </c>
      <c r="E539" s="105">
        <v>404</v>
      </c>
      <c r="F539" s="101">
        <v>38622.480000000003</v>
      </c>
      <c r="G539" s="5" t="s">
        <v>129</v>
      </c>
      <c r="H539" s="105">
        <v>4098</v>
      </c>
      <c r="I539" s="105">
        <v>30717862453</v>
      </c>
      <c r="J539" s="5" t="s">
        <v>130</v>
      </c>
      <c r="K539" s="101">
        <f>+K538+Tabla6[[#This Row],[IMPORTE]]</f>
        <v>61025665.629999749</v>
      </c>
      <c r="L539" s="5" t="s">
        <v>227</v>
      </c>
      <c r="M539" s="133" t="s">
        <v>100</v>
      </c>
    </row>
    <row r="540" spans="2:13" x14ac:dyDescent="0.35">
      <c r="B540" s="4" t="s">
        <v>117</v>
      </c>
      <c r="C540" s="104" t="s">
        <v>143</v>
      </c>
      <c r="D540" s="105">
        <v>372383</v>
      </c>
      <c r="E540" s="105">
        <v>404</v>
      </c>
      <c r="F540" s="101">
        <v>38622.480000000003</v>
      </c>
      <c r="G540" s="5" t="s">
        <v>129</v>
      </c>
      <c r="H540" s="105">
        <v>4098</v>
      </c>
      <c r="I540" s="105">
        <v>30717862453</v>
      </c>
      <c r="J540" s="5" t="s">
        <v>130</v>
      </c>
      <c r="K540" s="101">
        <f>+K539+Tabla6[[#This Row],[IMPORTE]]</f>
        <v>61064288.109999746</v>
      </c>
      <c r="L540" s="5" t="s">
        <v>227</v>
      </c>
      <c r="M540" s="133" t="s">
        <v>100</v>
      </c>
    </row>
    <row r="541" spans="2:13" x14ac:dyDescent="0.35">
      <c r="B541" s="4" t="s">
        <v>117</v>
      </c>
      <c r="C541" s="104" t="s">
        <v>143</v>
      </c>
      <c r="D541" s="105">
        <v>419085</v>
      </c>
      <c r="E541" s="105">
        <v>404</v>
      </c>
      <c r="F541" s="101">
        <v>38622.480000000003</v>
      </c>
      <c r="G541" s="5" t="s">
        <v>129</v>
      </c>
      <c r="H541" s="105">
        <v>4098</v>
      </c>
      <c r="I541" s="105">
        <v>30717862453</v>
      </c>
      <c r="J541" s="5" t="s">
        <v>130</v>
      </c>
      <c r="K541" s="101">
        <f>+K540+Tabla6[[#This Row],[IMPORTE]]</f>
        <v>61102910.589999743</v>
      </c>
      <c r="L541" s="5" t="s">
        <v>227</v>
      </c>
      <c r="M541" s="133" t="s">
        <v>100</v>
      </c>
    </row>
    <row r="542" spans="2:13" x14ac:dyDescent="0.35">
      <c r="B542" s="4" t="s">
        <v>117</v>
      </c>
      <c r="C542" s="104" t="s">
        <v>143</v>
      </c>
      <c r="D542" s="105">
        <v>430798</v>
      </c>
      <c r="E542" s="105">
        <v>404</v>
      </c>
      <c r="F542" s="101">
        <v>38622.480000000003</v>
      </c>
      <c r="G542" s="5" t="s">
        <v>129</v>
      </c>
      <c r="H542" s="105">
        <v>4098</v>
      </c>
      <c r="I542" s="105">
        <v>30717862453</v>
      </c>
      <c r="J542" s="5" t="s">
        <v>130</v>
      </c>
      <c r="K542" s="101">
        <f>+K541+Tabla6[[#This Row],[IMPORTE]]</f>
        <v>61141533.06999974</v>
      </c>
      <c r="L542" s="5" t="s">
        <v>227</v>
      </c>
      <c r="M542" s="133" t="s">
        <v>100</v>
      </c>
    </row>
    <row r="543" spans="2:13" x14ac:dyDescent="0.35">
      <c r="B543" s="4" t="s">
        <v>117</v>
      </c>
      <c r="C543" s="104" t="s">
        <v>143</v>
      </c>
      <c r="D543" s="105">
        <v>436017</v>
      </c>
      <c r="E543" s="105">
        <v>404</v>
      </c>
      <c r="F543" s="101">
        <v>38622.480000000003</v>
      </c>
      <c r="G543" s="5" t="s">
        <v>129</v>
      </c>
      <c r="H543" s="105">
        <v>4098</v>
      </c>
      <c r="I543" s="105">
        <v>30717862453</v>
      </c>
      <c r="J543" s="5" t="s">
        <v>130</v>
      </c>
      <c r="K543" s="101">
        <f>+K542+Tabla6[[#This Row],[IMPORTE]]</f>
        <v>61180155.549999736</v>
      </c>
      <c r="L543" s="5" t="s">
        <v>227</v>
      </c>
      <c r="M543" s="133" t="s">
        <v>100</v>
      </c>
    </row>
    <row r="544" spans="2:13" x14ac:dyDescent="0.35">
      <c r="B544" s="4" t="s">
        <v>117</v>
      </c>
      <c r="C544" s="104" t="s">
        <v>143</v>
      </c>
      <c r="D544" s="105">
        <v>448678</v>
      </c>
      <c r="E544" s="105">
        <v>404</v>
      </c>
      <c r="F544" s="101">
        <v>38622.480000000003</v>
      </c>
      <c r="G544" s="5" t="s">
        <v>129</v>
      </c>
      <c r="H544" s="105">
        <v>4098</v>
      </c>
      <c r="I544" s="105">
        <v>30717862453</v>
      </c>
      <c r="J544" s="5" t="s">
        <v>130</v>
      </c>
      <c r="K544" s="101">
        <f>+K543+Tabla6[[#This Row],[IMPORTE]]</f>
        <v>61218778.029999733</v>
      </c>
      <c r="L544" s="5" t="s">
        <v>227</v>
      </c>
      <c r="M544" s="133" t="s">
        <v>100</v>
      </c>
    </row>
    <row r="545" spans="2:13" x14ac:dyDescent="0.35">
      <c r="B545" s="4" t="s">
        <v>117</v>
      </c>
      <c r="C545" s="104" t="s">
        <v>143</v>
      </c>
      <c r="D545" s="105">
        <v>488486</v>
      </c>
      <c r="E545" s="105">
        <v>404</v>
      </c>
      <c r="F545" s="101">
        <v>38622.480000000003</v>
      </c>
      <c r="G545" s="5" t="s">
        <v>129</v>
      </c>
      <c r="H545" s="105">
        <v>4098</v>
      </c>
      <c r="I545" s="105">
        <v>30717862453</v>
      </c>
      <c r="J545" s="5" t="s">
        <v>130</v>
      </c>
      <c r="K545" s="101">
        <f>+K544+Tabla6[[#This Row],[IMPORTE]]</f>
        <v>61257400.50999973</v>
      </c>
      <c r="L545" s="5" t="s">
        <v>227</v>
      </c>
      <c r="M545" s="133" t="s">
        <v>100</v>
      </c>
    </row>
    <row r="546" spans="2:13" x14ac:dyDescent="0.35">
      <c r="B546" s="4" t="s">
        <v>117</v>
      </c>
      <c r="C546" s="104" t="s">
        <v>143</v>
      </c>
      <c r="D546" s="105">
        <v>490230</v>
      </c>
      <c r="E546" s="105">
        <v>404</v>
      </c>
      <c r="F546" s="101">
        <v>38622.480000000003</v>
      </c>
      <c r="G546" s="5" t="s">
        <v>129</v>
      </c>
      <c r="H546" s="105">
        <v>4098</v>
      </c>
      <c r="I546" s="105">
        <v>30717862453</v>
      </c>
      <c r="J546" s="5" t="s">
        <v>130</v>
      </c>
      <c r="K546" s="101">
        <f>+K545+Tabla6[[#This Row],[IMPORTE]]</f>
        <v>61296022.989999726</v>
      </c>
      <c r="L546" s="5" t="s">
        <v>227</v>
      </c>
      <c r="M546" s="133" t="s">
        <v>100</v>
      </c>
    </row>
    <row r="547" spans="2:13" x14ac:dyDescent="0.35">
      <c r="B547" s="4" t="s">
        <v>117</v>
      </c>
      <c r="C547" s="104" t="s">
        <v>143</v>
      </c>
      <c r="D547" s="105">
        <v>490790</v>
      </c>
      <c r="E547" s="105">
        <v>404</v>
      </c>
      <c r="F547" s="101">
        <v>38622.480000000003</v>
      </c>
      <c r="G547" s="5" t="s">
        <v>129</v>
      </c>
      <c r="H547" s="105">
        <v>4098</v>
      </c>
      <c r="I547" s="105">
        <v>30717862453</v>
      </c>
      <c r="J547" s="5" t="s">
        <v>130</v>
      </c>
      <c r="K547" s="101">
        <f>+K546+Tabla6[[#This Row],[IMPORTE]]</f>
        <v>61334645.469999723</v>
      </c>
      <c r="L547" s="5" t="s">
        <v>227</v>
      </c>
      <c r="M547" s="133" t="s">
        <v>100</v>
      </c>
    </row>
    <row r="548" spans="2:13" x14ac:dyDescent="0.35">
      <c r="B548" s="4" t="s">
        <v>117</v>
      </c>
      <c r="C548" s="104" t="s">
        <v>143</v>
      </c>
      <c r="D548" s="105">
        <v>491220</v>
      </c>
      <c r="E548" s="105">
        <v>404</v>
      </c>
      <c r="F548" s="101">
        <v>38622.480000000003</v>
      </c>
      <c r="G548" s="5" t="s">
        <v>129</v>
      </c>
      <c r="H548" s="105">
        <v>4098</v>
      </c>
      <c r="I548" s="105">
        <v>30717862453</v>
      </c>
      <c r="J548" s="5" t="s">
        <v>130</v>
      </c>
      <c r="K548" s="101">
        <f>+K547+Tabla6[[#This Row],[IMPORTE]]</f>
        <v>61373267.94999972</v>
      </c>
      <c r="L548" s="5" t="s">
        <v>227</v>
      </c>
      <c r="M548" s="133" t="s">
        <v>100</v>
      </c>
    </row>
    <row r="549" spans="2:13" x14ac:dyDescent="0.35">
      <c r="B549" s="4" t="s">
        <v>117</v>
      </c>
      <c r="C549" s="104" t="s">
        <v>143</v>
      </c>
      <c r="D549" s="105">
        <v>505599</v>
      </c>
      <c r="E549" s="105">
        <v>404</v>
      </c>
      <c r="F549" s="101">
        <v>38622.480000000003</v>
      </c>
      <c r="G549" s="5" t="s">
        <v>129</v>
      </c>
      <c r="H549" s="105">
        <v>4098</v>
      </c>
      <c r="I549" s="105">
        <v>30717862453</v>
      </c>
      <c r="J549" s="5" t="s">
        <v>130</v>
      </c>
      <c r="K549" s="101">
        <f>+K548+Tabla6[[#This Row],[IMPORTE]]</f>
        <v>61411890.429999717</v>
      </c>
      <c r="L549" s="5" t="s">
        <v>227</v>
      </c>
      <c r="M549" s="133" t="s">
        <v>100</v>
      </c>
    </row>
    <row r="550" spans="2:13" x14ac:dyDescent="0.35">
      <c r="B550" s="4" t="s">
        <v>117</v>
      </c>
      <c r="C550" s="104" t="s">
        <v>143</v>
      </c>
      <c r="D550" s="105">
        <v>548682</v>
      </c>
      <c r="E550" s="105">
        <v>404</v>
      </c>
      <c r="F550" s="101">
        <v>38622.480000000003</v>
      </c>
      <c r="G550" s="5" t="s">
        <v>129</v>
      </c>
      <c r="H550" s="105">
        <v>4098</v>
      </c>
      <c r="I550" s="105">
        <v>30717862453</v>
      </c>
      <c r="J550" s="5" t="s">
        <v>130</v>
      </c>
      <c r="K550" s="101">
        <f>+K549+Tabla6[[#This Row],[IMPORTE]]</f>
        <v>61450512.909999713</v>
      </c>
      <c r="L550" s="5" t="s">
        <v>227</v>
      </c>
      <c r="M550" s="133" t="s">
        <v>100</v>
      </c>
    </row>
    <row r="551" spans="2:13" x14ac:dyDescent="0.35">
      <c r="B551" s="4" t="s">
        <v>117</v>
      </c>
      <c r="C551" s="104" t="s">
        <v>143</v>
      </c>
      <c r="D551" s="105">
        <v>591279</v>
      </c>
      <c r="E551" s="105">
        <v>404</v>
      </c>
      <c r="F551" s="101">
        <v>38622.480000000003</v>
      </c>
      <c r="G551" s="5" t="s">
        <v>129</v>
      </c>
      <c r="H551" s="105">
        <v>4098</v>
      </c>
      <c r="I551" s="105">
        <v>30717862453</v>
      </c>
      <c r="J551" s="5" t="s">
        <v>130</v>
      </c>
      <c r="K551" s="101">
        <f>+K550+Tabla6[[#This Row],[IMPORTE]]</f>
        <v>61489135.38999971</v>
      </c>
      <c r="L551" s="5" t="s">
        <v>227</v>
      </c>
      <c r="M551" s="133" t="s">
        <v>100</v>
      </c>
    </row>
    <row r="552" spans="2:13" x14ac:dyDescent="0.35">
      <c r="B552" s="4" t="s">
        <v>117</v>
      </c>
      <c r="C552" s="104" t="s">
        <v>143</v>
      </c>
      <c r="D552" s="105">
        <v>616520</v>
      </c>
      <c r="E552" s="105">
        <v>404</v>
      </c>
      <c r="F552" s="101">
        <v>38622.480000000003</v>
      </c>
      <c r="G552" s="5" t="s">
        <v>129</v>
      </c>
      <c r="H552" s="105">
        <v>4098</v>
      </c>
      <c r="I552" s="105">
        <v>30717862453</v>
      </c>
      <c r="J552" s="5" t="s">
        <v>130</v>
      </c>
      <c r="K552" s="101">
        <f>+K551+Tabla6[[#This Row],[IMPORTE]]</f>
        <v>61527757.869999707</v>
      </c>
      <c r="L552" s="5" t="s">
        <v>227</v>
      </c>
      <c r="M552" s="133" t="s">
        <v>100</v>
      </c>
    </row>
    <row r="553" spans="2:13" x14ac:dyDescent="0.35">
      <c r="B553" s="4" t="s">
        <v>117</v>
      </c>
      <c r="C553" s="104" t="s">
        <v>143</v>
      </c>
      <c r="D553" s="105">
        <v>616565</v>
      </c>
      <c r="E553" s="105">
        <v>404</v>
      </c>
      <c r="F553" s="101">
        <v>38622.480000000003</v>
      </c>
      <c r="G553" s="5" t="s">
        <v>129</v>
      </c>
      <c r="H553" s="105">
        <v>4098</v>
      </c>
      <c r="I553" s="105">
        <v>30717862453</v>
      </c>
      <c r="J553" s="5" t="s">
        <v>130</v>
      </c>
      <c r="K553" s="101">
        <f>+K552+Tabla6[[#This Row],[IMPORTE]]</f>
        <v>61566380.349999703</v>
      </c>
      <c r="L553" s="5" t="s">
        <v>227</v>
      </c>
      <c r="M553" s="133" t="s">
        <v>100</v>
      </c>
    </row>
    <row r="554" spans="2:13" x14ac:dyDescent="0.35">
      <c r="B554" s="4" t="s">
        <v>117</v>
      </c>
      <c r="C554" s="104" t="s">
        <v>143</v>
      </c>
      <c r="D554" s="105">
        <v>643492</v>
      </c>
      <c r="E554" s="105">
        <v>404</v>
      </c>
      <c r="F554" s="101">
        <v>38622.480000000003</v>
      </c>
      <c r="G554" s="5" t="s">
        <v>129</v>
      </c>
      <c r="H554" s="105">
        <v>4098</v>
      </c>
      <c r="I554" s="105">
        <v>30717862453</v>
      </c>
      <c r="J554" s="5" t="s">
        <v>130</v>
      </c>
      <c r="K554" s="101">
        <f>+K553+Tabla6[[#This Row],[IMPORTE]]</f>
        <v>61605002.8299997</v>
      </c>
      <c r="L554" s="5" t="s">
        <v>227</v>
      </c>
      <c r="M554" s="133" t="s">
        <v>100</v>
      </c>
    </row>
    <row r="555" spans="2:13" x14ac:dyDescent="0.35">
      <c r="B555" s="4" t="s">
        <v>117</v>
      </c>
      <c r="C555" s="104" t="s">
        <v>143</v>
      </c>
      <c r="D555" s="105">
        <v>651996</v>
      </c>
      <c r="E555" s="105">
        <v>404</v>
      </c>
      <c r="F555" s="101">
        <v>38622.480000000003</v>
      </c>
      <c r="G555" s="5" t="s">
        <v>129</v>
      </c>
      <c r="H555" s="105">
        <v>4098</v>
      </c>
      <c r="I555" s="105">
        <v>30717862453</v>
      </c>
      <c r="J555" s="5" t="s">
        <v>130</v>
      </c>
      <c r="K555" s="101">
        <f>+K554+Tabla6[[#This Row],[IMPORTE]]</f>
        <v>61643625.309999697</v>
      </c>
      <c r="L555" s="5" t="s">
        <v>227</v>
      </c>
      <c r="M555" s="133" t="s">
        <v>100</v>
      </c>
    </row>
    <row r="556" spans="2:13" x14ac:dyDescent="0.35">
      <c r="B556" s="4" t="s">
        <v>117</v>
      </c>
      <c r="C556" s="104" t="s">
        <v>143</v>
      </c>
      <c r="D556" s="105">
        <v>672019</v>
      </c>
      <c r="E556" s="105">
        <v>404</v>
      </c>
      <c r="F556" s="101">
        <v>38622.480000000003</v>
      </c>
      <c r="G556" s="5" t="s">
        <v>129</v>
      </c>
      <c r="H556" s="105">
        <v>4098</v>
      </c>
      <c r="I556" s="105">
        <v>30717862453</v>
      </c>
      <c r="J556" s="5" t="s">
        <v>130</v>
      </c>
      <c r="K556" s="101">
        <f>+K555+Tabla6[[#This Row],[IMPORTE]]</f>
        <v>61682247.789999694</v>
      </c>
      <c r="L556" s="5" t="s">
        <v>227</v>
      </c>
      <c r="M556" s="133" t="s">
        <v>100</v>
      </c>
    </row>
    <row r="557" spans="2:13" x14ac:dyDescent="0.35">
      <c r="B557" s="4" t="s">
        <v>117</v>
      </c>
      <c r="C557" s="104" t="s">
        <v>143</v>
      </c>
      <c r="D557" s="105">
        <v>681686</v>
      </c>
      <c r="E557" s="105">
        <v>404</v>
      </c>
      <c r="F557" s="101">
        <v>38622.480000000003</v>
      </c>
      <c r="G557" s="5" t="s">
        <v>129</v>
      </c>
      <c r="H557" s="105">
        <v>4098</v>
      </c>
      <c r="I557" s="105">
        <v>30717862453</v>
      </c>
      <c r="J557" s="5" t="s">
        <v>130</v>
      </c>
      <c r="K557" s="101">
        <f>+K556+Tabla6[[#This Row],[IMPORTE]]</f>
        <v>61720870.26999969</v>
      </c>
      <c r="L557" s="5" t="s">
        <v>227</v>
      </c>
      <c r="M557" s="133" t="s">
        <v>100</v>
      </c>
    </row>
    <row r="558" spans="2:13" x14ac:dyDescent="0.35">
      <c r="B558" s="4" t="s">
        <v>117</v>
      </c>
      <c r="C558" s="104" t="s">
        <v>143</v>
      </c>
      <c r="D558" s="105">
        <v>683909</v>
      </c>
      <c r="E558" s="105">
        <v>404</v>
      </c>
      <c r="F558" s="101">
        <v>38622.480000000003</v>
      </c>
      <c r="G558" s="5" t="s">
        <v>129</v>
      </c>
      <c r="H558" s="105">
        <v>4098</v>
      </c>
      <c r="I558" s="105">
        <v>30717862453</v>
      </c>
      <c r="J558" s="5" t="s">
        <v>130</v>
      </c>
      <c r="K558" s="101">
        <f>+K557+Tabla6[[#This Row],[IMPORTE]]</f>
        <v>61759492.749999687</v>
      </c>
      <c r="L558" s="5" t="s">
        <v>227</v>
      </c>
      <c r="M558" s="133" t="s">
        <v>100</v>
      </c>
    </row>
    <row r="559" spans="2:13" x14ac:dyDescent="0.35">
      <c r="B559" s="4" t="s">
        <v>117</v>
      </c>
      <c r="C559" s="104" t="s">
        <v>143</v>
      </c>
      <c r="D559" s="105">
        <v>703412</v>
      </c>
      <c r="E559" s="105">
        <v>404</v>
      </c>
      <c r="F559" s="101">
        <v>38622.480000000003</v>
      </c>
      <c r="G559" s="5" t="s">
        <v>129</v>
      </c>
      <c r="H559" s="105">
        <v>4098</v>
      </c>
      <c r="I559" s="105">
        <v>30717862453</v>
      </c>
      <c r="J559" s="5" t="s">
        <v>130</v>
      </c>
      <c r="K559" s="101">
        <f>+K558+Tabla6[[#This Row],[IMPORTE]]</f>
        <v>61798115.229999684</v>
      </c>
      <c r="L559" s="5" t="s">
        <v>227</v>
      </c>
      <c r="M559" s="133" t="s">
        <v>100</v>
      </c>
    </row>
    <row r="560" spans="2:13" x14ac:dyDescent="0.35">
      <c r="B560" s="4" t="s">
        <v>117</v>
      </c>
      <c r="C560" s="104" t="s">
        <v>143</v>
      </c>
      <c r="D560" s="105">
        <v>742358</v>
      </c>
      <c r="E560" s="105">
        <v>404</v>
      </c>
      <c r="F560" s="101">
        <v>38622.480000000003</v>
      </c>
      <c r="G560" s="5" t="s">
        <v>129</v>
      </c>
      <c r="H560" s="105">
        <v>4098</v>
      </c>
      <c r="I560" s="105">
        <v>30717862453</v>
      </c>
      <c r="J560" s="5" t="s">
        <v>130</v>
      </c>
      <c r="K560" s="101">
        <f>+K559+Tabla6[[#This Row],[IMPORTE]]</f>
        <v>61836737.709999681</v>
      </c>
      <c r="L560" s="5" t="s">
        <v>227</v>
      </c>
      <c r="M560" s="133" t="s">
        <v>100</v>
      </c>
    </row>
    <row r="561" spans="2:13" x14ac:dyDescent="0.35">
      <c r="B561" s="4" t="s">
        <v>117</v>
      </c>
      <c r="C561" s="104" t="s">
        <v>143</v>
      </c>
      <c r="D561" s="105">
        <v>746611</v>
      </c>
      <c r="E561" s="105">
        <v>404</v>
      </c>
      <c r="F561" s="101">
        <v>38622.480000000003</v>
      </c>
      <c r="G561" s="5" t="s">
        <v>129</v>
      </c>
      <c r="H561" s="105">
        <v>4098</v>
      </c>
      <c r="I561" s="105">
        <v>30717862453</v>
      </c>
      <c r="J561" s="5" t="s">
        <v>130</v>
      </c>
      <c r="K561" s="101">
        <f>+K560+Tabla6[[#This Row],[IMPORTE]]</f>
        <v>61875360.189999677</v>
      </c>
      <c r="L561" s="5" t="s">
        <v>227</v>
      </c>
      <c r="M561" s="133" t="s">
        <v>100</v>
      </c>
    </row>
    <row r="562" spans="2:13" x14ac:dyDescent="0.35">
      <c r="B562" s="4" t="s">
        <v>117</v>
      </c>
      <c r="C562" s="104" t="s">
        <v>143</v>
      </c>
      <c r="D562" s="105">
        <v>755733</v>
      </c>
      <c r="E562" s="105">
        <v>404</v>
      </c>
      <c r="F562" s="101">
        <v>38622.480000000003</v>
      </c>
      <c r="G562" s="5" t="s">
        <v>129</v>
      </c>
      <c r="H562" s="105">
        <v>4098</v>
      </c>
      <c r="I562" s="105">
        <v>30717862453</v>
      </c>
      <c r="J562" s="5" t="s">
        <v>130</v>
      </c>
      <c r="K562" s="101">
        <f>+K561+Tabla6[[#This Row],[IMPORTE]]</f>
        <v>61913982.669999674</v>
      </c>
      <c r="L562" s="5" t="s">
        <v>227</v>
      </c>
      <c r="M562" s="133" t="s">
        <v>100</v>
      </c>
    </row>
    <row r="563" spans="2:13" x14ac:dyDescent="0.35">
      <c r="B563" s="4" t="s">
        <v>117</v>
      </c>
      <c r="C563" s="104" t="s">
        <v>143</v>
      </c>
      <c r="D563" s="105">
        <v>781089</v>
      </c>
      <c r="E563" s="105">
        <v>404</v>
      </c>
      <c r="F563" s="101">
        <v>38622.480000000003</v>
      </c>
      <c r="G563" s="5" t="s">
        <v>129</v>
      </c>
      <c r="H563" s="105">
        <v>4098</v>
      </c>
      <c r="I563" s="105">
        <v>30717862453</v>
      </c>
      <c r="J563" s="5" t="s">
        <v>130</v>
      </c>
      <c r="K563" s="101">
        <f>+K562+Tabla6[[#This Row],[IMPORTE]]</f>
        <v>61952605.149999671</v>
      </c>
      <c r="L563" s="5" t="s">
        <v>227</v>
      </c>
      <c r="M563" s="133" t="s">
        <v>100</v>
      </c>
    </row>
    <row r="564" spans="2:13" x14ac:dyDescent="0.35">
      <c r="B564" s="4" t="s">
        <v>117</v>
      </c>
      <c r="C564" s="104" t="s">
        <v>143</v>
      </c>
      <c r="D564" s="105">
        <v>809500</v>
      </c>
      <c r="E564" s="105">
        <v>404</v>
      </c>
      <c r="F564" s="101">
        <v>38622.480000000003</v>
      </c>
      <c r="G564" s="5" t="s">
        <v>129</v>
      </c>
      <c r="H564" s="105">
        <v>4098</v>
      </c>
      <c r="I564" s="105">
        <v>30717862453</v>
      </c>
      <c r="J564" s="5" t="s">
        <v>130</v>
      </c>
      <c r="K564" s="101">
        <f>+K563+Tabla6[[#This Row],[IMPORTE]]</f>
        <v>61991227.629999667</v>
      </c>
      <c r="L564" s="5" t="s">
        <v>227</v>
      </c>
      <c r="M564" s="133" t="s">
        <v>100</v>
      </c>
    </row>
    <row r="565" spans="2:13" x14ac:dyDescent="0.35">
      <c r="B565" s="4" t="s">
        <v>117</v>
      </c>
      <c r="C565" s="104" t="s">
        <v>143</v>
      </c>
      <c r="D565" s="105">
        <v>853562</v>
      </c>
      <c r="E565" s="105">
        <v>404</v>
      </c>
      <c r="F565" s="101">
        <v>38622.480000000003</v>
      </c>
      <c r="G565" s="5" t="s">
        <v>129</v>
      </c>
      <c r="H565" s="105">
        <v>4098</v>
      </c>
      <c r="I565" s="105">
        <v>30717862453</v>
      </c>
      <c r="J565" s="5" t="s">
        <v>130</v>
      </c>
      <c r="K565" s="101">
        <f>+K564+Tabla6[[#This Row],[IMPORTE]]</f>
        <v>62029850.109999664</v>
      </c>
      <c r="L565" s="5" t="s">
        <v>227</v>
      </c>
      <c r="M565" s="133" t="s">
        <v>100</v>
      </c>
    </row>
    <row r="566" spans="2:13" x14ac:dyDescent="0.35">
      <c r="B566" s="4" t="s">
        <v>117</v>
      </c>
      <c r="C566" s="104" t="s">
        <v>143</v>
      </c>
      <c r="D566" s="105">
        <v>858031</v>
      </c>
      <c r="E566" s="105">
        <v>404</v>
      </c>
      <c r="F566" s="101">
        <v>38622.480000000003</v>
      </c>
      <c r="G566" s="5" t="s">
        <v>129</v>
      </c>
      <c r="H566" s="105">
        <v>4098</v>
      </c>
      <c r="I566" s="105">
        <v>30717862453</v>
      </c>
      <c r="J566" s="5" t="s">
        <v>130</v>
      </c>
      <c r="K566" s="101">
        <f>+K565+Tabla6[[#This Row],[IMPORTE]]</f>
        <v>62068472.589999661</v>
      </c>
      <c r="L566" s="5" t="s">
        <v>227</v>
      </c>
      <c r="M566" s="133" t="s">
        <v>100</v>
      </c>
    </row>
    <row r="567" spans="2:13" x14ac:dyDescent="0.35">
      <c r="B567" s="4" t="s">
        <v>117</v>
      </c>
      <c r="C567" s="104" t="s">
        <v>143</v>
      </c>
      <c r="D567" s="105">
        <v>863786</v>
      </c>
      <c r="E567" s="105">
        <v>404</v>
      </c>
      <c r="F567" s="101">
        <v>38622.480000000003</v>
      </c>
      <c r="G567" s="5" t="s">
        <v>129</v>
      </c>
      <c r="H567" s="105">
        <v>4098</v>
      </c>
      <c r="I567" s="105">
        <v>30717862453</v>
      </c>
      <c r="J567" s="5" t="s">
        <v>130</v>
      </c>
      <c r="K567" s="101">
        <f>+K566+Tabla6[[#This Row],[IMPORTE]]</f>
        <v>62107095.069999658</v>
      </c>
      <c r="L567" s="5" t="s">
        <v>227</v>
      </c>
      <c r="M567" s="133" t="s">
        <v>100</v>
      </c>
    </row>
    <row r="568" spans="2:13" x14ac:dyDescent="0.35">
      <c r="B568" s="4" t="s">
        <v>117</v>
      </c>
      <c r="C568" s="104" t="s">
        <v>143</v>
      </c>
      <c r="D568" s="105">
        <v>872865</v>
      </c>
      <c r="E568" s="105">
        <v>404</v>
      </c>
      <c r="F568" s="101">
        <v>38622.480000000003</v>
      </c>
      <c r="G568" s="5" t="s">
        <v>129</v>
      </c>
      <c r="H568" s="105">
        <v>4098</v>
      </c>
      <c r="I568" s="105">
        <v>30717862453</v>
      </c>
      <c r="J568" s="5" t="s">
        <v>130</v>
      </c>
      <c r="K568" s="101">
        <f>+K567+Tabla6[[#This Row],[IMPORTE]]</f>
        <v>62145717.549999654</v>
      </c>
      <c r="L568" s="5" t="s">
        <v>227</v>
      </c>
      <c r="M568" s="133" t="s">
        <v>100</v>
      </c>
    </row>
    <row r="569" spans="2:13" x14ac:dyDescent="0.35">
      <c r="B569" s="4" t="s">
        <v>117</v>
      </c>
      <c r="C569" s="104" t="s">
        <v>143</v>
      </c>
      <c r="D569" s="105">
        <v>937060</v>
      </c>
      <c r="E569" s="105">
        <v>404</v>
      </c>
      <c r="F569" s="101">
        <v>38622.480000000003</v>
      </c>
      <c r="G569" s="5" t="s">
        <v>129</v>
      </c>
      <c r="H569" s="105">
        <v>4098</v>
      </c>
      <c r="I569" s="105">
        <v>30717862453</v>
      </c>
      <c r="J569" s="5" t="s">
        <v>130</v>
      </c>
      <c r="K569" s="101">
        <f>+K568+Tabla6[[#This Row],[IMPORTE]]</f>
        <v>62184340.029999651</v>
      </c>
      <c r="L569" s="5" t="s">
        <v>227</v>
      </c>
      <c r="M569" s="133" t="s">
        <v>100</v>
      </c>
    </row>
    <row r="570" spans="2:13" x14ac:dyDescent="0.35">
      <c r="B570" s="4" t="s">
        <v>117</v>
      </c>
      <c r="C570" s="104" t="s">
        <v>143</v>
      </c>
      <c r="D570" s="105">
        <v>958253</v>
      </c>
      <c r="E570" s="105">
        <v>404</v>
      </c>
      <c r="F570" s="101">
        <v>38622.480000000003</v>
      </c>
      <c r="G570" s="5" t="s">
        <v>129</v>
      </c>
      <c r="H570" s="105">
        <v>4098</v>
      </c>
      <c r="I570" s="105">
        <v>30717862453</v>
      </c>
      <c r="J570" s="5" t="s">
        <v>130</v>
      </c>
      <c r="K570" s="101">
        <f>+K569+Tabla6[[#This Row],[IMPORTE]]</f>
        <v>62222962.509999648</v>
      </c>
      <c r="L570" s="5" t="s">
        <v>227</v>
      </c>
      <c r="M570" s="133" t="s">
        <v>100</v>
      </c>
    </row>
    <row r="571" spans="2:13" x14ac:dyDescent="0.35">
      <c r="B571" s="4" t="s">
        <v>117</v>
      </c>
      <c r="C571" s="104" t="s">
        <v>143</v>
      </c>
      <c r="D571" s="105">
        <v>973924</v>
      </c>
      <c r="E571" s="105">
        <v>404</v>
      </c>
      <c r="F571" s="101">
        <v>38622.480000000003</v>
      </c>
      <c r="G571" s="5" t="s">
        <v>129</v>
      </c>
      <c r="H571" s="105">
        <v>4098</v>
      </c>
      <c r="I571" s="105">
        <v>30717862453</v>
      </c>
      <c r="J571" s="5" t="s">
        <v>130</v>
      </c>
      <c r="K571" s="101">
        <f>+K570+Tabla6[[#This Row],[IMPORTE]]</f>
        <v>62261584.989999644</v>
      </c>
      <c r="L571" s="5" t="s">
        <v>227</v>
      </c>
      <c r="M571" s="133" t="s">
        <v>100</v>
      </c>
    </row>
    <row r="572" spans="2:13" x14ac:dyDescent="0.35">
      <c r="B572" s="4" t="s">
        <v>117</v>
      </c>
      <c r="C572" s="104" t="s">
        <v>143</v>
      </c>
      <c r="D572" s="105">
        <v>407979</v>
      </c>
      <c r="E572" s="105">
        <v>404</v>
      </c>
      <c r="F572" s="101">
        <v>44623.82</v>
      </c>
      <c r="G572" s="5" t="s">
        <v>129</v>
      </c>
      <c r="H572" s="105">
        <v>4098</v>
      </c>
      <c r="I572" s="105">
        <v>30717862453</v>
      </c>
      <c r="J572" s="5" t="s">
        <v>130</v>
      </c>
      <c r="K572" s="101">
        <f>+K571+Tabla6[[#This Row],[IMPORTE]]</f>
        <v>62306208.809999645</v>
      </c>
      <c r="L572" s="5" t="s">
        <v>227</v>
      </c>
      <c r="M572" s="133" t="s">
        <v>100</v>
      </c>
    </row>
    <row r="573" spans="2:13" x14ac:dyDescent="0.35">
      <c r="B573" s="4" t="s">
        <v>117</v>
      </c>
      <c r="C573" s="104" t="s">
        <v>143</v>
      </c>
      <c r="D573" s="105">
        <v>741514</v>
      </c>
      <c r="E573" s="105">
        <v>404</v>
      </c>
      <c r="F573" s="101">
        <v>44623.82</v>
      </c>
      <c r="G573" s="5" t="s">
        <v>129</v>
      </c>
      <c r="H573" s="105">
        <v>4098</v>
      </c>
      <c r="I573" s="105">
        <v>30717862453</v>
      </c>
      <c r="J573" s="5" t="s">
        <v>130</v>
      </c>
      <c r="K573" s="101">
        <f>+K572+Tabla6[[#This Row],[IMPORTE]]</f>
        <v>62350832.629999645</v>
      </c>
      <c r="L573" s="5" t="s">
        <v>227</v>
      </c>
      <c r="M573" s="133" t="s">
        <v>100</v>
      </c>
    </row>
    <row r="574" spans="2:13" x14ac:dyDescent="0.35">
      <c r="B574" s="4" t="s">
        <v>117</v>
      </c>
      <c r="C574" s="104" t="s">
        <v>143</v>
      </c>
      <c r="D574" s="105">
        <v>326609</v>
      </c>
      <c r="E574" s="105">
        <v>404</v>
      </c>
      <c r="F574" s="101">
        <v>47634.39</v>
      </c>
      <c r="G574" s="5" t="s">
        <v>129</v>
      </c>
      <c r="H574" s="105">
        <v>4098</v>
      </c>
      <c r="I574" s="105">
        <v>30717862453</v>
      </c>
      <c r="J574" s="5" t="s">
        <v>130</v>
      </c>
      <c r="K574" s="101">
        <f>+K573+Tabla6[[#This Row],[IMPORTE]]</f>
        <v>62398467.019999646</v>
      </c>
      <c r="L574" s="5" t="s">
        <v>227</v>
      </c>
      <c r="M574" s="133" t="s">
        <v>100</v>
      </c>
    </row>
    <row r="575" spans="2:13" x14ac:dyDescent="0.35">
      <c r="B575" s="4" t="s">
        <v>117</v>
      </c>
      <c r="C575" s="104" t="s">
        <v>143</v>
      </c>
      <c r="D575" s="105">
        <v>345561</v>
      </c>
      <c r="E575" s="105">
        <v>404</v>
      </c>
      <c r="F575" s="101">
        <v>47634.39</v>
      </c>
      <c r="G575" s="5" t="s">
        <v>129</v>
      </c>
      <c r="H575" s="105">
        <v>4098</v>
      </c>
      <c r="I575" s="105">
        <v>30717862453</v>
      </c>
      <c r="J575" s="5" t="s">
        <v>130</v>
      </c>
      <c r="K575" s="101">
        <f>+K574+Tabla6[[#This Row],[IMPORTE]]</f>
        <v>62446101.409999646</v>
      </c>
      <c r="L575" s="5" t="s">
        <v>227</v>
      </c>
      <c r="M575" s="133" t="s">
        <v>100</v>
      </c>
    </row>
    <row r="576" spans="2:13" x14ac:dyDescent="0.35">
      <c r="B576" s="4" t="s">
        <v>117</v>
      </c>
      <c r="C576" s="104" t="s">
        <v>143</v>
      </c>
      <c r="D576" s="105">
        <v>47275</v>
      </c>
      <c r="E576" s="105">
        <v>404</v>
      </c>
      <c r="F576" s="101">
        <v>51496.639999999999</v>
      </c>
      <c r="G576" s="5" t="s">
        <v>129</v>
      </c>
      <c r="H576" s="105">
        <v>4098</v>
      </c>
      <c r="I576" s="105">
        <v>30717862453</v>
      </c>
      <c r="J576" s="5" t="s">
        <v>130</v>
      </c>
      <c r="K576" s="101">
        <f>+K575+Tabla6[[#This Row],[IMPORTE]]</f>
        <v>62497598.049999647</v>
      </c>
      <c r="L576" s="5" t="s">
        <v>227</v>
      </c>
      <c r="M576" s="133" t="s">
        <v>100</v>
      </c>
    </row>
    <row r="577" spans="2:13" x14ac:dyDescent="0.35">
      <c r="B577" s="4" t="s">
        <v>117</v>
      </c>
      <c r="C577" s="104" t="s">
        <v>143</v>
      </c>
      <c r="D577" s="105">
        <v>79055</v>
      </c>
      <c r="E577" s="105">
        <v>404</v>
      </c>
      <c r="F577" s="101">
        <v>51496.639999999999</v>
      </c>
      <c r="G577" s="5" t="s">
        <v>129</v>
      </c>
      <c r="H577" s="105">
        <v>4098</v>
      </c>
      <c r="I577" s="105">
        <v>30717862453</v>
      </c>
      <c r="J577" s="5" t="s">
        <v>130</v>
      </c>
      <c r="K577" s="101">
        <f>+K576+Tabla6[[#This Row],[IMPORTE]]</f>
        <v>62549094.689999647</v>
      </c>
      <c r="L577" s="5" t="s">
        <v>227</v>
      </c>
      <c r="M577" s="133" t="s">
        <v>100</v>
      </c>
    </row>
    <row r="578" spans="2:13" x14ac:dyDescent="0.35">
      <c r="B578" s="4" t="s">
        <v>117</v>
      </c>
      <c r="C578" s="104" t="s">
        <v>143</v>
      </c>
      <c r="D578" s="105">
        <v>94431</v>
      </c>
      <c r="E578" s="105">
        <v>404</v>
      </c>
      <c r="F578" s="101">
        <v>51496.639999999999</v>
      </c>
      <c r="G578" s="5" t="s">
        <v>129</v>
      </c>
      <c r="H578" s="105">
        <v>4098</v>
      </c>
      <c r="I578" s="105">
        <v>30717862453</v>
      </c>
      <c r="J578" s="5" t="s">
        <v>130</v>
      </c>
      <c r="K578" s="101">
        <f>+K577+Tabla6[[#This Row],[IMPORTE]]</f>
        <v>62600591.329999648</v>
      </c>
      <c r="L578" s="5" t="s">
        <v>227</v>
      </c>
      <c r="M578" s="133" t="s">
        <v>100</v>
      </c>
    </row>
    <row r="579" spans="2:13" x14ac:dyDescent="0.35">
      <c r="B579" s="4" t="s">
        <v>117</v>
      </c>
      <c r="C579" s="104" t="s">
        <v>143</v>
      </c>
      <c r="D579" s="105">
        <v>213077</v>
      </c>
      <c r="E579" s="105">
        <v>404</v>
      </c>
      <c r="F579" s="101">
        <v>51496.639999999999</v>
      </c>
      <c r="G579" s="5" t="s">
        <v>129</v>
      </c>
      <c r="H579" s="105">
        <v>4098</v>
      </c>
      <c r="I579" s="105">
        <v>30717862453</v>
      </c>
      <c r="J579" s="5" t="s">
        <v>130</v>
      </c>
      <c r="K579" s="101">
        <f>+K578+Tabla6[[#This Row],[IMPORTE]]</f>
        <v>62652087.969999649</v>
      </c>
      <c r="L579" s="5" t="s">
        <v>227</v>
      </c>
      <c r="M579" s="133" t="s">
        <v>100</v>
      </c>
    </row>
    <row r="580" spans="2:13" x14ac:dyDescent="0.35">
      <c r="B580" s="4" t="s">
        <v>117</v>
      </c>
      <c r="C580" s="104" t="s">
        <v>143</v>
      </c>
      <c r="D580" s="105">
        <v>270044</v>
      </c>
      <c r="E580" s="105">
        <v>404</v>
      </c>
      <c r="F580" s="101">
        <v>51496.639999999999</v>
      </c>
      <c r="G580" s="5" t="s">
        <v>129</v>
      </c>
      <c r="H580" s="105">
        <v>4098</v>
      </c>
      <c r="I580" s="105">
        <v>30717862453</v>
      </c>
      <c r="J580" s="5" t="s">
        <v>130</v>
      </c>
      <c r="K580" s="101">
        <f>+K579+Tabla6[[#This Row],[IMPORTE]]</f>
        <v>62703584.609999649</v>
      </c>
      <c r="L580" s="5" t="s">
        <v>227</v>
      </c>
      <c r="M580" s="133" t="s">
        <v>100</v>
      </c>
    </row>
    <row r="581" spans="2:13" x14ac:dyDescent="0.35">
      <c r="B581" s="4" t="s">
        <v>117</v>
      </c>
      <c r="C581" s="104" t="s">
        <v>143</v>
      </c>
      <c r="D581" s="105">
        <v>296631</v>
      </c>
      <c r="E581" s="105">
        <v>404</v>
      </c>
      <c r="F581" s="101">
        <v>51496.639999999999</v>
      </c>
      <c r="G581" s="5" t="s">
        <v>129</v>
      </c>
      <c r="H581" s="105">
        <v>4098</v>
      </c>
      <c r="I581" s="105">
        <v>30717862453</v>
      </c>
      <c r="J581" s="5" t="s">
        <v>130</v>
      </c>
      <c r="K581" s="101">
        <f>+K580+Tabla6[[#This Row],[IMPORTE]]</f>
        <v>62755081.24999965</v>
      </c>
      <c r="L581" s="5" t="s">
        <v>227</v>
      </c>
      <c r="M581" s="133" t="s">
        <v>100</v>
      </c>
    </row>
    <row r="582" spans="2:13" x14ac:dyDescent="0.35">
      <c r="B582" s="4" t="s">
        <v>117</v>
      </c>
      <c r="C582" s="104" t="s">
        <v>143</v>
      </c>
      <c r="D582" s="105">
        <v>342583</v>
      </c>
      <c r="E582" s="105">
        <v>404</v>
      </c>
      <c r="F582" s="101">
        <v>51496.639999999999</v>
      </c>
      <c r="G582" s="5" t="s">
        <v>129</v>
      </c>
      <c r="H582" s="105">
        <v>4098</v>
      </c>
      <c r="I582" s="105">
        <v>30717862453</v>
      </c>
      <c r="J582" s="5" t="s">
        <v>130</v>
      </c>
      <c r="K582" s="101">
        <f>+K581+Tabla6[[#This Row],[IMPORTE]]</f>
        <v>62806577.88999965</v>
      </c>
      <c r="L582" s="5" t="s">
        <v>227</v>
      </c>
      <c r="M582" s="133" t="s">
        <v>100</v>
      </c>
    </row>
    <row r="583" spans="2:13" x14ac:dyDescent="0.35">
      <c r="B583" s="4" t="s">
        <v>117</v>
      </c>
      <c r="C583" s="104" t="s">
        <v>143</v>
      </c>
      <c r="D583" s="105">
        <v>347614</v>
      </c>
      <c r="E583" s="105">
        <v>404</v>
      </c>
      <c r="F583" s="101">
        <v>51496.639999999999</v>
      </c>
      <c r="G583" s="5" t="s">
        <v>129</v>
      </c>
      <c r="H583" s="105">
        <v>4098</v>
      </c>
      <c r="I583" s="105">
        <v>30717862453</v>
      </c>
      <c r="J583" s="5" t="s">
        <v>130</v>
      </c>
      <c r="K583" s="101">
        <f>+K582+Tabla6[[#This Row],[IMPORTE]]</f>
        <v>62858074.529999651</v>
      </c>
      <c r="L583" s="5" t="s">
        <v>227</v>
      </c>
      <c r="M583" s="133" t="s">
        <v>100</v>
      </c>
    </row>
    <row r="584" spans="2:13" x14ac:dyDescent="0.35">
      <c r="B584" s="4" t="s">
        <v>117</v>
      </c>
      <c r="C584" s="104" t="s">
        <v>143</v>
      </c>
      <c r="D584" s="105">
        <v>725218</v>
      </c>
      <c r="E584" s="105">
        <v>404</v>
      </c>
      <c r="F584" s="101">
        <v>51496.639999999999</v>
      </c>
      <c r="G584" s="5" t="s">
        <v>129</v>
      </c>
      <c r="H584" s="105">
        <v>4098</v>
      </c>
      <c r="I584" s="105">
        <v>30717862453</v>
      </c>
      <c r="J584" s="5" t="s">
        <v>130</v>
      </c>
      <c r="K584" s="101">
        <f>+K583+Tabla6[[#This Row],[IMPORTE]]</f>
        <v>62909571.169999652</v>
      </c>
      <c r="L584" s="5" t="s">
        <v>227</v>
      </c>
      <c r="M584" s="133" t="s">
        <v>100</v>
      </c>
    </row>
    <row r="585" spans="2:13" x14ac:dyDescent="0.35">
      <c r="B585" s="4" t="s">
        <v>117</v>
      </c>
      <c r="C585" s="104" t="s">
        <v>143</v>
      </c>
      <c r="D585" s="105">
        <v>767691</v>
      </c>
      <c r="E585" s="105">
        <v>404</v>
      </c>
      <c r="F585" s="101">
        <v>51496.639999999999</v>
      </c>
      <c r="G585" s="5" t="s">
        <v>129</v>
      </c>
      <c r="H585" s="105">
        <v>4098</v>
      </c>
      <c r="I585" s="105">
        <v>30717862453</v>
      </c>
      <c r="J585" s="5" t="s">
        <v>130</v>
      </c>
      <c r="K585" s="101">
        <f>+K584+Tabla6[[#This Row],[IMPORTE]]</f>
        <v>62961067.809999652</v>
      </c>
      <c r="L585" s="5" t="s">
        <v>227</v>
      </c>
      <c r="M585" s="133" t="s">
        <v>100</v>
      </c>
    </row>
    <row r="586" spans="2:13" x14ac:dyDescent="0.35">
      <c r="B586" s="4" t="s">
        <v>117</v>
      </c>
      <c r="C586" s="104" t="s">
        <v>143</v>
      </c>
      <c r="D586" s="105">
        <v>795018</v>
      </c>
      <c r="E586" s="105">
        <v>404</v>
      </c>
      <c r="F586" s="101">
        <v>51496.639999999999</v>
      </c>
      <c r="G586" s="5" t="s">
        <v>129</v>
      </c>
      <c r="H586" s="105">
        <v>4098</v>
      </c>
      <c r="I586" s="105">
        <v>30717862453</v>
      </c>
      <c r="J586" s="5" t="s">
        <v>130</v>
      </c>
      <c r="K586" s="101">
        <f>+K585+Tabla6[[#This Row],[IMPORTE]]</f>
        <v>63012564.449999653</v>
      </c>
      <c r="L586" s="5" t="s">
        <v>227</v>
      </c>
      <c r="M586" s="133" t="s">
        <v>100</v>
      </c>
    </row>
    <row r="587" spans="2:13" x14ac:dyDescent="0.35">
      <c r="B587" s="4" t="s">
        <v>117</v>
      </c>
      <c r="C587" s="104" t="s">
        <v>143</v>
      </c>
      <c r="D587" s="105">
        <v>848577</v>
      </c>
      <c r="E587" s="105">
        <v>404</v>
      </c>
      <c r="F587" s="101">
        <v>51496.639999999999</v>
      </c>
      <c r="G587" s="5" t="s">
        <v>129</v>
      </c>
      <c r="H587" s="105">
        <v>4098</v>
      </c>
      <c r="I587" s="105">
        <v>30717862453</v>
      </c>
      <c r="J587" s="5" t="s">
        <v>130</v>
      </c>
      <c r="K587" s="101">
        <f>+K586+Tabla6[[#This Row],[IMPORTE]]</f>
        <v>63064061.089999653</v>
      </c>
      <c r="L587" s="5" t="s">
        <v>227</v>
      </c>
      <c r="M587" s="133" t="s">
        <v>100</v>
      </c>
    </row>
    <row r="588" spans="2:13" x14ac:dyDescent="0.35">
      <c r="B588" s="4" t="s">
        <v>117</v>
      </c>
      <c r="C588" s="104" t="s">
        <v>143</v>
      </c>
      <c r="D588" s="105">
        <v>878455</v>
      </c>
      <c r="E588" s="105">
        <v>404</v>
      </c>
      <c r="F588" s="101">
        <v>51496.639999999999</v>
      </c>
      <c r="G588" s="5" t="s">
        <v>129</v>
      </c>
      <c r="H588" s="105">
        <v>4098</v>
      </c>
      <c r="I588" s="105">
        <v>30717862453</v>
      </c>
      <c r="J588" s="5" t="s">
        <v>130</v>
      </c>
      <c r="K588" s="101">
        <f>+K587+Tabla6[[#This Row],[IMPORTE]]</f>
        <v>63115557.729999654</v>
      </c>
      <c r="L588" s="5" t="s">
        <v>227</v>
      </c>
      <c r="M588" s="133" t="s">
        <v>100</v>
      </c>
    </row>
    <row r="589" spans="2:13" x14ac:dyDescent="0.35">
      <c r="B589" s="4" t="s">
        <v>117</v>
      </c>
      <c r="C589" s="104" t="s">
        <v>143</v>
      </c>
      <c r="D589" s="105">
        <v>886776</v>
      </c>
      <c r="E589" s="105">
        <v>404</v>
      </c>
      <c r="F589" s="101">
        <v>51496.639999999999</v>
      </c>
      <c r="G589" s="5" t="s">
        <v>129</v>
      </c>
      <c r="H589" s="105">
        <v>4098</v>
      </c>
      <c r="I589" s="105">
        <v>30717862453</v>
      </c>
      <c r="J589" s="5" t="s">
        <v>130</v>
      </c>
      <c r="K589" s="101">
        <f>+K588+Tabla6[[#This Row],[IMPORTE]]</f>
        <v>63167054.369999655</v>
      </c>
      <c r="L589" s="5" t="s">
        <v>227</v>
      </c>
      <c r="M589" s="133" t="s">
        <v>100</v>
      </c>
    </row>
    <row r="590" spans="2:13" x14ac:dyDescent="0.35">
      <c r="B590" s="4" t="s">
        <v>117</v>
      </c>
      <c r="C590" s="104" t="s">
        <v>143</v>
      </c>
      <c r="D590" s="105">
        <v>887679</v>
      </c>
      <c r="E590" s="105">
        <v>404</v>
      </c>
      <c r="F590" s="101">
        <v>51496.639999999999</v>
      </c>
      <c r="G590" s="5" t="s">
        <v>129</v>
      </c>
      <c r="H590" s="105">
        <v>4098</v>
      </c>
      <c r="I590" s="105">
        <v>30717862453</v>
      </c>
      <c r="J590" s="5" t="s">
        <v>130</v>
      </c>
      <c r="K590" s="101">
        <f>+K589+Tabla6[[#This Row],[IMPORTE]]</f>
        <v>63218551.009999655</v>
      </c>
      <c r="L590" s="5" t="s">
        <v>227</v>
      </c>
      <c r="M590" s="133" t="s">
        <v>100</v>
      </c>
    </row>
    <row r="591" spans="2:13" x14ac:dyDescent="0.35">
      <c r="B591" s="4" t="s">
        <v>117</v>
      </c>
      <c r="C591" s="104" t="s">
        <v>143</v>
      </c>
      <c r="D591" s="105">
        <v>733743</v>
      </c>
      <c r="E591" s="105">
        <v>404</v>
      </c>
      <c r="F591" s="101">
        <v>73357.95</v>
      </c>
      <c r="G591" s="5" t="s">
        <v>129</v>
      </c>
      <c r="H591" s="105">
        <v>4098</v>
      </c>
      <c r="I591" s="105">
        <v>30717862453</v>
      </c>
      <c r="J591" s="5" t="s">
        <v>130</v>
      </c>
      <c r="K591" s="101">
        <f>+K590+Tabla6[[#This Row],[IMPORTE]]</f>
        <v>63291908.959999658</v>
      </c>
      <c r="L591" s="5" t="s">
        <v>227</v>
      </c>
      <c r="M591" s="133" t="s">
        <v>100</v>
      </c>
    </row>
    <row r="592" spans="2:13" x14ac:dyDescent="0.35">
      <c r="B592" s="4" t="s">
        <v>117</v>
      </c>
      <c r="C592" s="104" t="s">
        <v>143</v>
      </c>
      <c r="D592" s="105">
        <v>97566</v>
      </c>
      <c r="E592" s="105">
        <v>404</v>
      </c>
      <c r="F592" s="101">
        <v>77244.960000000006</v>
      </c>
      <c r="G592" s="5" t="s">
        <v>129</v>
      </c>
      <c r="H592" s="105">
        <v>4098</v>
      </c>
      <c r="I592" s="105">
        <v>30717862453</v>
      </c>
      <c r="J592" s="5" t="s">
        <v>130</v>
      </c>
      <c r="K592" s="101">
        <f>+K591+Tabla6[[#This Row],[IMPORTE]]</f>
        <v>63369153.919999659</v>
      </c>
      <c r="L592" s="5" t="s">
        <v>227</v>
      </c>
      <c r="M592" s="133" t="s">
        <v>100</v>
      </c>
    </row>
    <row r="593" spans="2:13" x14ac:dyDescent="0.35">
      <c r="B593" s="4" t="s">
        <v>117</v>
      </c>
      <c r="C593" s="104" t="s">
        <v>143</v>
      </c>
      <c r="D593" s="105">
        <v>521987</v>
      </c>
      <c r="E593" s="105">
        <v>404</v>
      </c>
      <c r="F593" s="101">
        <v>77244.960000000006</v>
      </c>
      <c r="G593" s="5" t="s">
        <v>129</v>
      </c>
      <c r="H593" s="105">
        <v>4098</v>
      </c>
      <c r="I593" s="105">
        <v>30717862453</v>
      </c>
      <c r="J593" s="5" t="s">
        <v>130</v>
      </c>
      <c r="K593" s="101">
        <f>+K592+Tabla6[[#This Row],[IMPORTE]]</f>
        <v>63446398.87999966</v>
      </c>
      <c r="L593" s="5" t="s">
        <v>227</v>
      </c>
      <c r="M593" s="133" t="s">
        <v>100</v>
      </c>
    </row>
    <row r="594" spans="2:13" x14ac:dyDescent="0.35">
      <c r="B594" s="4" t="s">
        <v>117</v>
      </c>
      <c r="C594" s="104" t="s">
        <v>143</v>
      </c>
      <c r="D594" s="105">
        <v>837610</v>
      </c>
      <c r="E594" s="105">
        <v>404</v>
      </c>
      <c r="F594" s="101">
        <v>77244.960000000006</v>
      </c>
      <c r="G594" s="5" t="s">
        <v>129</v>
      </c>
      <c r="H594" s="105">
        <v>4098</v>
      </c>
      <c r="I594" s="105">
        <v>30717862453</v>
      </c>
      <c r="J594" s="5" t="s">
        <v>130</v>
      </c>
      <c r="K594" s="101">
        <f>+K593+Tabla6[[#This Row],[IMPORTE]]</f>
        <v>63523643.839999661</v>
      </c>
      <c r="L594" s="5" t="s">
        <v>227</v>
      </c>
      <c r="M594" s="133" t="s">
        <v>100</v>
      </c>
    </row>
    <row r="595" spans="2:13" x14ac:dyDescent="0.35">
      <c r="B595" s="4" t="s">
        <v>117</v>
      </c>
      <c r="C595" s="104" t="s">
        <v>143</v>
      </c>
      <c r="D595" s="105">
        <v>938018</v>
      </c>
      <c r="E595" s="105">
        <v>404</v>
      </c>
      <c r="F595" s="101">
        <v>77244.960000000006</v>
      </c>
      <c r="G595" s="5" t="s">
        <v>129</v>
      </c>
      <c r="H595" s="105">
        <v>4098</v>
      </c>
      <c r="I595" s="105">
        <v>30717862453</v>
      </c>
      <c r="J595" s="5" t="s">
        <v>130</v>
      </c>
      <c r="K595" s="101">
        <f>+K594+Tabla6[[#This Row],[IMPORTE]]</f>
        <v>63600888.799999662</v>
      </c>
      <c r="L595" s="5" t="s">
        <v>227</v>
      </c>
      <c r="M595" s="133" t="s">
        <v>100</v>
      </c>
    </row>
    <row r="596" spans="2:13" x14ac:dyDescent="0.35">
      <c r="B596" s="4" t="s">
        <v>117</v>
      </c>
      <c r="C596" s="104" t="s">
        <v>143</v>
      </c>
      <c r="D596" s="105">
        <v>994678</v>
      </c>
      <c r="E596" s="105">
        <v>404</v>
      </c>
      <c r="F596" s="101">
        <v>77244.960000000006</v>
      </c>
      <c r="G596" s="5" t="s">
        <v>129</v>
      </c>
      <c r="H596" s="105">
        <v>4098</v>
      </c>
      <c r="I596" s="105">
        <v>30717862453</v>
      </c>
      <c r="J596" s="5" t="s">
        <v>130</v>
      </c>
      <c r="K596" s="101">
        <f>+K595+Tabla6[[#This Row],[IMPORTE]]</f>
        <v>63678133.759999663</v>
      </c>
      <c r="L596" s="5" t="s">
        <v>227</v>
      </c>
      <c r="M596" s="133" t="s">
        <v>100</v>
      </c>
    </row>
    <row r="597" spans="2:13" x14ac:dyDescent="0.35">
      <c r="B597" s="4" t="s">
        <v>117</v>
      </c>
      <c r="C597" s="104" t="s">
        <v>143</v>
      </c>
      <c r="D597" s="105">
        <v>994891</v>
      </c>
      <c r="E597" s="105">
        <v>404</v>
      </c>
      <c r="F597" s="101">
        <v>77244.960000000006</v>
      </c>
      <c r="G597" s="5" t="s">
        <v>129</v>
      </c>
      <c r="H597" s="105">
        <v>4098</v>
      </c>
      <c r="I597" s="105">
        <v>30717862453</v>
      </c>
      <c r="J597" s="5" t="s">
        <v>130</v>
      </c>
      <c r="K597" s="101">
        <f>+K596+Tabla6[[#This Row],[IMPORTE]]</f>
        <v>63755378.719999664</v>
      </c>
      <c r="L597" s="5" t="s">
        <v>227</v>
      </c>
      <c r="M597" s="133" t="s">
        <v>100</v>
      </c>
    </row>
    <row r="598" spans="2:13" x14ac:dyDescent="0.35">
      <c r="B598" s="4" t="s">
        <v>117</v>
      </c>
      <c r="C598" s="104" t="s">
        <v>143</v>
      </c>
      <c r="D598" s="105">
        <v>127478</v>
      </c>
      <c r="E598" s="105">
        <v>404</v>
      </c>
      <c r="F598" s="101">
        <v>81528.09</v>
      </c>
      <c r="G598" s="5" t="s">
        <v>129</v>
      </c>
      <c r="H598" s="105">
        <v>4098</v>
      </c>
      <c r="I598" s="105">
        <v>30717862453</v>
      </c>
      <c r="J598" s="5" t="s">
        <v>130</v>
      </c>
      <c r="K598" s="101">
        <f>+K597+Tabla6[[#This Row],[IMPORTE]]</f>
        <v>63836906.809999667</v>
      </c>
      <c r="L598" s="5" t="s">
        <v>227</v>
      </c>
      <c r="M598" s="133" t="s">
        <v>100</v>
      </c>
    </row>
    <row r="599" spans="2:13" x14ac:dyDescent="0.35">
      <c r="B599" s="4" t="s">
        <v>117</v>
      </c>
      <c r="C599" s="104" t="s">
        <v>143</v>
      </c>
      <c r="D599" s="105">
        <v>967522</v>
      </c>
      <c r="E599" s="105">
        <v>404</v>
      </c>
      <c r="F599" s="101">
        <v>102993.28</v>
      </c>
      <c r="G599" s="5" t="s">
        <v>129</v>
      </c>
      <c r="H599" s="105">
        <v>4098</v>
      </c>
      <c r="I599" s="105">
        <v>30717862453</v>
      </c>
      <c r="J599" s="5" t="s">
        <v>130</v>
      </c>
      <c r="K599" s="101">
        <f>+K598+Tabla6[[#This Row],[IMPORTE]]</f>
        <v>63939900.089999668</v>
      </c>
      <c r="L599" s="5" t="s">
        <v>227</v>
      </c>
      <c r="M599" s="133" t="s">
        <v>100</v>
      </c>
    </row>
    <row r="600" spans="2:13" x14ac:dyDescent="0.35">
      <c r="B600" s="4" t="s">
        <v>117</v>
      </c>
      <c r="C600" s="104" t="s">
        <v>143</v>
      </c>
      <c r="D600" s="105">
        <v>802070</v>
      </c>
      <c r="E600" s="105">
        <v>404</v>
      </c>
      <c r="F600" s="101">
        <v>122185.53</v>
      </c>
      <c r="G600" s="5" t="s">
        <v>129</v>
      </c>
      <c r="H600" s="105">
        <v>4098</v>
      </c>
      <c r="I600" s="105">
        <v>30717862453</v>
      </c>
      <c r="J600" s="5" t="s">
        <v>130</v>
      </c>
      <c r="K600" s="101">
        <f>+K599+Tabla6[[#This Row],[IMPORTE]]</f>
        <v>64062085.619999669</v>
      </c>
      <c r="L600" s="5" t="s">
        <v>227</v>
      </c>
      <c r="M600" s="133" t="s">
        <v>100</v>
      </c>
    </row>
    <row r="601" spans="2:13" x14ac:dyDescent="0.35">
      <c r="B601" s="4" t="s">
        <v>117</v>
      </c>
      <c r="C601" s="104" t="s">
        <v>143</v>
      </c>
      <c r="D601" s="105">
        <v>362342</v>
      </c>
      <c r="E601" s="105">
        <v>404</v>
      </c>
      <c r="F601" s="101">
        <v>128741.6</v>
      </c>
      <c r="G601" s="5" t="s">
        <v>129</v>
      </c>
      <c r="H601" s="105">
        <v>4098</v>
      </c>
      <c r="I601" s="105">
        <v>30717862453</v>
      </c>
      <c r="J601" s="5" t="s">
        <v>130</v>
      </c>
      <c r="K601" s="101">
        <f>+K600+Tabla6[[#This Row],[IMPORTE]]</f>
        <v>64190827.219999671</v>
      </c>
      <c r="L601" s="5" t="s">
        <v>227</v>
      </c>
      <c r="M601" s="133" t="s">
        <v>100</v>
      </c>
    </row>
    <row r="602" spans="2:13" x14ac:dyDescent="0.35">
      <c r="B602" s="4" t="s">
        <v>117</v>
      </c>
      <c r="C602" s="104" t="s">
        <v>143</v>
      </c>
      <c r="D602" s="105">
        <v>158018</v>
      </c>
      <c r="E602" s="105">
        <v>404</v>
      </c>
      <c r="F602" s="101">
        <v>149901.72</v>
      </c>
      <c r="G602" s="5" t="s">
        <v>129</v>
      </c>
      <c r="H602" s="105">
        <v>4098</v>
      </c>
      <c r="I602" s="105">
        <v>30717862453</v>
      </c>
      <c r="J602" s="5" t="s">
        <v>130</v>
      </c>
      <c r="K602" s="101">
        <f>+K601+Tabla6[[#This Row],[IMPORTE]]</f>
        <v>64340728.93999967</v>
      </c>
      <c r="L602" s="5" t="s">
        <v>227</v>
      </c>
      <c r="M602" s="133" t="s">
        <v>100</v>
      </c>
    </row>
    <row r="603" spans="2:13" x14ac:dyDescent="0.35">
      <c r="B603" s="4" t="s">
        <v>104</v>
      </c>
      <c r="C603" s="104" t="s">
        <v>143</v>
      </c>
      <c r="D603" s="105">
        <v>216685</v>
      </c>
      <c r="E603" s="105">
        <v>404</v>
      </c>
      <c r="F603" s="101">
        <v>160771.82</v>
      </c>
      <c r="G603" s="5" t="s">
        <v>106</v>
      </c>
      <c r="H603" s="105">
        <v>183</v>
      </c>
      <c r="I603" s="70" t="s">
        <v>107</v>
      </c>
      <c r="J603" s="5" t="s">
        <v>111</v>
      </c>
      <c r="K603" s="101">
        <f>+K602+Tabla6[[#This Row],[IMPORTE]]</f>
        <v>64501500.75999967</v>
      </c>
      <c r="L603" s="5" t="s">
        <v>229</v>
      </c>
      <c r="M603" s="133" t="s">
        <v>100</v>
      </c>
    </row>
    <row r="604" spans="2:13" x14ac:dyDescent="0.35">
      <c r="B604" s="4" t="s">
        <v>104</v>
      </c>
      <c r="C604" s="104" t="s">
        <v>143</v>
      </c>
      <c r="D604" s="105">
        <v>216686</v>
      </c>
      <c r="E604" s="105">
        <v>404</v>
      </c>
      <c r="F604" s="101">
        <v>174730.98</v>
      </c>
      <c r="G604" s="5" t="s">
        <v>106</v>
      </c>
      <c r="H604" s="105">
        <v>183</v>
      </c>
      <c r="I604" s="70" t="s">
        <v>107</v>
      </c>
      <c r="J604" s="5" t="s">
        <v>108</v>
      </c>
      <c r="K604" s="101">
        <f>+K603+Tabla6[[#This Row],[IMPORTE]]</f>
        <v>64676231.739999667</v>
      </c>
      <c r="L604" s="5" t="s">
        <v>230</v>
      </c>
      <c r="M604" s="133" t="s">
        <v>100</v>
      </c>
    </row>
    <row r="605" spans="2:13" x14ac:dyDescent="0.35">
      <c r="B605" s="4" t="s">
        <v>117</v>
      </c>
      <c r="C605" s="104" t="s">
        <v>143</v>
      </c>
      <c r="D605" s="105">
        <v>475397</v>
      </c>
      <c r="E605" s="105">
        <v>404</v>
      </c>
      <c r="F605" s="101">
        <v>180238.24</v>
      </c>
      <c r="G605" s="5" t="s">
        <v>129</v>
      </c>
      <c r="H605" s="105">
        <v>4098</v>
      </c>
      <c r="I605" s="105">
        <v>30717862453</v>
      </c>
      <c r="J605" s="5" t="s">
        <v>130</v>
      </c>
      <c r="K605" s="101">
        <f>+K604+Tabla6[[#This Row],[IMPORTE]]</f>
        <v>64856469.979999669</v>
      </c>
      <c r="L605" s="5" t="s">
        <v>227</v>
      </c>
      <c r="M605" s="133" t="s">
        <v>100</v>
      </c>
    </row>
    <row r="606" spans="2:13" x14ac:dyDescent="0.35">
      <c r="B606" s="4" t="s">
        <v>117</v>
      </c>
      <c r="C606" s="104" t="s">
        <v>143</v>
      </c>
      <c r="D606" s="105">
        <v>351686</v>
      </c>
      <c r="E606" s="105">
        <v>404</v>
      </c>
      <c r="F606" s="101">
        <v>192702.8</v>
      </c>
      <c r="G606" s="5" t="s">
        <v>129</v>
      </c>
      <c r="H606" s="105">
        <v>4098</v>
      </c>
      <c r="I606" s="105">
        <v>30717862453</v>
      </c>
      <c r="J606" s="5" t="s">
        <v>130</v>
      </c>
      <c r="K606" s="101">
        <f>+K605+Tabla6[[#This Row],[IMPORTE]]</f>
        <v>65049172.779999666</v>
      </c>
      <c r="L606" s="5" t="s">
        <v>227</v>
      </c>
      <c r="M606" s="133" t="s">
        <v>100</v>
      </c>
    </row>
    <row r="607" spans="2:13" x14ac:dyDescent="0.35">
      <c r="B607" s="4" t="s">
        <v>117</v>
      </c>
      <c r="C607" s="104" t="s">
        <v>143</v>
      </c>
      <c r="D607" s="105">
        <v>335590</v>
      </c>
      <c r="E607" s="105">
        <v>404</v>
      </c>
      <c r="F607" s="101">
        <v>215049.96</v>
      </c>
      <c r="G607" s="5" t="s">
        <v>129</v>
      </c>
      <c r="H607" s="105">
        <v>4098</v>
      </c>
      <c r="I607" s="105">
        <v>30717862453</v>
      </c>
      <c r="J607" s="5" t="s">
        <v>130</v>
      </c>
      <c r="K607" s="101">
        <f>+K606+Tabla6[[#This Row],[IMPORTE]]</f>
        <v>65264222.739999667</v>
      </c>
      <c r="L607" s="5" t="s">
        <v>227</v>
      </c>
      <c r="M607" s="133" t="s">
        <v>100</v>
      </c>
    </row>
    <row r="608" spans="2:13" x14ac:dyDescent="0.35">
      <c r="B608" s="4" t="s">
        <v>117</v>
      </c>
      <c r="C608" s="104" t="s">
        <v>143</v>
      </c>
      <c r="D608" s="105">
        <v>641587</v>
      </c>
      <c r="E608" s="105">
        <v>404</v>
      </c>
      <c r="F608" s="101">
        <v>215049.96</v>
      </c>
      <c r="G608" s="5" t="s">
        <v>129</v>
      </c>
      <c r="H608" s="105">
        <v>4098</v>
      </c>
      <c r="I608" s="105">
        <v>30717862453</v>
      </c>
      <c r="J608" s="5" t="s">
        <v>130</v>
      </c>
      <c r="K608" s="101">
        <f>+K607+Tabla6[[#This Row],[IMPORTE]]</f>
        <v>65479272.699999668</v>
      </c>
      <c r="L608" s="5" t="s">
        <v>227</v>
      </c>
      <c r="M608" s="133" t="s">
        <v>100</v>
      </c>
    </row>
    <row r="609" spans="2:13" x14ac:dyDescent="0.35">
      <c r="B609" s="4" t="s">
        <v>104</v>
      </c>
      <c r="C609" s="104" t="s">
        <v>143</v>
      </c>
      <c r="D609" s="105">
        <v>216717</v>
      </c>
      <c r="E609" s="105">
        <v>404</v>
      </c>
      <c r="F609" s="101">
        <v>248549.02</v>
      </c>
      <c r="G609" s="5" t="s">
        <v>106</v>
      </c>
      <c r="H609" s="105">
        <v>183</v>
      </c>
      <c r="I609" s="70" t="s">
        <v>107</v>
      </c>
      <c r="J609" s="5" t="s">
        <v>113</v>
      </c>
      <c r="K609" s="101">
        <f>+K608+Tabla6[[#This Row],[IMPORTE]]</f>
        <v>65727821.719999671</v>
      </c>
      <c r="L609" s="5" t="s">
        <v>229</v>
      </c>
      <c r="M609" s="133" t="s">
        <v>100</v>
      </c>
    </row>
    <row r="610" spans="2:13" x14ac:dyDescent="0.35">
      <c r="B610" s="4" t="s">
        <v>117</v>
      </c>
      <c r="C610" s="104" t="s">
        <v>143</v>
      </c>
      <c r="D610" s="105">
        <v>591006</v>
      </c>
      <c r="E610" s="105">
        <v>404</v>
      </c>
      <c r="F610" s="101">
        <v>322574.96000000002</v>
      </c>
      <c r="G610" s="5" t="s">
        <v>129</v>
      </c>
      <c r="H610" s="105">
        <v>4098</v>
      </c>
      <c r="I610" s="105">
        <v>30717862453</v>
      </c>
      <c r="J610" s="5" t="s">
        <v>130</v>
      </c>
      <c r="K610" s="101">
        <f>+K609+Tabla6[[#This Row],[IMPORTE]]</f>
        <v>66050396.679999672</v>
      </c>
      <c r="L610" s="5" t="s">
        <v>227</v>
      </c>
      <c r="M610" s="133" t="s">
        <v>100</v>
      </c>
    </row>
    <row r="611" spans="2:13" x14ac:dyDescent="0.35">
      <c r="B611" s="4" t="s">
        <v>117</v>
      </c>
      <c r="C611" s="104" t="s">
        <v>143</v>
      </c>
      <c r="D611" s="105">
        <v>688389</v>
      </c>
      <c r="E611" s="105">
        <v>404</v>
      </c>
      <c r="F611" s="101">
        <v>322574.96000000002</v>
      </c>
      <c r="G611" s="5" t="s">
        <v>129</v>
      </c>
      <c r="H611" s="105">
        <v>4098</v>
      </c>
      <c r="I611" s="105">
        <v>30717862453</v>
      </c>
      <c r="J611" s="5" t="s">
        <v>130</v>
      </c>
      <c r="K611" s="101">
        <f>+K610+Tabla6[[#This Row],[IMPORTE]]</f>
        <v>66372971.639999673</v>
      </c>
      <c r="L611" s="5" t="s">
        <v>227</v>
      </c>
      <c r="M611" s="133" t="s">
        <v>100</v>
      </c>
    </row>
    <row r="612" spans="2:13" x14ac:dyDescent="0.35">
      <c r="B612" s="4" t="s">
        <v>104</v>
      </c>
      <c r="C612" s="104" t="s">
        <v>143</v>
      </c>
      <c r="D612" s="105">
        <v>216719</v>
      </c>
      <c r="E612" s="105">
        <v>404</v>
      </c>
      <c r="F612" s="101">
        <v>378282.7</v>
      </c>
      <c r="G612" s="5" t="s">
        <v>106</v>
      </c>
      <c r="H612" s="105">
        <v>183</v>
      </c>
      <c r="I612" s="70" t="s">
        <v>107</v>
      </c>
      <c r="J612" s="5" t="s">
        <v>113</v>
      </c>
      <c r="K612" s="101">
        <f>+K611+Tabla6[[#This Row],[IMPORTE]]</f>
        <v>66751254.339999676</v>
      </c>
      <c r="L612" s="5" t="s">
        <v>228</v>
      </c>
      <c r="M612" s="133" t="s">
        <v>100</v>
      </c>
    </row>
    <row r="613" spans="2:13" x14ac:dyDescent="0.35">
      <c r="B613" s="4" t="s">
        <v>104</v>
      </c>
      <c r="C613" s="104" t="s">
        <v>143</v>
      </c>
      <c r="D613" s="105">
        <v>216715</v>
      </c>
      <c r="E613" s="105">
        <v>404</v>
      </c>
      <c r="F613" s="101">
        <v>378649.02</v>
      </c>
      <c r="G613" s="5" t="s">
        <v>106</v>
      </c>
      <c r="H613" s="105">
        <v>183</v>
      </c>
      <c r="I613" s="70" t="s">
        <v>107</v>
      </c>
      <c r="J613" s="5" t="s">
        <v>109</v>
      </c>
      <c r="K613" s="101">
        <f>+K612+Tabla6[[#This Row],[IMPORTE]]</f>
        <v>67129903.359999672</v>
      </c>
      <c r="L613" s="5" t="s">
        <v>231</v>
      </c>
      <c r="M613" s="133" t="s">
        <v>100</v>
      </c>
    </row>
    <row r="614" spans="2:13" x14ac:dyDescent="0.35">
      <c r="B614" s="4" t="s">
        <v>104</v>
      </c>
      <c r="C614" s="104" t="s">
        <v>143</v>
      </c>
      <c r="D614" s="105">
        <v>216709</v>
      </c>
      <c r="E614" s="105">
        <v>404</v>
      </c>
      <c r="F614" s="101">
        <v>398343.84</v>
      </c>
      <c r="G614" s="5" t="s">
        <v>106</v>
      </c>
      <c r="H614" s="105">
        <v>183</v>
      </c>
      <c r="I614" s="70" t="s">
        <v>107</v>
      </c>
      <c r="J614" s="5" t="s">
        <v>116</v>
      </c>
      <c r="K614" s="101">
        <f>+K613+Tabla6[[#This Row],[IMPORTE]]</f>
        <v>67528247.199999675</v>
      </c>
      <c r="L614" s="5" t="s">
        <v>231</v>
      </c>
      <c r="M614" s="133" t="s">
        <v>100</v>
      </c>
    </row>
    <row r="615" spans="2:13" x14ac:dyDescent="0.35">
      <c r="B615" s="4" t="s">
        <v>104</v>
      </c>
      <c r="C615" s="104" t="s">
        <v>143</v>
      </c>
      <c r="D615" s="105">
        <v>216711</v>
      </c>
      <c r="E615" s="105">
        <v>404</v>
      </c>
      <c r="F615" s="101">
        <v>413586.32</v>
      </c>
      <c r="G615" s="5" t="s">
        <v>106</v>
      </c>
      <c r="H615" s="105">
        <v>183</v>
      </c>
      <c r="I615" s="70" t="s">
        <v>107</v>
      </c>
      <c r="J615" s="5" t="s">
        <v>110</v>
      </c>
      <c r="K615" s="101">
        <f>+K614+Tabla6[[#This Row],[IMPORTE]]</f>
        <v>67941833.519999668</v>
      </c>
      <c r="L615" s="5" t="s">
        <v>231</v>
      </c>
      <c r="M615" s="133" t="s">
        <v>100</v>
      </c>
    </row>
    <row r="616" spans="2:13" x14ac:dyDescent="0.35">
      <c r="B616" s="4" t="s">
        <v>117</v>
      </c>
      <c r="C616" s="104" t="s">
        <v>143</v>
      </c>
      <c r="D616" s="105">
        <v>752825</v>
      </c>
      <c r="E616" s="105">
        <v>404</v>
      </c>
      <c r="F616" s="101">
        <v>423524.37</v>
      </c>
      <c r="G616" s="5" t="s">
        <v>129</v>
      </c>
      <c r="H616" s="105">
        <v>4098</v>
      </c>
      <c r="I616" s="105">
        <v>30717862453</v>
      </c>
      <c r="J616" s="5" t="s">
        <v>130</v>
      </c>
      <c r="K616" s="101">
        <f>+K615+Tabla6[[#This Row],[IMPORTE]]</f>
        <v>68365357.889999673</v>
      </c>
      <c r="L616" s="5" t="s">
        <v>227</v>
      </c>
      <c r="M616" s="133" t="s">
        <v>100</v>
      </c>
    </row>
    <row r="617" spans="2:13" x14ac:dyDescent="0.35">
      <c r="B617" s="4" t="s">
        <v>104</v>
      </c>
      <c r="C617" s="104" t="s">
        <v>143</v>
      </c>
      <c r="D617" s="105">
        <v>216712</v>
      </c>
      <c r="E617" s="105">
        <v>404</v>
      </c>
      <c r="F617" s="101">
        <v>501202.59</v>
      </c>
      <c r="G617" s="5" t="s">
        <v>106</v>
      </c>
      <c r="H617" s="105">
        <v>183</v>
      </c>
      <c r="I617" s="70" t="s">
        <v>107</v>
      </c>
      <c r="J617" s="5" t="s">
        <v>115</v>
      </c>
      <c r="K617" s="101">
        <f>+K616+Tabla6[[#This Row],[IMPORTE]]</f>
        <v>68866560.479999676</v>
      </c>
      <c r="L617" s="5" t="s">
        <v>229</v>
      </c>
      <c r="M617" s="133" t="s">
        <v>100</v>
      </c>
    </row>
    <row r="618" spans="2:13" x14ac:dyDescent="0.35">
      <c r="B618" s="4" t="s">
        <v>117</v>
      </c>
      <c r="C618" s="104" t="s">
        <v>143</v>
      </c>
      <c r="D618" s="105">
        <v>235616</v>
      </c>
      <c r="E618" s="105">
        <v>404</v>
      </c>
      <c r="F618" s="101">
        <v>594192</v>
      </c>
      <c r="G618" s="5" t="s">
        <v>129</v>
      </c>
      <c r="H618" s="105">
        <v>4098</v>
      </c>
      <c r="I618" s="105">
        <v>30717862453</v>
      </c>
      <c r="J618" s="5" t="s">
        <v>130</v>
      </c>
      <c r="K618" s="101">
        <f>+K617+Tabla6[[#This Row],[IMPORTE]]</f>
        <v>69460752.479999676</v>
      </c>
      <c r="L618" s="5" t="s">
        <v>227</v>
      </c>
      <c r="M618" s="133" t="s">
        <v>100</v>
      </c>
    </row>
    <row r="619" spans="2:13" x14ac:dyDescent="0.35">
      <c r="B619" s="4" t="s">
        <v>104</v>
      </c>
      <c r="C619" s="104" t="s">
        <v>143</v>
      </c>
      <c r="D619" s="105">
        <v>216706</v>
      </c>
      <c r="E619" s="105">
        <v>404</v>
      </c>
      <c r="F619" s="101">
        <v>655227.48</v>
      </c>
      <c r="G619" s="5" t="s">
        <v>106</v>
      </c>
      <c r="H619" s="105">
        <v>183</v>
      </c>
      <c r="I619" s="70" t="s">
        <v>107</v>
      </c>
      <c r="J619" s="5" t="s">
        <v>112</v>
      </c>
      <c r="K619" s="101">
        <f>+K618+Tabla6[[#This Row],[IMPORTE]]</f>
        <v>70115979.959999681</v>
      </c>
      <c r="L619" s="5" t="s">
        <v>229</v>
      </c>
      <c r="M619" s="133" t="s">
        <v>100</v>
      </c>
    </row>
    <row r="620" spans="2:13" x14ac:dyDescent="0.35">
      <c r="B620" s="4" t="s">
        <v>104</v>
      </c>
      <c r="C620" s="104" t="s">
        <v>143</v>
      </c>
      <c r="D620" s="105">
        <v>216718</v>
      </c>
      <c r="E620" s="105">
        <v>404</v>
      </c>
      <c r="F620" s="101">
        <v>766170.31</v>
      </c>
      <c r="G620" s="5" t="s">
        <v>106</v>
      </c>
      <c r="H620" s="105">
        <v>183</v>
      </c>
      <c r="I620" s="70" t="s">
        <v>107</v>
      </c>
      <c r="J620" s="5" t="s">
        <v>113</v>
      </c>
      <c r="K620" s="101">
        <f>+K619+Tabla6[[#This Row],[IMPORTE]]</f>
        <v>70882150.269999683</v>
      </c>
      <c r="L620" s="5" t="s">
        <v>231</v>
      </c>
      <c r="M620" s="133" t="s">
        <v>100</v>
      </c>
    </row>
    <row r="621" spans="2:13" x14ac:dyDescent="0.35">
      <c r="B621" s="4" t="s">
        <v>104</v>
      </c>
      <c r="C621" s="104" t="s">
        <v>143</v>
      </c>
      <c r="D621" s="105">
        <v>216707</v>
      </c>
      <c r="E621" s="105">
        <v>404</v>
      </c>
      <c r="F621" s="101">
        <v>873891.68</v>
      </c>
      <c r="G621" s="5" t="s">
        <v>106</v>
      </c>
      <c r="H621" s="105">
        <v>183</v>
      </c>
      <c r="I621" s="70" t="s">
        <v>107</v>
      </c>
      <c r="J621" s="5" t="s">
        <v>112</v>
      </c>
      <c r="K621" s="101">
        <f>+K620+Tabla6[[#This Row],[IMPORTE]]</f>
        <v>71756041.94999969</v>
      </c>
      <c r="L621" s="5" t="s">
        <v>231</v>
      </c>
      <c r="M621" s="133" t="s">
        <v>100</v>
      </c>
    </row>
    <row r="622" spans="2:13" x14ac:dyDescent="0.35">
      <c r="B622" s="4" t="s">
        <v>104</v>
      </c>
      <c r="C622" s="104" t="s">
        <v>143</v>
      </c>
      <c r="D622" s="105">
        <v>216708</v>
      </c>
      <c r="E622" s="105">
        <v>404</v>
      </c>
      <c r="F622" s="101">
        <v>1203119.03</v>
      </c>
      <c r="G622" s="5" t="s">
        <v>106</v>
      </c>
      <c r="H622" s="105">
        <v>183</v>
      </c>
      <c r="I622" s="70" t="s">
        <v>107</v>
      </c>
      <c r="J622" s="5" t="s">
        <v>116</v>
      </c>
      <c r="K622" s="101">
        <f>+K621+Tabla6[[#This Row],[IMPORTE]]</f>
        <v>72959160.979999691</v>
      </c>
      <c r="L622" s="5" t="s">
        <v>229</v>
      </c>
      <c r="M622" s="133" t="s">
        <v>100</v>
      </c>
    </row>
    <row r="623" spans="2:13" x14ac:dyDescent="0.35">
      <c r="B623" s="4" t="s">
        <v>104</v>
      </c>
      <c r="C623" s="104" t="s">
        <v>143</v>
      </c>
      <c r="D623" s="105">
        <v>216713</v>
      </c>
      <c r="E623" s="105">
        <v>404</v>
      </c>
      <c r="F623" s="101">
        <v>1410166.49</v>
      </c>
      <c r="G623" s="5" t="s">
        <v>106</v>
      </c>
      <c r="H623" s="105">
        <v>183</v>
      </c>
      <c r="I623" s="70" t="s">
        <v>107</v>
      </c>
      <c r="J623" s="5" t="s">
        <v>115</v>
      </c>
      <c r="K623" s="101">
        <f>+K622+Tabla6[[#This Row],[IMPORTE]]</f>
        <v>74369327.469999686</v>
      </c>
      <c r="L623" s="5" t="s">
        <v>231</v>
      </c>
      <c r="M623" s="133" t="s">
        <v>100</v>
      </c>
    </row>
    <row r="624" spans="2:13" x14ac:dyDescent="0.35">
      <c r="B624" s="4" t="s">
        <v>117</v>
      </c>
      <c r="C624" s="104" t="s">
        <v>143</v>
      </c>
      <c r="D624" s="105">
        <v>130</v>
      </c>
      <c r="E624" s="105">
        <v>811</v>
      </c>
      <c r="F624" s="101">
        <v>3718100.92</v>
      </c>
      <c r="G624" s="5" t="s">
        <v>118</v>
      </c>
      <c r="H624" s="105">
        <v>4151</v>
      </c>
      <c r="I624" s="70" t="s">
        <v>107</v>
      </c>
      <c r="J624" s="5" t="s">
        <v>119</v>
      </c>
      <c r="K624" s="101">
        <f>+K623+Tabla6[[#This Row],[IMPORTE]]</f>
        <v>78087428.389999688</v>
      </c>
      <c r="L624" s="5" t="s">
        <v>232</v>
      </c>
      <c r="M624" s="133" t="s">
        <v>100</v>
      </c>
    </row>
    <row r="625" spans="2:13" x14ac:dyDescent="0.35">
      <c r="B625" s="134" t="s">
        <v>120</v>
      </c>
      <c r="C625" s="113" t="s">
        <v>143</v>
      </c>
      <c r="D625" s="114">
        <v>12375682</v>
      </c>
      <c r="E625" s="114">
        <v>404</v>
      </c>
      <c r="F625" s="115">
        <v>-41000000</v>
      </c>
      <c r="G625" s="116" t="s">
        <v>144</v>
      </c>
      <c r="H625" s="114">
        <v>2018</v>
      </c>
      <c r="I625" s="128" t="s">
        <v>107</v>
      </c>
      <c r="J625" s="116" t="s">
        <v>127</v>
      </c>
      <c r="K625" s="115">
        <f>+K624+Tabla6[[#This Row],[IMPORTE]]</f>
        <v>37087428.389999688</v>
      </c>
      <c r="L625" s="125" t="s">
        <v>187</v>
      </c>
      <c r="M625" s="118" t="s">
        <v>101</v>
      </c>
    </row>
    <row r="626" spans="2:13" x14ac:dyDescent="0.35">
      <c r="B626" s="136" t="s">
        <v>145</v>
      </c>
      <c r="C626" s="106" t="s">
        <v>143</v>
      </c>
      <c r="D626" s="107">
        <v>10530114</v>
      </c>
      <c r="E626" s="107">
        <v>404</v>
      </c>
      <c r="F626" s="108">
        <v>-835</v>
      </c>
      <c r="G626" s="109" t="s">
        <v>146</v>
      </c>
      <c r="H626" s="107">
        <v>531</v>
      </c>
      <c r="I626" s="110" t="s">
        <v>107</v>
      </c>
      <c r="J626" s="109" t="s">
        <v>127</v>
      </c>
      <c r="K626" s="108">
        <f>+K625+Tabla6[[#This Row],[IMPORTE]]</f>
        <v>37086593.389999688</v>
      </c>
      <c r="L626" s="109" t="s">
        <v>165</v>
      </c>
      <c r="M626" s="111" t="s">
        <v>93</v>
      </c>
    </row>
    <row r="627" spans="2:13" x14ac:dyDescent="0.35">
      <c r="B627" s="136" t="s">
        <v>147</v>
      </c>
      <c r="C627" s="106" t="s">
        <v>143</v>
      </c>
      <c r="D627" s="107">
        <v>10530114</v>
      </c>
      <c r="E627" s="107">
        <v>404</v>
      </c>
      <c r="F627" s="108">
        <v>-175.35</v>
      </c>
      <c r="G627" s="109" t="s">
        <v>148</v>
      </c>
      <c r="H627" s="107">
        <v>531</v>
      </c>
      <c r="I627" s="110" t="s">
        <v>107</v>
      </c>
      <c r="J627" s="109" t="s">
        <v>127</v>
      </c>
      <c r="K627" s="108">
        <f>+K626+Tabla6[[#This Row],[IMPORTE]]</f>
        <v>37086418.039999686</v>
      </c>
      <c r="L627" s="109" t="s">
        <v>165</v>
      </c>
      <c r="M627" s="111" t="s">
        <v>93</v>
      </c>
    </row>
    <row r="628" spans="2:13" x14ac:dyDescent="0.35">
      <c r="B628" s="4" t="s">
        <v>117</v>
      </c>
      <c r="C628" s="104" t="s">
        <v>149</v>
      </c>
      <c r="D628" s="105">
        <v>258504</v>
      </c>
      <c r="E628" s="105">
        <v>404</v>
      </c>
      <c r="F628" s="101">
        <v>3346.78</v>
      </c>
      <c r="G628" s="5" t="s">
        <v>129</v>
      </c>
      <c r="H628" s="105">
        <v>4098</v>
      </c>
      <c r="I628" s="105">
        <v>30717862453</v>
      </c>
      <c r="J628" s="5" t="s">
        <v>130</v>
      </c>
      <c r="K628" s="101">
        <f>+K627+Tabla6[[#This Row],[IMPORTE]]</f>
        <v>37089764.819999687</v>
      </c>
      <c r="L628" s="5" t="s">
        <v>233</v>
      </c>
      <c r="M628" s="133" t="s">
        <v>100</v>
      </c>
    </row>
    <row r="629" spans="2:13" x14ac:dyDescent="0.35">
      <c r="B629" s="4" t="s">
        <v>117</v>
      </c>
      <c r="C629" s="104" t="s">
        <v>149</v>
      </c>
      <c r="D629" s="105">
        <v>426588</v>
      </c>
      <c r="E629" s="105">
        <v>404</v>
      </c>
      <c r="F629" s="101">
        <v>3353.82</v>
      </c>
      <c r="G629" s="5" t="s">
        <v>129</v>
      </c>
      <c r="H629" s="105">
        <v>4098</v>
      </c>
      <c r="I629" s="105">
        <v>30717862453</v>
      </c>
      <c r="J629" s="5" t="s">
        <v>130</v>
      </c>
      <c r="K629" s="101">
        <f>+K628+Tabla6[[#This Row],[IMPORTE]]</f>
        <v>37093118.639999688</v>
      </c>
      <c r="L629" s="5" t="s">
        <v>233</v>
      </c>
      <c r="M629" s="133" t="s">
        <v>100</v>
      </c>
    </row>
    <row r="630" spans="2:13" x14ac:dyDescent="0.35">
      <c r="B630" s="4" t="s">
        <v>117</v>
      </c>
      <c r="C630" s="104" t="s">
        <v>149</v>
      </c>
      <c r="D630" s="105">
        <v>156457</v>
      </c>
      <c r="E630" s="105">
        <v>404</v>
      </c>
      <c r="F630" s="101">
        <v>12874.16</v>
      </c>
      <c r="G630" s="5" t="s">
        <v>129</v>
      </c>
      <c r="H630" s="105">
        <v>4098</v>
      </c>
      <c r="I630" s="105">
        <v>30717862453</v>
      </c>
      <c r="J630" s="5" t="s">
        <v>130</v>
      </c>
      <c r="K630" s="101">
        <f>+K629+Tabla6[[#This Row],[IMPORTE]]</f>
        <v>37105992.799999684</v>
      </c>
      <c r="L630" s="5" t="s">
        <v>233</v>
      </c>
      <c r="M630" s="133" t="s">
        <v>100</v>
      </c>
    </row>
    <row r="631" spans="2:13" x14ac:dyDescent="0.35">
      <c r="B631" s="4" t="s">
        <v>117</v>
      </c>
      <c r="C631" s="104" t="s">
        <v>149</v>
      </c>
      <c r="D631" s="105">
        <v>128826</v>
      </c>
      <c r="E631" s="105">
        <v>404</v>
      </c>
      <c r="F631" s="101">
        <v>19311.240000000002</v>
      </c>
      <c r="G631" s="5" t="s">
        <v>129</v>
      </c>
      <c r="H631" s="105">
        <v>4098</v>
      </c>
      <c r="I631" s="105">
        <v>30717862453</v>
      </c>
      <c r="J631" s="5" t="s">
        <v>130</v>
      </c>
      <c r="K631" s="101">
        <f>+K630+Tabla6[[#This Row],[IMPORTE]]</f>
        <v>37125304.039999686</v>
      </c>
      <c r="L631" s="5" t="s">
        <v>233</v>
      </c>
      <c r="M631" s="133" t="s">
        <v>100</v>
      </c>
    </row>
    <row r="632" spans="2:13" x14ac:dyDescent="0.35">
      <c r="B632" s="4" t="s">
        <v>117</v>
      </c>
      <c r="C632" s="104" t="s">
        <v>149</v>
      </c>
      <c r="D632" s="105">
        <v>693925</v>
      </c>
      <c r="E632" s="105">
        <v>404</v>
      </c>
      <c r="F632" s="101">
        <v>19311.240000000002</v>
      </c>
      <c r="G632" s="5" t="s">
        <v>129</v>
      </c>
      <c r="H632" s="105">
        <v>4098</v>
      </c>
      <c r="I632" s="105">
        <v>30717862453</v>
      </c>
      <c r="J632" s="5" t="s">
        <v>130</v>
      </c>
      <c r="K632" s="101">
        <f>+K631+Tabla6[[#This Row],[IMPORTE]]</f>
        <v>37144615.279999688</v>
      </c>
      <c r="L632" s="5" t="s">
        <v>233</v>
      </c>
      <c r="M632" s="133" t="s">
        <v>100</v>
      </c>
    </row>
    <row r="633" spans="2:13" x14ac:dyDescent="0.35">
      <c r="B633" s="4" t="s">
        <v>117</v>
      </c>
      <c r="C633" s="104" t="s">
        <v>149</v>
      </c>
      <c r="D633" s="105">
        <v>735022</v>
      </c>
      <c r="E633" s="105">
        <v>404</v>
      </c>
      <c r="F633" s="101">
        <v>19311.240000000002</v>
      </c>
      <c r="G633" s="5" t="s">
        <v>129</v>
      </c>
      <c r="H633" s="105">
        <v>4098</v>
      </c>
      <c r="I633" s="105">
        <v>30717862453</v>
      </c>
      <c r="J633" s="5" t="s">
        <v>130</v>
      </c>
      <c r="K633" s="101">
        <f>+K632+Tabla6[[#This Row],[IMPORTE]]</f>
        <v>37163926.51999969</v>
      </c>
      <c r="L633" s="5" t="s">
        <v>233</v>
      </c>
      <c r="M633" s="133" t="s">
        <v>100</v>
      </c>
    </row>
    <row r="634" spans="2:13" x14ac:dyDescent="0.35">
      <c r="B634" s="4" t="s">
        <v>117</v>
      </c>
      <c r="C634" s="104" t="s">
        <v>149</v>
      </c>
      <c r="D634" s="105">
        <v>988860</v>
      </c>
      <c r="E634" s="105">
        <v>404</v>
      </c>
      <c r="F634" s="101">
        <v>19311.240000000002</v>
      </c>
      <c r="G634" s="5" t="s">
        <v>129</v>
      </c>
      <c r="H634" s="105">
        <v>4098</v>
      </c>
      <c r="I634" s="105">
        <v>30717862453</v>
      </c>
      <c r="J634" s="5" t="s">
        <v>130</v>
      </c>
      <c r="K634" s="101">
        <f>+K633+Tabla6[[#This Row],[IMPORTE]]</f>
        <v>37183237.759999692</v>
      </c>
      <c r="L634" s="5" t="s">
        <v>233</v>
      </c>
      <c r="M634" s="133" t="s">
        <v>100</v>
      </c>
    </row>
    <row r="635" spans="2:13" x14ac:dyDescent="0.35">
      <c r="B635" s="4" t="s">
        <v>117</v>
      </c>
      <c r="C635" s="104" t="s">
        <v>149</v>
      </c>
      <c r="D635" s="105">
        <v>919681</v>
      </c>
      <c r="E635" s="105">
        <v>404</v>
      </c>
      <c r="F635" s="101">
        <v>25748.32</v>
      </c>
      <c r="G635" s="5" t="s">
        <v>129</v>
      </c>
      <c r="H635" s="105">
        <v>4098</v>
      </c>
      <c r="I635" s="105">
        <v>30717862453</v>
      </c>
      <c r="J635" s="5" t="s">
        <v>130</v>
      </c>
      <c r="K635" s="101">
        <f>+K634+Tabla6[[#This Row],[IMPORTE]]</f>
        <v>37208986.079999693</v>
      </c>
      <c r="L635" s="5" t="s">
        <v>233</v>
      </c>
      <c r="M635" s="133" t="s">
        <v>100</v>
      </c>
    </row>
    <row r="636" spans="2:13" x14ac:dyDescent="0.35">
      <c r="B636" s="4" t="s">
        <v>117</v>
      </c>
      <c r="C636" s="104" t="s">
        <v>149</v>
      </c>
      <c r="D636" s="105">
        <v>959388</v>
      </c>
      <c r="E636" s="105">
        <v>404</v>
      </c>
      <c r="F636" s="101">
        <v>25748.32</v>
      </c>
      <c r="G636" s="5" t="s">
        <v>129</v>
      </c>
      <c r="H636" s="105">
        <v>4098</v>
      </c>
      <c r="I636" s="105">
        <v>30717862453</v>
      </c>
      <c r="J636" s="5" t="s">
        <v>130</v>
      </c>
      <c r="K636" s="101">
        <f>+K635+Tabla6[[#This Row],[IMPORTE]]</f>
        <v>37234734.399999693</v>
      </c>
      <c r="L636" s="5" t="s">
        <v>233</v>
      </c>
      <c r="M636" s="133" t="s">
        <v>100</v>
      </c>
    </row>
    <row r="637" spans="2:13" x14ac:dyDescent="0.35">
      <c r="B637" s="4" t="s">
        <v>117</v>
      </c>
      <c r="C637" s="104" t="s">
        <v>149</v>
      </c>
      <c r="D637" s="105">
        <v>64019</v>
      </c>
      <c r="E637" s="105">
        <v>404</v>
      </c>
      <c r="F637" s="101">
        <v>30897.98</v>
      </c>
      <c r="G637" s="5" t="s">
        <v>129</v>
      </c>
      <c r="H637" s="105">
        <v>4098</v>
      </c>
      <c r="I637" s="105">
        <v>30717862453</v>
      </c>
      <c r="J637" s="5" t="s">
        <v>130</v>
      </c>
      <c r="K637" s="101">
        <f>+K636+Tabla6[[#This Row],[IMPORTE]]</f>
        <v>37265632.37999969</v>
      </c>
      <c r="L637" s="5" t="s">
        <v>233</v>
      </c>
      <c r="M637" s="133" t="s">
        <v>100</v>
      </c>
    </row>
    <row r="638" spans="2:13" x14ac:dyDescent="0.35">
      <c r="B638" s="4" t="s">
        <v>117</v>
      </c>
      <c r="C638" s="104" t="s">
        <v>149</v>
      </c>
      <c r="D638" s="105">
        <v>588169</v>
      </c>
      <c r="E638" s="105">
        <v>404</v>
      </c>
      <c r="F638" s="101">
        <v>30897.98</v>
      </c>
      <c r="G638" s="5" t="s">
        <v>129</v>
      </c>
      <c r="H638" s="105">
        <v>4098</v>
      </c>
      <c r="I638" s="105">
        <v>30717862453</v>
      </c>
      <c r="J638" s="5" t="s">
        <v>130</v>
      </c>
      <c r="K638" s="101">
        <f>+K637+Tabla6[[#This Row],[IMPORTE]]</f>
        <v>37296530.359999686</v>
      </c>
      <c r="L638" s="5" t="s">
        <v>233</v>
      </c>
      <c r="M638" s="133" t="s">
        <v>100</v>
      </c>
    </row>
    <row r="639" spans="2:13" x14ac:dyDescent="0.35">
      <c r="B639" s="4" t="s">
        <v>117</v>
      </c>
      <c r="C639" s="104" t="s">
        <v>149</v>
      </c>
      <c r="D639" s="105">
        <v>651572</v>
      </c>
      <c r="E639" s="105">
        <v>404</v>
      </c>
      <c r="F639" s="101">
        <v>30897.98</v>
      </c>
      <c r="G639" s="5" t="s">
        <v>129</v>
      </c>
      <c r="H639" s="105">
        <v>4098</v>
      </c>
      <c r="I639" s="105">
        <v>30717862453</v>
      </c>
      <c r="J639" s="5" t="s">
        <v>130</v>
      </c>
      <c r="K639" s="101">
        <f>+K638+Tabla6[[#This Row],[IMPORTE]]</f>
        <v>37327428.339999683</v>
      </c>
      <c r="L639" s="5" t="s">
        <v>233</v>
      </c>
      <c r="M639" s="133" t="s">
        <v>100</v>
      </c>
    </row>
    <row r="640" spans="2:13" x14ac:dyDescent="0.35">
      <c r="B640" s="4" t="s">
        <v>117</v>
      </c>
      <c r="C640" s="104" t="s">
        <v>149</v>
      </c>
      <c r="D640" s="105">
        <v>687213</v>
      </c>
      <c r="E640" s="105">
        <v>404</v>
      </c>
      <c r="F640" s="101">
        <v>30897.98</v>
      </c>
      <c r="G640" s="5" t="s">
        <v>129</v>
      </c>
      <c r="H640" s="105">
        <v>4098</v>
      </c>
      <c r="I640" s="105">
        <v>30717862453</v>
      </c>
      <c r="J640" s="5" t="s">
        <v>130</v>
      </c>
      <c r="K640" s="101">
        <f>+K639+Tabla6[[#This Row],[IMPORTE]]</f>
        <v>37358326.31999968</v>
      </c>
      <c r="L640" s="5" t="s">
        <v>233</v>
      </c>
      <c r="M640" s="133" t="s">
        <v>100</v>
      </c>
    </row>
    <row r="641" spans="2:13" x14ac:dyDescent="0.35">
      <c r="B641" s="4" t="s">
        <v>104</v>
      </c>
      <c r="C641" s="104" t="s">
        <v>149</v>
      </c>
      <c r="D641" s="105">
        <v>203402</v>
      </c>
      <c r="E641" s="105">
        <v>404</v>
      </c>
      <c r="F641" s="101">
        <v>38056.199999999997</v>
      </c>
      <c r="G641" s="5" t="s">
        <v>106</v>
      </c>
      <c r="H641" s="105">
        <v>183</v>
      </c>
      <c r="I641" s="70" t="s">
        <v>107</v>
      </c>
      <c r="J641" s="5" t="s">
        <v>112</v>
      </c>
      <c r="K641" s="101">
        <f>+K640+Tabla6[[#This Row],[IMPORTE]]</f>
        <v>37396382.519999683</v>
      </c>
      <c r="L641" s="5" t="s">
        <v>234</v>
      </c>
      <c r="M641" s="133" t="s">
        <v>100</v>
      </c>
    </row>
    <row r="642" spans="2:13" x14ac:dyDescent="0.35">
      <c r="B642" s="4" t="s">
        <v>104</v>
      </c>
      <c r="C642" s="104" t="s">
        <v>149</v>
      </c>
      <c r="D642" s="105">
        <v>203403</v>
      </c>
      <c r="E642" s="105">
        <v>404</v>
      </c>
      <c r="F642" s="101">
        <v>38528.1</v>
      </c>
      <c r="G642" s="5" t="s">
        <v>106</v>
      </c>
      <c r="H642" s="105">
        <v>183</v>
      </c>
      <c r="I642" s="70" t="s">
        <v>107</v>
      </c>
      <c r="J642" s="5" t="s">
        <v>150</v>
      </c>
      <c r="K642" s="101">
        <f>+K641+Tabla6[[#This Row],[IMPORTE]]</f>
        <v>37434910.619999684</v>
      </c>
      <c r="L642" s="5" t="s">
        <v>235</v>
      </c>
      <c r="M642" s="133" t="s">
        <v>100</v>
      </c>
    </row>
    <row r="643" spans="2:13" x14ac:dyDescent="0.35">
      <c r="B643" s="4" t="s">
        <v>117</v>
      </c>
      <c r="C643" s="104" t="s">
        <v>149</v>
      </c>
      <c r="D643" s="105">
        <v>190616</v>
      </c>
      <c r="E643" s="105">
        <v>404</v>
      </c>
      <c r="F643" s="101">
        <v>38622.480000000003</v>
      </c>
      <c r="G643" s="5" t="s">
        <v>129</v>
      </c>
      <c r="H643" s="105">
        <v>4098</v>
      </c>
      <c r="I643" s="105">
        <v>30717862453</v>
      </c>
      <c r="J643" s="5" t="s">
        <v>130</v>
      </c>
      <c r="K643" s="101">
        <f>+K642+Tabla6[[#This Row],[IMPORTE]]</f>
        <v>37473533.099999681</v>
      </c>
      <c r="L643" s="5" t="s">
        <v>233</v>
      </c>
      <c r="M643" s="133" t="s">
        <v>100</v>
      </c>
    </row>
    <row r="644" spans="2:13" x14ac:dyDescent="0.35">
      <c r="B644" s="4" t="s">
        <v>117</v>
      </c>
      <c r="C644" s="104" t="s">
        <v>149</v>
      </c>
      <c r="D644" s="105">
        <v>244770</v>
      </c>
      <c r="E644" s="105">
        <v>404</v>
      </c>
      <c r="F644" s="101">
        <v>38622.480000000003</v>
      </c>
      <c r="G644" s="5" t="s">
        <v>129</v>
      </c>
      <c r="H644" s="105">
        <v>4098</v>
      </c>
      <c r="I644" s="105">
        <v>30717862453</v>
      </c>
      <c r="J644" s="5" t="s">
        <v>130</v>
      </c>
      <c r="K644" s="101">
        <f>+K643+Tabla6[[#This Row],[IMPORTE]]</f>
        <v>37512155.579999678</v>
      </c>
      <c r="L644" s="5" t="s">
        <v>233</v>
      </c>
      <c r="M644" s="133" t="s">
        <v>100</v>
      </c>
    </row>
    <row r="645" spans="2:13" x14ac:dyDescent="0.35">
      <c r="B645" s="4" t="s">
        <v>117</v>
      </c>
      <c r="C645" s="104" t="s">
        <v>149</v>
      </c>
      <c r="D645" s="105">
        <v>307136</v>
      </c>
      <c r="E645" s="105">
        <v>404</v>
      </c>
      <c r="F645" s="101">
        <v>38622.480000000003</v>
      </c>
      <c r="G645" s="5" t="s">
        <v>129</v>
      </c>
      <c r="H645" s="105">
        <v>4098</v>
      </c>
      <c r="I645" s="105">
        <v>30717862453</v>
      </c>
      <c r="J645" s="5" t="s">
        <v>130</v>
      </c>
      <c r="K645" s="101">
        <f>+K644+Tabla6[[#This Row],[IMPORTE]]</f>
        <v>37550778.059999675</v>
      </c>
      <c r="L645" s="5" t="s">
        <v>233</v>
      </c>
      <c r="M645" s="133" t="s">
        <v>100</v>
      </c>
    </row>
    <row r="646" spans="2:13" x14ac:dyDescent="0.35">
      <c r="B646" s="4" t="s">
        <v>117</v>
      </c>
      <c r="C646" s="104" t="s">
        <v>149</v>
      </c>
      <c r="D646" s="105">
        <v>380610</v>
      </c>
      <c r="E646" s="105">
        <v>404</v>
      </c>
      <c r="F646" s="101">
        <v>38622.480000000003</v>
      </c>
      <c r="G646" s="5" t="s">
        <v>129</v>
      </c>
      <c r="H646" s="105">
        <v>4098</v>
      </c>
      <c r="I646" s="105">
        <v>30717862453</v>
      </c>
      <c r="J646" s="5" t="s">
        <v>130</v>
      </c>
      <c r="K646" s="101">
        <f>+K645+Tabla6[[#This Row],[IMPORTE]]</f>
        <v>37589400.539999671</v>
      </c>
      <c r="L646" s="5" t="s">
        <v>233</v>
      </c>
      <c r="M646" s="133" t="s">
        <v>100</v>
      </c>
    </row>
    <row r="647" spans="2:13" x14ac:dyDescent="0.35">
      <c r="B647" s="4" t="s">
        <v>117</v>
      </c>
      <c r="C647" s="104" t="s">
        <v>149</v>
      </c>
      <c r="D647" s="105">
        <v>385510</v>
      </c>
      <c r="E647" s="105">
        <v>404</v>
      </c>
      <c r="F647" s="101">
        <v>38622.480000000003</v>
      </c>
      <c r="G647" s="5" t="s">
        <v>129</v>
      </c>
      <c r="H647" s="105">
        <v>4098</v>
      </c>
      <c r="I647" s="105">
        <v>30717862453</v>
      </c>
      <c r="J647" s="5" t="s">
        <v>130</v>
      </c>
      <c r="K647" s="101">
        <f>+K646+Tabla6[[#This Row],[IMPORTE]]</f>
        <v>37628023.019999668</v>
      </c>
      <c r="L647" s="5" t="s">
        <v>233</v>
      </c>
      <c r="M647" s="133" t="s">
        <v>100</v>
      </c>
    </row>
    <row r="648" spans="2:13" x14ac:dyDescent="0.35">
      <c r="B648" s="4" t="s">
        <v>117</v>
      </c>
      <c r="C648" s="104" t="s">
        <v>149</v>
      </c>
      <c r="D648" s="105">
        <v>400416</v>
      </c>
      <c r="E648" s="105">
        <v>404</v>
      </c>
      <c r="F648" s="101">
        <v>38622.480000000003</v>
      </c>
      <c r="G648" s="5" t="s">
        <v>129</v>
      </c>
      <c r="H648" s="105">
        <v>4098</v>
      </c>
      <c r="I648" s="105">
        <v>30717862453</v>
      </c>
      <c r="J648" s="5" t="s">
        <v>130</v>
      </c>
      <c r="K648" s="101">
        <f>+K647+Tabla6[[#This Row],[IMPORTE]]</f>
        <v>37666645.499999665</v>
      </c>
      <c r="L648" s="5" t="s">
        <v>233</v>
      </c>
      <c r="M648" s="133" t="s">
        <v>100</v>
      </c>
    </row>
    <row r="649" spans="2:13" x14ac:dyDescent="0.35">
      <c r="B649" s="4" t="s">
        <v>117</v>
      </c>
      <c r="C649" s="104" t="s">
        <v>149</v>
      </c>
      <c r="D649" s="105">
        <v>410453</v>
      </c>
      <c r="E649" s="105">
        <v>404</v>
      </c>
      <c r="F649" s="101">
        <v>38622.480000000003</v>
      </c>
      <c r="G649" s="5" t="s">
        <v>129</v>
      </c>
      <c r="H649" s="105">
        <v>4098</v>
      </c>
      <c r="I649" s="105">
        <v>30717862453</v>
      </c>
      <c r="J649" s="5" t="s">
        <v>130</v>
      </c>
      <c r="K649" s="101">
        <f>+K648+Tabla6[[#This Row],[IMPORTE]]</f>
        <v>37705267.979999661</v>
      </c>
      <c r="L649" s="5" t="s">
        <v>233</v>
      </c>
      <c r="M649" s="133" t="s">
        <v>100</v>
      </c>
    </row>
    <row r="650" spans="2:13" x14ac:dyDescent="0.35">
      <c r="B650" s="4" t="s">
        <v>117</v>
      </c>
      <c r="C650" s="104" t="s">
        <v>149</v>
      </c>
      <c r="D650" s="105">
        <v>428456</v>
      </c>
      <c r="E650" s="105">
        <v>404</v>
      </c>
      <c r="F650" s="101">
        <v>38622.480000000003</v>
      </c>
      <c r="G650" s="5" t="s">
        <v>129</v>
      </c>
      <c r="H650" s="105">
        <v>4098</v>
      </c>
      <c r="I650" s="105">
        <v>30717862453</v>
      </c>
      <c r="J650" s="5" t="s">
        <v>130</v>
      </c>
      <c r="K650" s="101">
        <f>+K649+Tabla6[[#This Row],[IMPORTE]]</f>
        <v>37743890.459999658</v>
      </c>
      <c r="L650" s="5" t="s">
        <v>233</v>
      </c>
      <c r="M650" s="133" t="s">
        <v>100</v>
      </c>
    </row>
    <row r="651" spans="2:13" x14ac:dyDescent="0.35">
      <c r="B651" s="4" t="s">
        <v>117</v>
      </c>
      <c r="C651" s="104" t="s">
        <v>149</v>
      </c>
      <c r="D651" s="105">
        <v>431305</v>
      </c>
      <c r="E651" s="105">
        <v>404</v>
      </c>
      <c r="F651" s="101">
        <v>38622.480000000003</v>
      </c>
      <c r="G651" s="5" t="s">
        <v>129</v>
      </c>
      <c r="H651" s="105">
        <v>4098</v>
      </c>
      <c r="I651" s="105">
        <v>30717862453</v>
      </c>
      <c r="J651" s="5" t="s">
        <v>130</v>
      </c>
      <c r="K651" s="101">
        <f>+K650+Tabla6[[#This Row],[IMPORTE]]</f>
        <v>37782512.939999655</v>
      </c>
      <c r="L651" s="5" t="s">
        <v>233</v>
      </c>
      <c r="M651" s="133" t="s">
        <v>100</v>
      </c>
    </row>
    <row r="652" spans="2:13" x14ac:dyDescent="0.35">
      <c r="B652" s="4" t="s">
        <v>117</v>
      </c>
      <c r="C652" s="104" t="s">
        <v>149</v>
      </c>
      <c r="D652" s="105">
        <v>457343</v>
      </c>
      <c r="E652" s="105">
        <v>404</v>
      </c>
      <c r="F652" s="101">
        <v>38622.480000000003</v>
      </c>
      <c r="G652" s="5" t="s">
        <v>129</v>
      </c>
      <c r="H652" s="105">
        <v>4098</v>
      </c>
      <c r="I652" s="105">
        <v>30717862453</v>
      </c>
      <c r="J652" s="5" t="s">
        <v>130</v>
      </c>
      <c r="K652" s="101">
        <f>+K651+Tabla6[[#This Row],[IMPORTE]]</f>
        <v>37821135.419999652</v>
      </c>
      <c r="L652" s="5" t="s">
        <v>233</v>
      </c>
      <c r="M652" s="133" t="s">
        <v>100</v>
      </c>
    </row>
    <row r="653" spans="2:13" x14ac:dyDescent="0.35">
      <c r="B653" s="4" t="s">
        <v>117</v>
      </c>
      <c r="C653" s="104" t="s">
        <v>149</v>
      </c>
      <c r="D653" s="105">
        <v>472135</v>
      </c>
      <c r="E653" s="105">
        <v>404</v>
      </c>
      <c r="F653" s="101">
        <v>38622.480000000003</v>
      </c>
      <c r="G653" s="5" t="s">
        <v>129</v>
      </c>
      <c r="H653" s="105">
        <v>4098</v>
      </c>
      <c r="I653" s="105">
        <v>30717862453</v>
      </c>
      <c r="J653" s="5" t="s">
        <v>130</v>
      </c>
      <c r="K653" s="101">
        <f>+K652+Tabla6[[#This Row],[IMPORTE]]</f>
        <v>37859757.899999648</v>
      </c>
      <c r="L653" s="5" t="s">
        <v>233</v>
      </c>
      <c r="M653" s="133" t="s">
        <v>100</v>
      </c>
    </row>
    <row r="654" spans="2:13" x14ac:dyDescent="0.35">
      <c r="B654" s="4" t="s">
        <v>117</v>
      </c>
      <c r="C654" s="104" t="s">
        <v>149</v>
      </c>
      <c r="D654" s="105">
        <v>529217</v>
      </c>
      <c r="E654" s="105">
        <v>404</v>
      </c>
      <c r="F654" s="101">
        <v>38622.480000000003</v>
      </c>
      <c r="G654" s="5" t="s">
        <v>129</v>
      </c>
      <c r="H654" s="105">
        <v>4098</v>
      </c>
      <c r="I654" s="105">
        <v>30717862453</v>
      </c>
      <c r="J654" s="5" t="s">
        <v>130</v>
      </c>
      <c r="K654" s="101">
        <f>+K653+Tabla6[[#This Row],[IMPORTE]]</f>
        <v>37898380.379999645</v>
      </c>
      <c r="L654" s="5" t="s">
        <v>233</v>
      </c>
      <c r="M654" s="133" t="s">
        <v>100</v>
      </c>
    </row>
    <row r="655" spans="2:13" x14ac:dyDescent="0.35">
      <c r="B655" s="4" t="s">
        <v>117</v>
      </c>
      <c r="C655" s="104" t="s">
        <v>149</v>
      </c>
      <c r="D655" s="105">
        <v>562207</v>
      </c>
      <c r="E655" s="105">
        <v>404</v>
      </c>
      <c r="F655" s="101">
        <v>38622.480000000003</v>
      </c>
      <c r="G655" s="5" t="s">
        <v>129</v>
      </c>
      <c r="H655" s="105">
        <v>4098</v>
      </c>
      <c r="I655" s="105">
        <v>30717862453</v>
      </c>
      <c r="J655" s="5" t="s">
        <v>130</v>
      </c>
      <c r="K655" s="101">
        <f>+K654+Tabla6[[#This Row],[IMPORTE]]</f>
        <v>37937002.859999642</v>
      </c>
      <c r="L655" s="5" t="s">
        <v>233</v>
      </c>
      <c r="M655" s="133" t="s">
        <v>100</v>
      </c>
    </row>
    <row r="656" spans="2:13" x14ac:dyDescent="0.35">
      <c r="B656" s="4" t="s">
        <v>117</v>
      </c>
      <c r="C656" s="104" t="s">
        <v>149</v>
      </c>
      <c r="D656" s="105">
        <v>616999</v>
      </c>
      <c r="E656" s="105">
        <v>404</v>
      </c>
      <c r="F656" s="101">
        <v>38622.480000000003</v>
      </c>
      <c r="G656" s="5" t="s">
        <v>129</v>
      </c>
      <c r="H656" s="105">
        <v>4098</v>
      </c>
      <c r="I656" s="105">
        <v>30717862453</v>
      </c>
      <c r="J656" s="5" t="s">
        <v>130</v>
      </c>
      <c r="K656" s="101">
        <f>+K655+Tabla6[[#This Row],[IMPORTE]]</f>
        <v>37975625.339999638</v>
      </c>
      <c r="L656" s="5" t="s">
        <v>233</v>
      </c>
      <c r="M656" s="133" t="s">
        <v>100</v>
      </c>
    </row>
    <row r="657" spans="2:13" x14ac:dyDescent="0.35">
      <c r="B657" s="4" t="s">
        <v>117</v>
      </c>
      <c r="C657" s="104" t="s">
        <v>149</v>
      </c>
      <c r="D657" s="105">
        <v>631542</v>
      </c>
      <c r="E657" s="105">
        <v>404</v>
      </c>
      <c r="F657" s="101">
        <v>38622.480000000003</v>
      </c>
      <c r="G657" s="5" t="s">
        <v>129</v>
      </c>
      <c r="H657" s="105">
        <v>4098</v>
      </c>
      <c r="I657" s="105">
        <v>30717862453</v>
      </c>
      <c r="J657" s="5" t="s">
        <v>130</v>
      </c>
      <c r="K657" s="101">
        <f>+K656+Tabla6[[#This Row],[IMPORTE]]</f>
        <v>38014247.819999635</v>
      </c>
      <c r="L657" s="5" t="s">
        <v>233</v>
      </c>
      <c r="M657" s="133" t="s">
        <v>100</v>
      </c>
    </row>
    <row r="658" spans="2:13" x14ac:dyDescent="0.35">
      <c r="B658" s="4" t="s">
        <v>117</v>
      </c>
      <c r="C658" s="104" t="s">
        <v>149</v>
      </c>
      <c r="D658" s="105">
        <v>721312</v>
      </c>
      <c r="E658" s="105">
        <v>404</v>
      </c>
      <c r="F658" s="101">
        <v>38622.480000000003</v>
      </c>
      <c r="G658" s="5" t="s">
        <v>129</v>
      </c>
      <c r="H658" s="105">
        <v>4098</v>
      </c>
      <c r="I658" s="105">
        <v>30717862453</v>
      </c>
      <c r="J658" s="5" t="s">
        <v>130</v>
      </c>
      <c r="K658" s="101">
        <f>+K657+Tabla6[[#This Row],[IMPORTE]]</f>
        <v>38052870.299999632</v>
      </c>
      <c r="L658" s="5" t="s">
        <v>233</v>
      </c>
      <c r="M658" s="133" t="s">
        <v>100</v>
      </c>
    </row>
    <row r="659" spans="2:13" x14ac:dyDescent="0.35">
      <c r="B659" s="4" t="s">
        <v>117</v>
      </c>
      <c r="C659" s="104" t="s">
        <v>149</v>
      </c>
      <c r="D659" s="105">
        <v>830263</v>
      </c>
      <c r="E659" s="105">
        <v>404</v>
      </c>
      <c r="F659" s="101">
        <v>38622.480000000003</v>
      </c>
      <c r="G659" s="5" t="s">
        <v>129</v>
      </c>
      <c r="H659" s="105">
        <v>4098</v>
      </c>
      <c r="I659" s="105">
        <v>30717862453</v>
      </c>
      <c r="J659" s="5" t="s">
        <v>130</v>
      </c>
      <c r="K659" s="101">
        <f>+K658+Tabla6[[#This Row],[IMPORTE]]</f>
        <v>38091492.779999629</v>
      </c>
      <c r="L659" s="5" t="s">
        <v>233</v>
      </c>
      <c r="M659" s="133" t="s">
        <v>100</v>
      </c>
    </row>
    <row r="660" spans="2:13" x14ac:dyDescent="0.35">
      <c r="B660" s="4" t="s">
        <v>117</v>
      </c>
      <c r="C660" s="104" t="s">
        <v>149</v>
      </c>
      <c r="D660" s="105">
        <v>857953</v>
      </c>
      <c r="E660" s="105">
        <v>404</v>
      </c>
      <c r="F660" s="101">
        <v>38622.480000000003</v>
      </c>
      <c r="G660" s="5" t="s">
        <v>129</v>
      </c>
      <c r="H660" s="105">
        <v>4098</v>
      </c>
      <c r="I660" s="105">
        <v>30717862453</v>
      </c>
      <c r="J660" s="5" t="s">
        <v>130</v>
      </c>
      <c r="K660" s="101">
        <f>+K659+Tabla6[[#This Row],[IMPORTE]]</f>
        <v>38130115.259999625</v>
      </c>
      <c r="L660" s="5" t="s">
        <v>233</v>
      </c>
      <c r="M660" s="133" t="s">
        <v>100</v>
      </c>
    </row>
    <row r="661" spans="2:13" x14ac:dyDescent="0.35">
      <c r="B661" s="4" t="s">
        <v>117</v>
      </c>
      <c r="C661" s="104" t="s">
        <v>149</v>
      </c>
      <c r="D661" s="105">
        <v>888808</v>
      </c>
      <c r="E661" s="105">
        <v>404</v>
      </c>
      <c r="F661" s="101">
        <v>38622.480000000003</v>
      </c>
      <c r="G661" s="5" t="s">
        <v>129</v>
      </c>
      <c r="H661" s="105">
        <v>4098</v>
      </c>
      <c r="I661" s="105">
        <v>30717862453</v>
      </c>
      <c r="J661" s="5" t="s">
        <v>130</v>
      </c>
      <c r="K661" s="101">
        <f>+K660+Tabla6[[#This Row],[IMPORTE]]</f>
        <v>38168737.739999622</v>
      </c>
      <c r="L661" s="5" t="s">
        <v>233</v>
      </c>
      <c r="M661" s="133" t="s">
        <v>100</v>
      </c>
    </row>
    <row r="662" spans="2:13" x14ac:dyDescent="0.35">
      <c r="B662" s="4" t="s">
        <v>117</v>
      </c>
      <c r="C662" s="104" t="s">
        <v>149</v>
      </c>
      <c r="D662" s="105">
        <v>908016</v>
      </c>
      <c r="E662" s="105">
        <v>404</v>
      </c>
      <c r="F662" s="101">
        <v>38622.480000000003</v>
      </c>
      <c r="G662" s="5" t="s">
        <v>129</v>
      </c>
      <c r="H662" s="105">
        <v>4098</v>
      </c>
      <c r="I662" s="105">
        <v>30717862453</v>
      </c>
      <c r="J662" s="5" t="s">
        <v>130</v>
      </c>
      <c r="K662" s="101">
        <f>+K661+Tabla6[[#This Row],[IMPORTE]]</f>
        <v>38207360.219999619</v>
      </c>
      <c r="L662" s="5" t="s">
        <v>233</v>
      </c>
      <c r="M662" s="133" t="s">
        <v>100</v>
      </c>
    </row>
    <row r="663" spans="2:13" x14ac:dyDescent="0.35">
      <c r="B663" s="4" t="s">
        <v>117</v>
      </c>
      <c r="C663" s="104" t="s">
        <v>149</v>
      </c>
      <c r="D663" s="105">
        <v>914587</v>
      </c>
      <c r="E663" s="105">
        <v>404</v>
      </c>
      <c r="F663" s="101">
        <v>38622.480000000003</v>
      </c>
      <c r="G663" s="5" t="s">
        <v>129</v>
      </c>
      <c r="H663" s="105">
        <v>4098</v>
      </c>
      <c r="I663" s="105">
        <v>30717862453</v>
      </c>
      <c r="J663" s="5" t="s">
        <v>130</v>
      </c>
      <c r="K663" s="101">
        <f>+K662+Tabla6[[#This Row],[IMPORTE]]</f>
        <v>38245982.699999616</v>
      </c>
      <c r="L663" s="5" t="s">
        <v>233</v>
      </c>
      <c r="M663" s="133" t="s">
        <v>100</v>
      </c>
    </row>
    <row r="664" spans="2:13" x14ac:dyDescent="0.35">
      <c r="B664" s="4" t="s">
        <v>117</v>
      </c>
      <c r="C664" s="104" t="s">
        <v>149</v>
      </c>
      <c r="D664" s="105">
        <v>922660</v>
      </c>
      <c r="E664" s="105">
        <v>404</v>
      </c>
      <c r="F664" s="101">
        <v>38622.480000000003</v>
      </c>
      <c r="G664" s="5" t="s">
        <v>129</v>
      </c>
      <c r="H664" s="105">
        <v>4098</v>
      </c>
      <c r="I664" s="105">
        <v>30717862453</v>
      </c>
      <c r="J664" s="5" t="s">
        <v>130</v>
      </c>
      <c r="K664" s="101">
        <f>+K663+Tabla6[[#This Row],[IMPORTE]]</f>
        <v>38284605.179999612</v>
      </c>
      <c r="L664" s="5" t="s">
        <v>233</v>
      </c>
      <c r="M664" s="133" t="s">
        <v>100</v>
      </c>
    </row>
    <row r="665" spans="2:13" x14ac:dyDescent="0.35">
      <c r="B665" s="4" t="s">
        <v>117</v>
      </c>
      <c r="C665" s="104" t="s">
        <v>149</v>
      </c>
      <c r="D665" s="105">
        <v>944477</v>
      </c>
      <c r="E665" s="105">
        <v>404</v>
      </c>
      <c r="F665" s="101">
        <v>38622.480000000003</v>
      </c>
      <c r="G665" s="5" t="s">
        <v>129</v>
      </c>
      <c r="H665" s="105">
        <v>4098</v>
      </c>
      <c r="I665" s="105">
        <v>30717862453</v>
      </c>
      <c r="J665" s="5" t="s">
        <v>130</v>
      </c>
      <c r="K665" s="101">
        <f>+K664+Tabla6[[#This Row],[IMPORTE]]</f>
        <v>38323227.659999609</v>
      </c>
      <c r="L665" s="5" t="s">
        <v>233</v>
      </c>
      <c r="M665" s="133" t="s">
        <v>100</v>
      </c>
    </row>
    <row r="666" spans="2:13" x14ac:dyDescent="0.35">
      <c r="B666" s="4" t="s">
        <v>117</v>
      </c>
      <c r="C666" s="104" t="s">
        <v>149</v>
      </c>
      <c r="D666" s="105">
        <v>965125</v>
      </c>
      <c r="E666" s="105">
        <v>404</v>
      </c>
      <c r="F666" s="101">
        <v>38622.480000000003</v>
      </c>
      <c r="G666" s="5" t="s">
        <v>129</v>
      </c>
      <c r="H666" s="105">
        <v>4098</v>
      </c>
      <c r="I666" s="105">
        <v>30717862453</v>
      </c>
      <c r="J666" s="5" t="s">
        <v>130</v>
      </c>
      <c r="K666" s="101">
        <f>+K665+Tabla6[[#This Row],[IMPORTE]]</f>
        <v>38361850.139999606</v>
      </c>
      <c r="L666" s="5" t="s">
        <v>233</v>
      </c>
      <c r="M666" s="133" t="s">
        <v>100</v>
      </c>
    </row>
    <row r="667" spans="2:13" x14ac:dyDescent="0.35">
      <c r="B667" s="4" t="s">
        <v>117</v>
      </c>
      <c r="C667" s="104" t="s">
        <v>149</v>
      </c>
      <c r="D667" s="105">
        <v>981882</v>
      </c>
      <c r="E667" s="105">
        <v>404</v>
      </c>
      <c r="F667" s="101">
        <v>38622.480000000003</v>
      </c>
      <c r="G667" s="5" t="s">
        <v>129</v>
      </c>
      <c r="H667" s="105">
        <v>4098</v>
      </c>
      <c r="I667" s="105">
        <v>30717862453</v>
      </c>
      <c r="J667" s="5" t="s">
        <v>130</v>
      </c>
      <c r="K667" s="101">
        <f>+K666+Tabla6[[#This Row],[IMPORTE]]</f>
        <v>38400472.619999602</v>
      </c>
      <c r="L667" s="5" t="s">
        <v>233</v>
      </c>
      <c r="M667" s="133" t="s">
        <v>100</v>
      </c>
    </row>
    <row r="668" spans="2:13" x14ac:dyDescent="0.35">
      <c r="B668" s="4" t="s">
        <v>117</v>
      </c>
      <c r="C668" s="104" t="s">
        <v>149</v>
      </c>
      <c r="D668" s="105">
        <v>989643</v>
      </c>
      <c r="E668" s="105">
        <v>404</v>
      </c>
      <c r="F668" s="101">
        <v>38622.480000000003</v>
      </c>
      <c r="G668" s="5" t="s">
        <v>129</v>
      </c>
      <c r="H668" s="105">
        <v>4098</v>
      </c>
      <c r="I668" s="105">
        <v>30717862453</v>
      </c>
      <c r="J668" s="5" t="s">
        <v>130</v>
      </c>
      <c r="K668" s="101">
        <f>+K667+Tabla6[[#This Row],[IMPORTE]]</f>
        <v>38439095.099999599</v>
      </c>
      <c r="L668" s="5" t="s">
        <v>233</v>
      </c>
      <c r="M668" s="133" t="s">
        <v>100</v>
      </c>
    </row>
    <row r="669" spans="2:13" x14ac:dyDescent="0.35">
      <c r="B669" s="4" t="s">
        <v>104</v>
      </c>
      <c r="C669" s="104" t="s">
        <v>149</v>
      </c>
      <c r="D669" s="105">
        <v>203404</v>
      </c>
      <c r="E669" s="105">
        <v>404</v>
      </c>
      <c r="F669" s="101">
        <v>44986.97</v>
      </c>
      <c r="G669" s="5" t="s">
        <v>106</v>
      </c>
      <c r="H669" s="105">
        <v>183</v>
      </c>
      <c r="I669" s="70" t="s">
        <v>107</v>
      </c>
      <c r="J669" s="5" t="s">
        <v>116</v>
      </c>
      <c r="K669" s="101">
        <f>+K668+Tabla6[[#This Row],[IMPORTE]]</f>
        <v>38484082.069999598</v>
      </c>
      <c r="L669" s="5" t="s">
        <v>236</v>
      </c>
      <c r="M669" s="133" t="s">
        <v>100</v>
      </c>
    </row>
    <row r="670" spans="2:13" x14ac:dyDescent="0.35">
      <c r="B670" s="4" t="s">
        <v>117</v>
      </c>
      <c r="C670" s="104" t="s">
        <v>149</v>
      </c>
      <c r="D670" s="105">
        <v>821054</v>
      </c>
      <c r="E670" s="105">
        <v>404</v>
      </c>
      <c r="F670" s="101">
        <v>45005.3</v>
      </c>
      <c r="G670" s="5" t="s">
        <v>129</v>
      </c>
      <c r="H670" s="105">
        <v>4098</v>
      </c>
      <c r="I670" s="105">
        <v>30717862453</v>
      </c>
      <c r="J670" s="5" t="s">
        <v>130</v>
      </c>
      <c r="K670" s="101">
        <f>+K669+Tabla6[[#This Row],[IMPORTE]]</f>
        <v>38529087.369999595</v>
      </c>
      <c r="L670" s="5" t="s">
        <v>233</v>
      </c>
      <c r="M670" s="133" t="s">
        <v>100</v>
      </c>
    </row>
    <row r="671" spans="2:13" x14ac:dyDescent="0.35">
      <c r="B671" s="4" t="s">
        <v>104</v>
      </c>
      <c r="C671" s="104" t="s">
        <v>149</v>
      </c>
      <c r="D671" s="105">
        <v>203413</v>
      </c>
      <c r="E671" s="105">
        <v>404</v>
      </c>
      <c r="F671" s="101">
        <v>50741.599999999999</v>
      </c>
      <c r="G671" s="5" t="s">
        <v>106</v>
      </c>
      <c r="H671" s="105">
        <v>183</v>
      </c>
      <c r="I671" s="70" t="s">
        <v>107</v>
      </c>
      <c r="J671" s="5" t="s">
        <v>109</v>
      </c>
      <c r="K671" s="101">
        <f>+K670+Tabla6[[#This Row],[IMPORTE]]</f>
        <v>38579828.969999596</v>
      </c>
      <c r="L671" s="5" t="s">
        <v>234</v>
      </c>
      <c r="M671" s="133" t="s">
        <v>100</v>
      </c>
    </row>
    <row r="672" spans="2:13" x14ac:dyDescent="0.35">
      <c r="B672" s="4" t="s">
        <v>117</v>
      </c>
      <c r="C672" s="104" t="s">
        <v>149</v>
      </c>
      <c r="D672" s="105">
        <v>57545</v>
      </c>
      <c r="E672" s="105">
        <v>404</v>
      </c>
      <c r="F672" s="101">
        <v>51496.639999999999</v>
      </c>
      <c r="G672" s="5" t="s">
        <v>129</v>
      </c>
      <c r="H672" s="105">
        <v>4098</v>
      </c>
      <c r="I672" s="105">
        <v>30717862453</v>
      </c>
      <c r="J672" s="5" t="s">
        <v>130</v>
      </c>
      <c r="K672" s="101">
        <f>+K671+Tabla6[[#This Row],[IMPORTE]]</f>
        <v>38631325.609999597</v>
      </c>
      <c r="L672" s="5" t="s">
        <v>233</v>
      </c>
      <c r="M672" s="133" t="s">
        <v>100</v>
      </c>
    </row>
    <row r="673" spans="2:13" x14ac:dyDescent="0.35">
      <c r="B673" s="4" t="s">
        <v>117</v>
      </c>
      <c r="C673" s="104" t="s">
        <v>149</v>
      </c>
      <c r="D673" s="105">
        <v>128862</v>
      </c>
      <c r="E673" s="105">
        <v>404</v>
      </c>
      <c r="F673" s="101">
        <v>51496.639999999999</v>
      </c>
      <c r="G673" s="5" t="s">
        <v>129</v>
      </c>
      <c r="H673" s="105">
        <v>4098</v>
      </c>
      <c r="I673" s="105">
        <v>30717862453</v>
      </c>
      <c r="J673" s="5" t="s">
        <v>130</v>
      </c>
      <c r="K673" s="101">
        <f>+K672+Tabla6[[#This Row],[IMPORTE]]</f>
        <v>38682822.249999598</v>
      </c>
      <c r="L673" s="5" t="s">
        <v>233</v>
      </c>
      <c r="M673" s="133" t="s">
        <v>100</v>
      </c>
    </row>
    <row r="674" spans="2:13" x14ac:dyDescent="0.35">
      <c r="B674" s="4" t="s">
        <v>117</v>
      </c>
      <c r="C674" s="104" t="s">
        <v>149</v>
      </c>
      <c r="D674" s="105">
        <v>163244</v>
      </c>
      <c r="E674" s="105">
        <v>404</v>
      </c>
      <c r="F674" s="101">
        <v>51496.639999999999</v>
      </c>
      <c r="G674" s="5" t="s">
        <v>129</v>
      </c>
      <c r="H674" s="105">
        <v>4098</v>
      </c>
      <c r="I674" s="105">
        <v>30717862453</v>
      </c>
      <c r="J674" s="5" t="s">
        <v>130</v>
      </c>
      <c r="K674" s="101">
        <f>+K673+Tabla6[[#This Row],[IMPORTE]]</f>
        <v>38734318.889999598</v>
      </c>
      <c r="L674" s="5" t="s">
        <v>233</v>
      </c>
      <c r="M674" s="133" t="s">
        <v>100</v>
      </c>
    </row>
    <row r="675" spans="2:13" x14ac:dyDescent="0.35">
      <c r="B675" s="4" t="s">
        <v>117</v>
      </c>
      <c r="C675" s="104" t="s">
        <v>149</v>
      </c>
      <c r="D675" s="105">
        <v>241591</v>
      </c>
      <c r="E675" s="105">
        <v>404</v>
      </c>
      <c r="F675" s="101">
        <v>51496.639999999999</v>
      </c>
      <c r="G675" s="5" t="s">
        <v>129</v>
      </c>
      <c r="H675" s="105">
        <v>4098</v>
      </c>
      <c r="I675" s="105">
        <v>30717862453</v>
      </c>
      <c r="J675" s="5" t="s">
        <v>130</v>
      </c>
      <c r="K675" s="101">
        <f>+K674+Tabla6[[#This Row],[IMPORTE]]</f>
        <v>38785815.529999599</v>
      </c>
      <c r="L675" s="5" t="s">
        <v>233</v>
      </c>
      <c r="M675" s="133" t="s">
        <v>100</v>
      </c>
    </row>
    <row r="676" spans="2:13" x14ac:dyDescent="0.35">
      <c r="B676" s="4" t="s">
        <v>117</v>
      </c>
      <c r="C676" s="104" t="s">
        <v>149</v>
      </c>
      <c r="D676" s="105">
        <v>315384</v>
      </c>
      <c r="E676" s="105">
        <v>404</v>
      </c>
      <c r="F676" s="101">
        <v>51496.639999999999</v>
      </c>
      <c r="G676" s="5" t="s">
        <v>129</v>
      </c>
      <c r="H676" s="105">
        <v>4098</v>
      </c>
      <c r="I676" s="105">
        <v>30717862453</v>
      </c>
      <c r="J676" s="5" t="s">
        <v>130</v>
      </c>
      <c r="K676" s="101">
        <f>+K675+Tabla6[[#This Row],[IMPORTE]]</f>
        <v>38837312.169999599</v>
      </c>
      <c r="L676" s="5" t="s">
        <v>233</v>
      </c>
      <c r="M676" s="133" t="s">
        <v>100</v>
      </c>
    </row>
    <row r="677" spans="2:13" x14ac:dyDescent="0.35">
      <c r="B677" s="4" t="s">
        <v>117</v>
      </c>
      <c r="C677" s="104" t="s">
        <v>149</v>
      </c>
      <c r="D677" s="105">
        <v>425658</v>
      </c>
      <c r="E677" s="105">
        <v>404</v>
      </c>
      <c r="F677" s="101">
        <v>51496.639999999999</v>
      </c>
      <c r="G677" s="5" t="s">
        <v>129</v>
      </c>
      <c r="H677" s="105">
        <v>4098</v>
      </c>
      <c r="I677" s="105">
        <v>30717862453</v>
      </c>
      <c r="J677" s="5" t="s">
        <v>130</v>
      </c>
      <c r="K677" s="101">
        <f>+K676+Tabla6[[#This Row],[IMPORTE]]</f>
        <v>38888808.8099996</v>
      </c>
      <c r="L677" s="5" t="s">
        <v>233</v>
      </c>
      <c r="M677" s="133" t="s">
        <v>100</v>
      </c>
    </row>
    <row r="678" spans="2:13" x14ac:dyDescent="0.35">
      <c r="B678" s="4" t="s">
        <v>117</v>
      </c>
      <c r="C678" s="104" t="s">
        <v>149</v>
      </c>
      <c r="D678" s="105">
        <v>527920</v>
      </c>
      <c r="E678" s="105">
        <v>404</v>
      </c>
      <c r="F678" s="101">
        <v>51496.639999999999</v>
      </c>
      <c r="G678" s="5" t="s">
        <v>129</v>
      </c>
      <c r="H678" s="105">
        <v>4098</v>
      </c>
      <c r="I678" s="105">
        <v>30717862453</v>
      </c>
      <c r="J678" s="5" t="s">
        <v>130</v>
      </c>
      <c r="K678" s="101">
        <f>+K677+Tabla6[[#This Row],[IMPORTE]]</f>
        <v>38940305.449999601</v>
      </c>
      <c r="L678" s="5" t="s">
        <v>233</v>
      </c>
      <c r="M678" s="133" t="s">
        <v>100</v>
      </c>
    </row>
    <row r="679" spans="2:13" x14ac:dyDescent="0.35">
      <c r="B679" s="4" t="s">
        <v>117</v>
      </c>
      <c r="C679" s="104" t="s">
        <v>149</v>
      </c>
      <c r="D679" s="105">
        <v>592309</v>
      </c>
      <c r="E679" s="105">
        <v>404</v>
      </c>
      <c r="F679" s="101">
        <v>51496.639999999999</v>
      </c>
      <c r="G679" s="5" t="s">
        <v>129</v>
      </c>
      <c r="H679" s="105">
        <v>4098</v>
      </c>
      <c r="I679" s="105">
        <v>30717862453</v>
      </c>
      <c r="J679" s="5" t="s">
        <v>130</v>
      </c>
      <c r="K679" s="101">
        <f>+K678+Tabla6[[#This Row],[IMPORTE]]</f>
        <v>38991802.089999601</v>
      </c>
      <c r="L679" s="5" t="s">
        <v>233</v>
      </c>
      <c r="M679" s="133" t="s">
        <v>100</v>
      </c>
    </row>
    <row r="680" spans="2:13" x14ac:dyDescent="0.35">
      <c r="B680" s="4" t="s">
        <v>117</v>
      </c>
      <c r="C680" s="104" t="s">
        <v>149</v>
      </c>
      <c r="D680" s="105">
        <v>670301</v>
      </c>
      <c r="E680" s="105">
        <v>404</v>
      </c>
      <c r="F680" s="101">
        <v>51496.639999999999</v>
      </c>
      <c r="G680" s="5" t="s">
        <v>129</v>
      </c>
      <c r="H680" s="105">
        <v>4098</v>
      </c>
      <c r="I680" s="105">
        <v>30717862453</v>
      </c>
      <c r="J680" s="5" t="s">
        <v>130</v>
      </c>
      <c r="K680" s="101">
        <f>+K679+Tabla6[[#This Row],[IMPORTE]]</f>
        <v>39043298.729999602</v>
      </c>
      <c r="L680" s="5" t="s">
        <v>233</v>
      </c>
      <c r="M680" s="133" t="s">
        <v>100</v>
      </c>
    </row>
    <row r="681" spans="2:13" x14ac:dyDescent="0.35">
      <c r="B681" s="4" t="s">
        <v>117</v>
      </c>
      <c r="C681" s="104" t="s">
        <v>149</v>
      </c>
      <c r="D681" s="105">
        <v>738364</v>
      </c>
      <c r="E681" s="105">
        <v>404</v>
      </c>
      <c r="F681" s="101">
        <v>51496.639999999999</v>
      </c>
      <c r="G681" s="5" t="s">
        <v>129</v>
      </c>
      <c r="H681" s="105">
        <v>4098</v>
      </c>
      <c r="I681" s="105">
        <v>30717862453</v>
      </c>
      <c r="J681" s="5" t="s">
        <v>130</v>
      </c>
      <c r="K681" s="101">
        <f>+K680+Tabla6[[#This Row],[IMPORTE]]</f>
        <v>39094795.369999602</v>
      </c>
      <c r="L681" s="5" t="s">
        <v>233</v>
      </c>
      <c r="M681" s="133" t="s">
        <v>100</v>
      </c>
    </row>
    <row r="682" spans="2:13" x14ac:dyDescent="0.35">
      <c r="B682" s="4" t="s">
        <v>117</v>
      </c>
      <c r="C682" s="104" t="s">
        <v>149</v>
      </c>
      <c r="D682" s="105">
        <v>908623</v>
      </c>
      <c r="E682" s="105">
        <v>404</v>
      </c>
      <c r="F682" s="101">
        <v>51496.639999999999</v>
      </c>
      <c r="G682" s="5" t="s">
        <v>129</v>
      </c>
      <c r="H682" s="105">
        <v>4098</v>
      </c>
      <c r="I682" s="105">
        <v>30717862453</v>
      </c>
      <c r="J682" s="5" t="s">
        <v>130</v>
      </c>
      <c r="K682" s="101">
        <f>+K681+Tabla6[[#This Row],[IMPORTE]]</f>
        <v>39146292.009999603</v>
      </c>
      <c r="L682" s="5" t="s">
        <v>233</v>
      </c>
      <c r="M682" s="133" t="s">
        <v>100</v>
      </c>
    </row>
    <row r="683" spans="2:13" x14ac:dyDescent="0.35">
      <c r="B683" s="4" t="s">
        <v>117</v>
      </c>
      <c r="C683" s="104" t="s">
        <v>149</v>
      </c>
      <c r="D683" s="105">
        <v>917357</v>
      </c>
      <c r="E683" s="105">
        <v>404</v>
      </c>
      <c r="F683" s="101">
        <v>51496.639999999999</v>
      </c>
      <c r="G683" s="5" t="s">
        <v>129</v>
      </c>
      <c r="H683" s="105">
        <v>4098</v>
      </c>
      <c r="I683" s="105">
        <v>30717862453</v>
      </c>
      <c r="J683" s="5" t="s">
        <v>130</v>
      </c>
      <c r="K683" s="101">
        <f>+K682+Tabla6[[#This Row],[IMPORTE]]</f>
        <v>39197788.649999604</v>
      </c>
      <c r="L683" s="5" t="s">
        <v>233</v>
      </c>
      <c r="M683" s="133" t="s">
        <v>100</v>
      </c>
    </row>
    <row r="684" spans="2:13" x14ac:dyDescent="0.35">
      <c r="B684" s="4" t="s">
        <v>117</v>
      </c>
      <c r="C684" s="104" t="s">
        <v>149</v>
      </c>
      <c r="D684" s="105">
        <v>990126</v>
      </c>
      <c r="E684" s="105">
        <v>404</v>
      </c>
      <c r="F684" s="101">
        <v>51496.639999999999</v>
      </c>
      <c r="G684" s="5" t="s">
        <v>129</v>
      </c>
      <c r="H684" s="105">
        <v>4098</v>
      </c>
      <c r="I684" s="105">
        <v>30717862453</v>
      </c>
      <c r="J684" s="5" t="s">
        <v>130</v>
      </c>
      <c r="K684" s="101">
        <f>+K683+Tabla6[[#This Row],[IMPORTE]]</f>
        <v>39249285.289999604</v>
      </c>
      <c r="L684" s="5" t="s">
        <v>233</v>
      </c>
      <c r="M684" s="133" t="s">
        <v>100</v>
      </c>
    </row>
    <row r="685" spans="2:13" x14ac:dyDescent="0.35">
      <c r="B685" s="4" t="s">
        <v>104</v>
      </c>
      <c r="C685" s="104" t="s">
        <v>149</v>
      </c>
      <c r="D685" s="105">
        <v>203405</v>
      </c>
      <c r="E685" s="105">
        <v>404</v>
      </c>
      <c r="F685" s="101">
        <v>52027.97</v>
      </c>
      <c r="G685" s="5" t="s">
        <v>106</v>
      </c>
      <c r="H685" s="105">
        <v>183</v>
      </c>
      <c r="I685" s="70" t="s">
        <v>107</v>
      </c>
      <c r="J685" s="5" t="s">
        <v>116</v>
      </c>
      <c r="K685" s="101">
        <f>+K684+Tabla6[[#This Row],[IMPORTE]]</f>
        <v>39301313.259999603</v>
      </c>
      <c r="L685" s="5" t="s">
        <v>237</v>
      </c>
      <c r="M685" s="133" t="s">
        <v>100</v>
      </c>
    </row>
    <row r="686" spans="2:13" x14ac:dyDescent="0.35">
      <c r="B686" s="4" t="s">
        <v>104</v>
      </c>
      <c r="C686" s="104" t="s">
        <v>149</v>
      </c>
      <c r="D686" s="105">
        <v>203409</v>
      </c>
      <c r="E686" s="105">
        <v>404</v>
      </c>
      <c r="F686" s="101">
        <v>52338.86</v>
      </c>
      <c r="G686" s="5" t="s">
        <v>106</v>
      </c>
      <c r="H686" s="105">
        <v>183</v>
      </c>
      <c r="I686" s="70" t="s">
        <v>107</v>
      </c>
      <c r="J686" s="5" t="s">
        <v>115</v>
      </c>
      <c r="K686" s="101">
        <f>+K685+Tabla6[[#This Row],[IMPORTE]]</f>
        <v>39353652.119999602</v>
      </c>
      <c r="L686" s="5" t="s">
        <v>237</v>
      </c>
      <c r="M686" s="133" t="s">
        <v>100</v>
      </c>
    </row>
    <row r="687" spans="2:13" x14ac:dyDescent="0.35">
      <c r="B687" s="4" t="s">
        <v>104</v>
      </c>
      <c r="C687" s="104" t="s">
        <v>149</v>
      </c>
      <c r="D687" s="105">
        <v>203407</v>
      </c>
      <c r="E687" s="105">
        <v>404</v>
      </c>
      <c r="F687" s="101">
        <v>76112.399999999994</v>
      </c>
      <c r="G687" s="5" t="s">
        <v>106</v>
      </c>
      <c r="H687" s="105">
        <v>183</v>
      </c>
      <c r="I687" s="70" t="s">
        <v>107</v>
      </c>
      <c r="J687" s="5" t="s">
        <v>116</v>
      </c>
      <c r="K687" s="101">
        <f>+K686+Tabla6[[#This Row],[IMPORTE]]</f>
        <v>39429764.519999601</v>
      </c>
      <c r="L687" s="5" t="s">
        <v>234</v>
      </c>
      <c r="M687" s="133" t="s">
        <v>100</v>
      </c>
    </row>
    <row r="688" spans="2:13" x14ac:dyDescent="0.35">
      <c r="B688" s="4" t="s">
        <v>117</v>
      </c>
      <c r="C688" s="104" t="s">
        <v>149</v>
      </c>
      <c r="D688" s="105">
        <v>527984</v>
      </c>
      <c r="E688" s="105">
        <v>404</v>
      </c>
      <c r="F688" s="101">
        <v>77244.960000000006</v>
      </c>
      <c r="G688" s="5" t="s">
        <v>129</v>
      </c>
      <c r="H688" s="105">
        <v>4098</v>
      </c>
      <c r="I688" s="105">
        <v>30717862453</v>
      </c>
      <c r="J688" s="5" t="s">
        <v>130</v>
      </c>
      <c r="K688" s="101">
        <f>+K687+Tabla6[[#This Row],[IMPORTE]]</f>
        <v>39507009.479999602</v>
      </c>
      <c r="L688" s="5" t="s">
        <v>233</v>
      </c>
      <c r="M688" s="133" t="s">
        <v>100</v>
      </c>
    </row>
    <row r="689" spans="2:13" x14ac:dyDescent="0.35">
      <c r="B689" s="4" t="s">
        <v>117</v>
      </c>
      <c r="C689" s="104" t="s">
        <v>149</v>
      </c>
      <c r="D689" s="105">
        <v>857516</v>
      </c>
      <c r="E689" s="105">
        <v>404</v>
      </c>
      <c r="F689" s="101">
        <v>77244.960000000006</v>
      </c>
      <c r="G689" s="5" t="s">
        <v>129</v>
      </c>
      <c r="H689" s="105">
        <v>4098</v>
      </c>
      <c r="I689" s="105">
        <v>30717862453</v>
      </c>
      <c r="J689" s="5" t="s">
        <v>130</v>
      </c>
      <c r="K689" s="101">
        <f>+K688+Tabla6[[#This Row],[IMPORTE]]</f>
        <v>39584254.439999603</v>
      </c>
      <c r="L689" s="5" t="s">
        <v>233</v>
      </c>
      <c r="M689" s="133" t="s">
        <v>100</v>
      </c>
    </row>
    <row r="690" spans="2:13" x14ac:dyDescent="0.35">
      <c r="B690" s="4" t="s">
        <v>104</v>
      </c>
      <c r="C690" s="104" t="s">
        <v>149</v>
      </c>
      <c r="D690" s="105">
        <v>203416</v>
      </c>
      <c r="E690" s="105">
        <v>404</v>
      </c>
      <c r="F690" s="101">
        <v>94018.73</v>
      </c>
      <c r="G690" s="5" t="s">
        <v>106</v>
      </c>
      <c r="H690" s="105">
        <v>183</v>
      </c>
      <c r="I690" s="70" t="s">
        <v>107</v>
      </c>
      <c r="J690" s="5" t="s">
        <v>113</v>
      </c>
      <c r="K690" s="101">
        <f>+K689+Tabla6[[#This Row],[IMPORTE]]</f>
        <v>39678273.169999599</v>
      </c>
      <c r="L690" s="5" t="s">
        <v>234</v>
      </c>
      <c r="M690" s="133" t="s">
        <v>100</v>
      </c>
    </row>
    <row r="691" spans="2:13" x14ac:dyDescent="0.35">
      <c r="B691" s="4" t="s">
        <v>117</v>
      </c>
      <c r="C691" s="104" t="s">
        <v>149</v>
      </c>
      <c r="D691" s="105">
        <v>909618</v>
      </c>
      <c r="E691" s="105">
        <v>404</v>
      </c>
      <c r="F691" s="101">
        <v>94183.49</v>
      </c>
      <c r="G691" s="5" t="s">
        <v>129</v>
      </c>
      <c r="H691" s="105">
        <v>4098</v>
      </c>
      <c r="I691" s="105">
        <v>30717862453</v>
      </c>
      <c r="J691" s="5" t="s">
        <v>130</v>
      </c>
      <c r="K691" s="101">
        <f>+K690+Tabla6[[#This Row],[IMPORTE]]</f>
        <v>39772456.659999602</v>
      </c>
      <c r="L691" s="5" t="s">
        <v>233</v>
      </c>
      <c r="M691" s="133" t="s">
        <v>100</v>
      </c>
    </row>
    <row r="692" spans="2:13" x14ac:dyDescent="0.35">
      <c r="B692" s="4" t="s">
        <v>117</v>
      </c>
      <c r="C692" s="104" t="s">
        <v>149</v>
      </c>
      <c r="D692" s="105">
        <v>961571</v>
      </c>
      <c r="E692" s="105">
        <v>404</v>
      </c>
      <c r="F692" s="101">
        <v>102993.28</v>
      </c>
      <c r="G692" s="5" t="s">
        <v>129</v>
      </c>
      <c r="H692" s="105">
        <v>4098</v>
      </c>
      <c r="I692" s="105">
        <v>30717862453</v>
      </c>
      <c r="J692" s="5" t="s">
        <v>130</v>
      </c>
      <c r="K692" s="101">
        <f>+K691+Tabla6[[#This Row],[IMPORTE]]</f>
        <v>39875449.939999603</v>
      </c>
      <c r="L692" s="5" t="s">
        <v>233</v>
      </c>
      <c r="M692" s="133" t="s">
        <v>100</v>
      </c>
    </row>
    <row r="693" spans="2:13" x14ac:dyDescent="0.35">
      <c r="B693" s="4" t="s">
        <v>104</v>
      </c>
      <c r="C693" s="104" t="s">
        <v>149</v>
      </c>
      <c r="D693" s="105">
        <v>203412</v>
      </c>
      <c r="E693" s="105">
        <v>404</v>
      </c>
      <c r="F693" s="101">
        <v>126831.28</v>
      </c>
      <c r="G693" s="5" t="s">
        <v>106</v>
      </c>
      <c r="H693" s="105">
        <v>183</v>
      </c>
      <c r="I693" s="70" t="s">
        <v>107</v>
      </c>
      <c r="J693" s="5" t="s">
        <v>109</v>
      </c>
      <c r="K693" s="101">
        <f>+K692+Tabla6[[#This Row],[IMPORTE]]</f>
        <v>40002281.219999604</v>
      </c>
      <c r="L693" s="5" t="s">
        <v>235</v>
      </c>
      <c r="M693" s="133" t="s">
        <v>100</v>
      </c>
    </row>
    <row r="694" spans="2:13" x14ac:dyDescent="0.35">
      <c r="B694" s="4" t="s">
        <v>117</v>
      </c>
      <c r="C694" s="104" t="s">
        <v>149</v>
      </c>
      <c r="D694" s="105">
        <v>914176</v>
      </c>
      <c r="E694" s="105">
        <v>404</v>
      </c>
      <c r="F694" s="101">
        <v>134094.54999999999</v>
      </c>
      <c r="G694" s="5" t="s">
        <v>129</v>
      </c>
      <c r="H694" s="105">
        <v>4098</v>
      </c>
      <c r="I694" s="105">
        <v>30717862453</v>
      </c>
      <c r="J694" s="5" t="s">
        <v>130</v>
      </c>
      <c r="K694" s="101">
        <f>+K693+Tabla6[[#This Row],[IMPORTE]]</f>
        <v>40136375.769999601</v>
      </c>
      <c r="L694" s="5" t="s">
        <v>233</v>
      </c>
      <c r="M694" s="133" t="s">
        <v>100</v>
      </c>
    </row>
    <row r="695" spans="2:13" x14ac:dyDescent="0.35">
      <c r="B695" s="4" t="s">
        <v>104</v>
      </c>
      <c r="C695" s="104" t="s">
        <v>149</v>
      </c>
      <c r="D695" s="105">
        <v>203414</v>
      </c>
      <c r="E695" s="105">
        <v>404</v>
      </c>
      <c r="F695" s="101">
        <v>135701.12</v>
      </c>
      <c r="G695" s="5" t="s">
        <v>106</v>
      </c>
      <c r="H695" s="105">
        <v>183</v>
      </c>
      <c r="I695" s="70" t="s">
        <v>107</v>
      </c>
      <c r="J695" s="5" t="s">
        <v>113</v>
      </c>
      <c r="K695" s="101">
        <f>+K694+Tabla6[[#This Row],[IMPORTE]]</f>
        <v>40272076.889999598</v>
      </c>
      <c r="L695" s="5" t="s">
        <v>237</v>
      </c>
      <c r="M695" s="133" t="s">
        <v>100</v>
      </c>
    </row>
    <row r="696" spans="2:13" x14ac:dyDescent="0.35">
      <c r="B696" s="4" t="s">
        <v>104</v>
      </c>
      <c r="C696" s="104" t="s">
        <v>149</v>
      </c>
      <c r="D696" s="105">
        <v>203401</v>
      </c>
      <c r="E696" s="105">
        <v>404</v>
      </c>
      <c r="F696" s="101">
        <v>166955.1</v>
      </c>
      <c r="G696" s="5" t="s">
        <v>106</v>
      </c>
      <c r="H696" s="105">
        <v>183</v>
      </c>
      <c r="I696" s="70" t="s">
        <v>107</v>
      </c>
      <c r="J696" s="5" t="s">
        <v>112</v>
      </c>
      <c r="K696" s="101">
        <f>+K695+Tabla6[[#This Row],[IMPORTE]]</f>
        <v>40439031.9899996</v>
      </c>
      <c r="L696" s="5" t="s">
        <v>235</v>
      </c>
      <c r="M696" s="133" t="s">
        <v>100</v>
      </c>
    </row>
    <row r="697" spans="2:13" x14ac:dyDescent="0.35">
      <c r="B697" s="4" t="s">
        <v>117</v>
      </c>
      <c r="C697" s="104" t="s">
        <v>149</v>
      </c>
      <c r="D697" s="105">
        <v>87505</v>
      </c>
      <c r="E697" s="105">
        <v>404</v>
      </c>
      <c r="F697" s="101">
        <v>215049.96</v>
      </c>
      <c r="G697" s="5" t="s">
        <v>129</v>
      </c>
      <c r="H697" s="105">
        <v>4098</v>
      </c>
      <c r="I697" s="105">
        <v>30717862453</v>
      </c>
      <c r="J697" s="5" t="s">
        <v>130</v>
      </c>
      <c r="K697" s="101">
        <f>+K696+Tabla6[[#This Row],[IMPORTE]]</f>
        <v>40654081.949999601</v>
      </c>
      <c r="L697" s="5" t="s">
        <v>233</v>
      </c>
      <c r="M697" s="133" t="s">
        <v>100</v>
      </c>
    </row>
    <row r="698" spans="2:13" x14ac:dyDescent="0.35">
      <c r="B698" s="4" t="s">
        <v>117</v>
      </c>
      <c r="C698" s="104" t="s">
        <v>149</v>
      </c>
      <c r="D698" s="105">
        <v>881167</v>
      </c>
      <c r="E698" s="105">
        <v>404</v>
      </c>
      <c r="F698" s="101">
        <v>215049.96</v>
      </c>
      <c r="G698" s="5" t="s">
        <v>129</v>
      </c>
      <c r="H698" s="105">
        <v>4098</v>
      </c>
      <c r="I698" s="105">
        <v>30717862453</v>
      </c>
      <c r="J698" s="5" t="s">
        <v>130</v>
      </c>
      <c r="K698" s="101">
        <f>+K697+Tabla6[[#This Row],[IMPORTE]]</f>
        <v>40869131.909999602</v>
      </c>
      <c r="L698" s="5" t="s">
        <v>233</v>
      </c>
      <c r="M698" s="133" t="s">
        <v>100</v>
      </c>
    </row>
    <row r="699" spans="2:13" x14ac:dyDescent="0.35">
      <c r="B699" s="4" t="s">
        <v>104</v>
      </c>
      <c r="C699" s="104" t="s">
        <v>149</v>
      </c>
      <c r="D699" s="105">
        <v>203406</v>
      </c>
      <c r="E699" s="105">
        <v>404</v>
      </c>
      <c r="F699" s="101">
        <v>256224.8</v>
      </c>
      <c r="G699" s="5" t="s">
        <v>106</v>
      </c>
      <c r="H699" s="105">
        <v>183</v>
      </c>
      <c r="I699" s="70" t="s">
        <v>107</v>
      </c>
      <c r="J699" s="5" t="s">
        <v>116</v>
      </c>
      <c r="K699" s="101">
        <f>+K698+Tabla6[[#This Row],[IMPORTE]]</f>
        <v>41125356.709999599</v>
      </c>
      <c r="L699" s="5" t="s">
        <v>235</v>
      </c>
      <c r="M699" s="133" t="s">
        <v>100</v>
      </c>
    </row>
    <row r="700" spans="2:13" x14ac:dyDescent="0.35">
      <c r="B700" s="4" t="s">
        <v>117</v>
      </c>
      <c r="C700" s="104" t="s">
        <v>149</v>
      </c>
      <c r="D700" s="105">
        <v>840602</v>
      </c>
      <c r="E700" s="105">
        <v>404</v>
      </c>
      <c r="F700" s="101">
        <v>257483.2</v>
      </c>
      <c r="G700" s="5" t="s">
        <v>129</v>
      </c>
      <c r="H700" s="105">
        <v>4098</v>
      </c>
      <c r="I700" s="105">
        <v>30717862453</v>
      </c>
      <c r="J700" s="5" t="s">
        <v>130</v>
      </c>
      <c r="K700" s="101">
        <f>+K699+Tabla6[[#This Row],[IMPORTE]]</f>
        <v>41382839.909999602</v>
      </c>
      <c r="L700" s="5" t="s">
        <v>233</v>
      </c>
      <c r="M700" s="133" t="s">
        <v>100</v>
      </c>
    </row>
    <row r="701" spans="2:13" x14ac:dyDescent="0.35">
      <c r="B701" s="4" t="s">
        <v>104</v>
      </c>
      <c r="C701" s="104" t="s">
        <v>149</v>
      </c>
      <c r="D701" s="105">
        <v>203411</v>
      </c>
      <c r="E701" s="105">
        <v>404</v>
      </c>
      <c r="F701" s="101">
        <v>267088.65000000002</v>
      </c>
      <c r="G701" s="5" t="s">
        <v>106</v>
      </c>
      <c r="H701" s="105">
        <v>183</v>
      </c>
      <c r="I701" s="70" t="s">
        <v>107</v>
      </c>
      <c r="J701" s="5" t="s">
        <v>136</v>
      </c>
      <c r="K701" s="101">
        <f>+K700+Tabla6[[#This Row],[IMPORTE]]</f>
        <v>41649928.5599996</v>
      </c>
      <c r="L701" s="5" t="s">
        <v>235</v>
      </c>
      <c r="M701" s="133" t="s">
        <v>100</v>
      </c>
    </row>
    <row r="702" spans="2:13" x14ac:dyDescent="0.35">
      <c r="B702" s="4" t="s">
        <v>117</v>
      </c>
      <c r="C702" s="104" t="s">
        <v>149</v>
      </c>
      <c r="D702" s="105">
        <v>31862</v>
      </c>
      <c r="E702" s="105">
        <v>404</v>
      </c>
      <c r="F702" s="101">
        <v>322574.96000000002</v>
      </c>
      <c r="G702" s="5" t="s">
        <v>129</v>
      </c>
      <c r="H702" s="105">
        <v>4098</v>
      </c>
      <c r="I702" s="105">
        <v>30717862453</v>
      </c>
      <c r="J702" s="5" t="s">
        <v>130</v>
      </c>
      <c r="K702" s="101">
        <f>+K701+Tabla6[[#This Row],[IMPORTE]]</f>
        <v>41972503.519999601</v>
      </c>
      <c r="L702" s="5" t="s">
        <v>233</v>
      </c>
      <c r="M702" s="133" t="s">
        <v>100</v>
      </c>
    </row>
    <row r="703" spans="2:13" x14ac:dyDescent="0.35">
      <c r="B703" s="4" t="s">
        <v>104</v>
      </c>
      <c r="C703" s="104" t="s">
        <v>149</v>
      </c>
      <c r="D703" s="105">
        <v>203400</v>
      </c>
      <c r="E703" s="105">
        <v>404</v>
      </c>
      <c r="F703" s="101">
        <v>455406.71</v>
      </c>
      <c r="G703" s="5" t="s">
        <v>106</v>
      </c>
      <c r="H703" s="105">
        <v>183</v>
      </c>
      <c r="I703" s="70" t="s">
        <v>107</v>
      </c>
      <c r="J703" s="5" t="s">
        <v>112</v>
      </c>
      <c r="K703" s="101">
        <f>+K702+Tabla6[[#This Row],[IMPORTE]]</f>
        <v>42427910.229999602</v>
      </c>
      <c r="L703" s="5" t="s">
        <v>237</v>
      </c>
      <c r="M703" s="133" t="s">
        <v>100</v>
      </c>
    </row>
    <row r="704" spans="2:13" x14ac:dyDescent="0.35">
      <c r="B704" s="4" t="s">
        <v>104</v>
      </c>
      <c r="C704" s="104" t="s">
        <v>149</v>
      </c>
      <c r="D704" s="105">
        <v>203408</v>
      </c>
      <c r="E704" s="105">
        <v>404</v>
      </c>
      <c r="F704" s="101">
        <v>463337.07</v>
      </c>
      <c r="G704" s="5" t="s">
        <v>106</v>
      </c>
      <c r="H704" s="105">
        <v>183</v>
      </c>
      <c r="I704" s="70" t="s">
        <v>107</v>
      </c>
      <c r="J704" s="5" t="s">
        <v>110</v>
      </c>
      <c r="K704" s="101">
        <f>+K703+Tabla6[[#This Row],[IMPORTE]]</f>
        <v>42891247.299999602</v>
      </c>
      <c r="L704" s="5" t="s">
        <v>235</v>
      </c>
      <c r="M704" s="133" t="s">
        <v>100</v>
      </c>
    </row>
    <row r="705" spans="2:13" x14ac:dyDescent="0.35">
      <c r="B705" s="4" t="s">
        <v>104</v>
      </c>
      <c r="C705" s="104" t="s">
        <v>149</v>
      </c>
      <c r="D705" s="105">
        <v>203415</v>
      </c>
      <c r="E705" s="105">
        <v>404</v>
      </c>
      <c r="F705" s="101">
        <v>500951.03</v>
      </c>
      <c r="G705" s="5" t="s">
        <v>106</v>
      </c>
      <c r="H705" s="105">
        <v>183</v>
      </c>
      <c r="I705" s="70" t="s">
        <v>107</v>
      </c>
      <c r="J705" s="5" t="s">
        <v>113</v>
      </c>
      <c r="K705" s="101">
        <f>+K704+Tabla6[[#This Row],[IMPORTE]]</f>
        <v>43392198.329999603</v>
      </c>
      <c r="L705" s="5" t="s">
        <v>235</v>
      </c>
      <c r="M705" s="133" t="s">
        <v>100</v>
      </c>
    </row>
    <row r="706" spans="2:13" x14ac:dyDescent="0.35">
      <c r="B706" s="4" t="s">
        <v>104</v>
      </c>
      <c r="C706" s="104" t="s">
        <v>149</v>
      </c>
      <c r="D706" s="105">
        <v>203410</v>
      </c>
      <c r="E706" s="105">
        <v>404</v>
      </c>
      <c r="F706" s="101">
        <v>757911.74</v>
      </c>
      <c r="G706" s="5" t="s">
        <v>106</v>
      </c>
      <c r="H706" s="105">
        <v>183</v>
      </c>
      <c r="I706" s="70" t="s">
        <v>107</v>
      </c>
      <c r="J706" s="5" t="s">
        <v>115</v>
      </c>
      <c r="K706" s="101">
        <f>+K705+Tabla6[[#This Row],[IMPORTE]]</f>
        <v>44150110.069999605</v>
      </c>
      <c r="L706" s="5" t="s">
        <v>235</v>
      </c>
      <c r="M706" s="133" t="s">
        <v>100</v>
      </c>
    </row>
    <row r="707" spans="2:13" x14ac:dyDescent="0.35">
      <c r="B707" s="4" t="s">
        <v>117</v>
      </c>
      <c r="C707" s="104" t="s">
        <v>149</v>
      </c>
      <c r="D707" s="105">
        <v>122</v>
      </c>
      <c r="E707" s="105">
        <v>811</v>
      </c>
      <c r="F707" s="101">
        <v>1813992.84</v>
      </c>
      <c r="G707" s="5" t="s">
        <v>118</v>
      </c>
      <c r="H707" s="105">
        <v>4151</v>
      </c>
      <c r="I707" s="70" t="s">
        <v>107</v>
      </c>
      <c r="J707" s="5" t="s">
        <v>119</v>
      </c>
      <c r="K707" s="101">
        <f>+K706+Tabla6[[#This Row],[IMPORTE]]</f>
        <v>45964102.909999609</v>
      </c>
      <c r="L707" s="5" t="s">
        <v>238</v>
      </c>
      <c r="M707" s="133" t="s">
        <v>100</v>
      </c>
    </row>
    <row r="708" spans="2:13" x14ac:dyDescent="0.35">
      <c r="B708" s="134" t="s">
        <v>124</v>
      </c>
      <c r="C708" s="113" t="s">
        <v>149</v>
      </c>
      <c r="D708" s="128" t="s">
        <v>125</v>
      </c>
      <c r="E708" s="114">
        <v>404</v>
      </c>
      <c r="F708" s="115">
        <v>-28099733.300000001</v>
      </c>
      <c r="G708" s="116" t="s">
        <v>126</v>
      </c>
      <c r="H708" s="114">
        <v>1693</v>
      </c>
      <c r="I708" s="128" t="s">
        <v>107</v>
      </c>
      <c r="J708" s="116" t="s">
        <v>127</v>
      </c>
      <c r="K708" s="115">
        <f>+K707+Tabla6[[#This Row],[IMPORTE]]</f>
        <v>17864369.609999608</v>
      </c>
      <c r="L708" s="125" t="s">
        <v>189</v>
      </c>
      <c r="M708" s="118" t="s">
        <v>91</v>
      </c>
    </row>
    <row r="709" spans="2:13" x14ac:dyDescent="0.35">
      <c r="B709" s="4" t="s">
        <v>117</v>
      </c>
      <c r="C709" s="104" t="s">
        <v>151</v>
      </c>
      <c r="D709" s="105">
        <v>23353</v>
      </c>
      <c r="E709" s="105">
        <v>404</v>
      </c>
      <c r="F709" s="101">
        <v>3346.78</v>
      </c>
      <c r="G709" s="5" t="s">
        <v>129</v>
      </c>
      <c r="H709" s="105">
        <v>4098</v>
      </c>
      <c r="I709" s="105">
        <v>30717862453</v>
      </c>
      <c r="J709" s="5" t="s">
        <v>130</v>
      </c>
      <c r="K709" s="101">
        <f>+K708+Tabla6[[#This Row],[IMPORTE]]</f>
        <v>17867716.389999609</v>
      </c>
      <c r="L709" s="5" t="s">
        <v>239</v>
      </c>
      <c r="M709" s="133" t="s">
        <v>100</v>
      </c>
    </row>
    <row r="710" spans="2:13" x14ac:dyDescent="0.35">
      <c r="B710" s="4" t="s">
        <v>117</v>
      </c>
      <c r="C710" s="104" t="s">
        <v>151</v>
      </c>
      <c r="D710" s="105">
        <v>255957</v>
      </c>
      <c r="E710" s="105">
        <v>404</v>
      </c>
      <c r="F710" s="101">
        <v>3346.78</v>
      </c>
      <c r="G710" s="5" t="s">
        <v>129</v>
      </c>
      <c r="H710" s="105">
        <v>4098</v>
      </c>
      <c r="I710" s="105">
        <v>30717862453</v>
      </c>
      <c r="J710" s="5" t="s">
        <v>130</v>
      </c>
      <c r="K710" s="101">
        <f>+K709+Tabla6[[#This Row],[IMPORTE]]</f>
        <v>17871063.169999611</v>
      </c>
      <c r="L710" s="5" t="s">
        <v>239</v>
      </c>
      <c r="M710" s="133" t="s">
        <v>100</v>
      </c>
    </row>
    <row r="711" spans="2:13" x14ac:dyDescent="0.35">
      <c r="B711" s="4" t="s">
        <v>117</v>
      </c>
      <c r="C711" s="104" t="s">
        <v>151</v>
      </c>
      <c r="D711" s="105">
        <v>61119</v>
      </c>
      <c r="E711" s="105">
        <v>404</v>
      </c>
      <c r="F711" s="101">
        <v>12874.16</v>
      </c>
      <c r="G711" s="5" t="s">
        <v>129</v>
      </c>
      <c r="H711" s="105">
        <v>4098</v>
      </c>
      <c r="I711" s="105">
        <v>30717862453</v>
      </c>
      <c r="J711" s="5" t="s">
        <v>130</v>
      </c>
      <c r="K711" s="101">
        <f>+K710+Tabla6[[#This Row],[IMPORTE]]</f>
        <v>17883937.329999611</v>
      </c>
      <c r="L711" s="5" t="s">
        <v>239</v>
      </c>
      <c r="M711" s="133" t="s">
        <v>100</v>
      </c>
    </row>
    <row r="712" spans="2:13" x14ac:dyDescent="0.35">
      <c r="B712" s="4" t="s">
        <v>117</v>
      </c>
      <c r="C712" s="104" t="s">
        <v>151</v>
      </c>
      <c r="D712" s="105">
        <v>128576</v>
      </c>
      <c r="E712" s="105">
        <v>404</v>
      </c>
      <c r="F712" s="101">
        <v>19311.240000000002</v>
      </c>
      <c r="G712" s="5" t="s">
        <v>129</v>
      </c>
      <c r="H712" s="105">
        <v>4098</v>
      </c>
      <c r="I712" s="105">
        <v>30717862453</v>
      </c>
      <c r="J712" s="5" t="s">
        <v>130</v>
      </c>
      <c r="K712" s="101">
        <f>+K711+Tabla6[[#This Row],[IMPORTE]]</f>
        <v>17903248.569999609</v>
      </c>
      <c r="L712" s="5" t="s">
        <v>239</v>
      </c>
      <c r="M712" s="133" t="s">
        <v>100</v>
      </c>
    </row>
    <row r="713" spans="2:13" x14ac:dyDescent="0.35">
      <c r="B713" s="4" t="s">
        <v>117</v>
      </c>
      <c r="C713" s="104" t="s">
        <v>151</v>
      </c>
      <c r="D713" s="105">
        <v>167142</v>
      </c>
      <c r="E713" s="105">
        <v>404</v>
      </c>
      <c r="F713" s="101">
        <v>19311.240000000002</v>
      </c>
      <c r="G713" s="5" t="s">
        <v>129</v>
      </c>
      <c r="H713" s="105">
        <v>4098</v>
      </c>
      <c r="I713" s="105">
        <v>30717862453</v>
      </c>
      <c r="J713" s="5" t="s">
        <v>130</v>
      </c>
      <c r="K713" s="101">
        <f>+K712+Tabla6[[#This Row],[IMPORTE]]</f>
        <v>17922559.809999608</v>
      </c>
      <c r="L713" s="5" t="s">
        <v>239</v>
      </c>
      <c r="M713" s="133" t="s">
        <v>100</v>
      </c>
    </row>
    <row r="714" spans="2:13" x14ac:dyDescent="0.35">
      <c r="B714" s="4" t="s">
        <v>117</v>
      </c>
      <c r="C714" s="104" t="s">
        <v>151</v>
      </c>
      <c r="D714" s="105">
        <v>232959</v>
      </c>
      <c r="E714" s="105">
        <v>404</v>
      </c>
      <c r="F714" s="101">
        <v>25748.32</v>
      </c>
      <c r="G714" s="5" t="s">
        <v>129</v>
      </c>
      <c r="H714" s="105">
        <v>4098</v>
      </c>
      <c r="I714" s="105">
        <v>30717862453</v>
      </c>
      <c r="J714" s="5" t="s">
        <v>130</v>
      </c>
      <c r="K714" s="101">
        <f>+K713+Tabla6[[#This Row],[IMPORTE]]</f>
        <v>17948308.129999608</v>
      </c>
      <c r="L714" s="5" t="s">
        <v>239</v>
      </c>
      <c r="M714" s="133" t="s">
        <v>100</v>
      </c>
    </row>
    <row r="715" spans="2:13" x14ac:dyDescent="0.35">
      <c r="B715" s="4" t="s">
        <v>117</v>
      </c>
      <c r="C715" s="104" t="s">
        <v>151</v>
      </c>
      <c r="D715" s="105">
        <v>897326</v>
      </c>
      <c r="E715" s="105">
        <v>404</v>
      </c>
      <c r="F715" s="101">
        <v>25748.32</v>
      </c>
      <c r="G715" s="5" t="s">
        <v>129</v>
      </c>
      <c r="H715" s="105">
        <v>4098</v>
      </c>
      <c r="I715" s="105">
        <v>30717862453</v>
      </c>
      <c r="J715" s="5" t="s">
        <v>130</v>
      </c>
      <c r="K715" s="101">
        <f>+K714+Tabla6[[#This Row],[IMPORTE]]</f>
        <v>17974056.449999608</v>
      </c>
      <c r="L715" s="5" t="s">
        <v>239</v>
      </c>
      <c r="M715" s="133" t="s">
        <v>100</v>
      </c>
    </row>
    <row r="716" spans="2:13" x14ac:dyDescent="0.35">
      <c r="B716" s="4" t="s">
        <v>117</v>
      </c>
      <c r="C716" s="104" t="s">
        <v>151</v>
      </c>
      <c r="D716" s="105">
        <v>195560</v>
      </c>
      <c r="E716" s="105">
        <v>404</v>
      </c>
      <c r="F716" s="101">
        <v>30897.98</v>
      </c>
      <c r="G716" s="5" t="s">
        <v>129</v>
      </c>
      <c r="H716" s="105">
        <v>4098</v>
      </c>
      <c r="I716" s="105">
        <v>30717862453</v>
      </c>
      <c r="J716" s="5" t="s">
        <v>130</v>
      </c>
      <c r="K716" s="101">
        <f>+K715+Tabla6[[#This Row],[IMPORTE]]</f>
        <v>18004954.429999609</v>
      </c>
      <c r="L716" s="5" t="s">
        <v>239</v>
      </c>
      <c r="M716" s="133" t="s">
        <v>100</v>
      </c>
    </row>
    <row r="717" spans="2:13" x14ac:dyDescent="0.35">
      <c r="B717" s="4" t="s">
        <v>117</v>
      </c>
      <c r="C717" s="104" t="s">
        <v>151</v>
      </c>
      <c r="D717" s="105">
        <v>32825</v>
      </c>
      <c r="E717" s="105">
        <v>404</v>
      </c>
      <c r="F717" s="101">
        <v>38622.480000000003</v>
      </c>
      <c r="G717" s="5" t="s">
        <v>129</v>
      </c>
      <c r="H717" s="105">
        <v>4098</v>
      </c>
      <c r="I717" s="105">
        <v>30717862453</v>
      </c>
      <c r="J717" s="5" t="s">
        <v>130</v>
      </c>
      <c r="K717" s="101">
        <f>+K716+Tabla6[[#This Row],[IMPORTE]]</f>
        <v>18043576.909999609</v>
      </c>
      <c r="L717" s="5" t="s">
        <v>239</v>
      </c>
      <c r="M717" s="133" t="s">
        <v>100</v>
      </c>
    </row>
    <row r="718" spans="2:13" x14ac:dyDescent="0.35">
      <c r="B718" s="4" t="s">
        <v>117</v>
      </c>
      <c r="C718" s="104" t="s">
        <v>151</v>
      </c>
      <c r="D718" s="105">
        <v>128919</v>
      </c>
      <c r="E718" s="105">
        <v>404</v>
      </c>
      <c r="F718" s="101">
        <v>38622.480000000003</v>
      </c>
      <c r="G718" s="5" t="s">
        <v>129</v>
      </c>
      <c r="H718" s="105">
        <v>4098</v>
      </c>
      <c r="I718" s="105">
        <v>30717862453</v>
      </c>
      <c r="J718" s="5" t="s">
        <v>130</v>
      </c>
      <c r="K718" s="101">
        <f>+K717+Tabla6[[#This Row],[IMPORTE]]</f>
        <v>18082199.389999609</v>
      </c>
      <c r="L718" s="5" t="s">
        <v>239</v>
      </c>
      <c r="M718" s="133" t="s">
        <v>100</v>
      </c>
    </row>
    <row r="719" spans="2:13" x14ac:dyDescent="0.35">
      <c r="B719" s="4" t="s">
        <v>117</v>
      </c>
      <c r="C719" s="104" t="s">
        <v>151</v>
      </c>
      <c r="D719" s="105">
        <v>178637</v>
      </c>
      <c r="E719" s="105">
        <v>404</v>
      </c>
      <c r="F719" s="101">
        <v>38622.480000000003</v>
      </c>
      <c r="G719" s="5" t="s">
        <v>129</v>
      </c>
      <c r="H719" s="105">
        <v>4098</v>
      </c>
      <c r="I719" s="105">
        <v>30717862453</v>
      </c>
      <c r="J719" s="5" t="s">
        <v>130</v>
      </c>
      <c r="K719" s="101">
        <f>+K718+Tabla6[[#This Row],[IMPORTE]]</f>
        <v>18120821.86999961</v>
      </c>
      <c r="L719" s="5" t="s">
        <v>239</v>
      </c>
      <c r="M719" s="133" t="s">
        <v>100</v>
      </c>
    </row>
    <row r="720" spans="2:13" x14ac:dyDescent="0.35">
      <c r="B720" s="4" t="s">
        <v>117</v>
      </c>
      <c r="C720" s="104" t="s">
        <v>151</v>
      </c>
      <c r="D720" s="105">
        <v>253264</v>
      </c>
      <c r="E720" s="105">
        <v>404</v>
      </c>
      <c r="F720" s="101">
        <v>38622.480000000003</v>
      </c>
      <c r="G720" s="5" t="s">
        <v>129</v>
      </c>
      <c r="H720" s="105">
        <v>4098</v>
      </c>
      <c r="I720" s="105">
        <v>30717862453</v>
      </c>
      <c r="J720" s="5" t="s">
        <v>130</v>
      </c>
      <c r="K720" s="101">
        <f>+K719+Tabla6[[#This Row],[IMPORTE]]</f>
        <v>18159444.34999961</v>
      </c>
      <c r="L720" s="5" t="s">
        <v>239</v>
      </c>
      <c r="M720" s="133" t="s">
        <v>100</v>
      </c>
    </row>
    <row r="721" spans="2:13" x14ac:dyDescent="0.35">
      <c r="B721" s="4" t="s">
        <v>117</v>
      </c>
      <c r="C721" s="104" t="s">
        <v>151</v>
      </c>
      <c r="D721" s="105">
        <v>307531</v>
      </c>
      <c r="E721" s="105">
        <v>404</v>
      </c>
      <c r="F721" s="101">
        <v>38622.480000000003</v>
      </c>
      <c r="G721" s="5" t="s">
        <v>129</v>
      </c>
      <c r="H721" s="105">
        <v>4098</v>
      </c>
      <c r="I721" s="105">
        <v>30717862453</v>
      </c>
      <c r="J721" s="5" t="s">
        <v>130</v>
      </c>
      <c r="K721" s="101">
        <f>+K720+Tabla6[[#This Row],[IMPORTE]]</f>
        <v>18198066.829999611</v>
      </c>
      <c r="L721" s="5" t="s">
        <v>239</v>
      </c>
      <c r="M721" s="133" t="s">
        <v>100</v>
      </c>
    </row>
    <row r="722" spans="2:13" x14ac:dyDescent="0.35">
      <c r="B722" s="4" t="s">
        <v>117</v>
      </c>
      <c r="C722" s="104" t="s">
        <v>151</v>
      </c>
      <c r="D722" s="105">
        <v>334023</v>
      </c>
      <c r="E722" s="105">
        <v>404</v>
      </c>
      <c r="F722" s="101">
        <v>38622.480000000003</v>
      </c>
      <c r="G722" s="5" t="s">
        <v>129</v>
      </c>
      <c r="H722" s="105">
        <v>4098</v>
      </c>
      <c r="I722" s="105">
        <v>30717862453</v>
      </c>
      <c r="J722" s="5" t="s">
        <v>130</v>
      </c>
      <c r="K722" s="101">
        <f>+K721+Tabla6[[#This Row],[IMPORTE]]</f>
        <v>18236689.309999611</v>
      </c>
      <c r="L722" s="5" t="s">
        <v>239</v>
      </c>
      <c r="M722" s="133" t="s">
        <v>100</v>
      </c>
    </row>
    <row r="723" spans="2:13" x14ac:dyDescent="0.35">
      <c r="B723" s="4" t="s">
        <v>117</v>
      </c>
      <c r="C723" s="104" t="s">
        <v>151</v>
      </c>
      <c r="D723" s="105">
        <v>426748</v>
      </c>
      <c r="E723" s="105">
        <v>404</v>
      </c>
      <c r="F723" s="101">
        <v>38622.480000000003</v>
      </c>
      <c r="G723" s="5" t="s">
        <v>129</v>
      </c>
      <c r="H723" s="105">
        <v>4098</v>
      </c>
      <c r="I723" s="105">
        <v>30717862453</v>
      </c>
      <c r="J723" s="5" t="s">
        <v>130</v>
      </c>
      <c r="K723" s="101">
        <f>+K722+Tabla6[[#This Row],[IMPORTE]]</f>
        <v>18275311.789999612</v>
      </c>
      <c r="L723" s="5" t="s">
        <v>239</v>
      </c>
      <c r="M723" s="133" t="s">
        <v>100</v>
      </c>
    </row>
    <row r="724" spans="2:13" x14ac:dyDescent="0.35">
      <c r="B724" s="4" t="s">
        <v>117</v>
      </c>
      <c r="C724" s="104" t="s">
        <v>151</v>
      </c>
      <c r="D724" s="105">
        <v>429589</v>
      </c>
      <c r="E724" s="105">
        <v>404</v>
      </c>
      <c r="F724" s="101">
        <v>38622.480000000003</v>
      </c>
      <c r="G724" s="5" t="s">
        <v>129</v>
      </c>
      <c r="H724" s="105">
        <v>4098</v>
      </c>
      <c r="I724" s="105">
        <v>30717862453</v>
      </c>
      <c r="J724" s="5" t="s">
        <v>130</v>
      </c>
      <c r="K724" s="101">
        <f>+K723+Tabla6[[#This Row],[IMPORTE]]</f>
        <v>18313934.269999612</v>
      </c>
      <c r="L724" s="5" t="s">
        <v>239</v>
      </c>
      <c r="M724" s="133" t="s">
        <v>100</v>
      </c>
    </row>
    <row r="725" spans="2:13" x14ac:dyDescent="0.35">
      <c r="B725" s="4" t="s">
        <v>117</v>
      </c>
      <c r="C725" s="104" t="s">
        <v>151</v>
      </c>
      <c r="D725" s="105">
        <v>432291</v>
      </c>
      <c r="E725" s="105">
        <v>404</v>
      </c>
      <c r="F725" s="101">
        <v>38622.480000000003</v>
      </c>
      <c r="G725" s="5" t="s">
        <v>129</v>
      </c>
      <c r="H725" s="105">
        <v>4098</v>
      </c>
      <c r="I725" s="105">
        <v>30717862453</v>
      </c>
      <c r="J725" s="5" t="s">
        <v>130</v>
      </c>
      <c r="K725" s="101">
        <f>+K724+Tabla6[[#This Row],[IMPORTE]]</f>
        <v>18352556.749999613</v>
      </c>
      <c r="L725" s="5" t="s">
        <v>239</v>
      </c>
      <c r="M725" s="133" t="s">
        <v>100</v>
      </c>
    </row>
    <row r="726" spans="2:13" x14ac:dyDescent="0.35">
      <c r="B726" s="4" t="s">
        <v>117</v>
      </c>
      <c r="C726" s="104" t="s">
        <v>151</v>
      </c>
      <c r="D726" s="105">
        <v>450485</v>
      </c>
      <c r="E726" s="105">
        <v>404</v>
      </c>
      <c r="F726" s="101">
        <v>38622.480000000003</v>
      </c>
      <c r="G726" s="5" t="s">
        <v>129</v>
      </c>
      <c r="H726" s="105">
        <v>4098</v>
      </c>
      <c r="I726" s="105">
        <v>30717862453</v>
      </c>
      <c r="J726" s="5" t="s">
        <v>130</v>
      </c>
      <c r="K726" s="101">
        <f>+K725+Tabla6[[#This Row],[IMPORTE]]</f>
        <v>18391179.229999613</v>
      </c>
      <c r="L726" s="5" t="s">
        <v>239</v>
      </c>
      <c r="M726" s="133" t="s">
        <v>100</v>
      </c>
    </row>
    <row r="727" spans="2:13" x14ac:dyDescent="0.35">
      <c r="B727" s="4" t="s">
        <v>117</v>
      </c>
      <c r="C727" s="104" t="s">
        <v>151</v>
      </c>
      <c r="D727" s="105">
        <v>467138</v>
      </c>
      <c r="E727" s="105">
        <v>404</v>
      </c>
      <c r="F727" s="101">
        <v>38622.480000000003</v>
      </c>
      <c r="G727" s="5" t="s">
        <v>129</v>
      </c>
      <c r="H727" s="105">
        <v>4098</v>
      </c>
      <c r="I727" s="105">
        <v>30717862453</v>
      </c>
      <c r="J727" s="5" t="s">
        <v>130</v>
      </c>
      <c r="K727" s="101">
        <f>+K726+Tabla6[[#This Row],[IMPORTE]]</f>
        <v>18429801.709999613</v>
      </c>
      <c r="L727" s="5" t="s">
        <v>239</v>
      </c>
      <c r="M727" s="133" t="s">
        <v>100</v>
      </c>
    </row>
    <row r="728" spans="2:13" x14ac:dyDescent="0.35">
      <c r="B728" s="4" t="s">
        <v>117</v>
      </c>
      <c r="C728" s="104" t="s">
        <v>151</v>
      </c>
      <c r="D728" s="105">
        <v>511472</v>
      </c>
      <c r="E728" s="105">
        <v>404</v>
      </c>
      <c r="F728" s="101">
        <v>38622.480000000003</v>
      </c>
      <c r="G728" s="5" t="s">
        <v>129</v>
      </c>
      <c r="H728" s="105">
        <v>4098</v>
      </c>
      <c r="I728" s="105">
        <v>30717862453</v>
      </c>
      <c r="J728" s="5" t="s">
        <v>130</v>
      </c>
      <c r="K728" s="101">
        <f>+K727+Tabla6[[#This Row],[IMPORTE]]</f>
        <v>18468424.189999614</v>
      </c>
      <c r="L728" s="5" t="s">
        <v>239</v>
      </c>
      <c r="M728" s="133" t="s">
        <v>100</v>
      </c>
    </row>
    <row r="729" spans="2:13" x14ac:dyDescent="0.35">
      <c r="B729" s="4" t="s">
        <v>117</v>
      </c>
      <c r="C729" s="104" t="s">
        <v>151</v>
      </c>
      <c r="D729" s="105">
        <v>521295</v>
      </c>
      <c r="E729" s="105">
        <v>404</v>
      </c>
      <c r="F729" s="101">
        <v>38622.480000000003</v>
      </c>
      <c r="G729" s="5" t="s">
        <v>129</v>
      </c>
      <c r="H729" s="105">
        <v>4098</v>
      </c>
      <c r="I729" s="105">
        <v>30717862453</v>
      </c>
      <c r="J729" s="5" t="s">
        <v>130</v>
      </c>
      <c r="K729" s="101">
        <f>+K728+Tabla6[[#This Row],[IMPORTE]]</f>
        <v>18507046.669999614</v>
      </c>
      <c r="L729" s="5" t="s">
        <v>239</v>
      </c>
      <c r="M729" s="133" t="s">
        <v>100</v>
      </c>
    </row>
    <row r="730" spans="2:13" x14ac:dyDescent="0.35">
      <c r="B730" s="4" t="s">
        <v>117</v>
      </c>
      <c r="C730" s="104" t="s">
        <v>151</v>
      </c>
      <c r="D730" s="105">
        <v>538118</v>
      </c>
      <c r="E730" s="105">
        <v>404</v>
      </c>
      <c r="F730" s="101">
        <v>38622.480000000003</v>
      </c>
      <c r="G730" s="5" t="s">
        <v>129</v>
      </c>
      <c r="H730" s="105">
        <v>4098</v>
      </c>
      <c r="I730" s="105">
        <v>30717862453</v>
      </c>
      <c r="J730" s="5" t="s">
        <v>130</v>
      </c>
      <c r="K730" s="101">
        <f>+K729+Tabla6[[#This Row],[IMPORTE]]</f>
        <v>18545669.149999615</v>
      </c>
      <c r="L730" s="5" t="s">
        <v>239</v>
      </c>
      <c r="M730" s="133" t="s">
        <v>100</v>
      </c>
    </row>
    <row r="731" spans="2:13" x14ac:dyDescent="0.35">
      <c r="B731" s="4" t="s">
        <v>117</v>
      </c>
      <c r="C731" s="104" t="s">
        <v>151</v>
      </c>
      <c r="D731" s="105">
        <v>568317</v>
      </c>
      <c r="E731" s="105">
        <v>404</v>
      </c>
      <c r="F731" s="101">
        <v>38622.480000000003</v>
      </c>
      <c r="G731" s="5" t="s">
        <v>129</v>
      </c>
      <c r="H731" s="105">
        <v>4098</v>
      </c>
      <c r="I731" s="105">
        <v>30717862453</v>
      </c>
      <c r="J731" s="5" t="s">
        <v>130</v>
      </c>
      <c r="K731" s="101">
        <f>+K730+Tabla6[[#This Row],[IMPORTE]]</f>
        <v>18584291.629999615</v>
      </c>
      <c r="L731" s="5" t="s">
        <v>239</v>
      </c>
      <c r="M731" s="133" t="s">
        <v>100</v>
      </c>
    </row>
    <row r="732" spans="2:13" x14ac:dyDescent="0.35">
      <c r="B732" s="4" t="s">
        <v>117</v>
      </c>
      <c r="C732" s="104" t="s">
        <v>151</v>
      </c>
      <c r="D732" s="105">
        <v>631234</v>
      </c>
      <c r="E732" s="105">
        <v>404</v>
      </c>
      <c r="F732" s="101">
        <v>38622.480000000003</v>
      </c>
      <c r="G732" s="5" t="s">
        <v>129</v>
      </c>
      <c r="H732" s="105">
        <v>4098</v>
      </c>
      <c r="I732" s="105">
        <v>30717862453</v>
      </c>
      <c r="J732" s="5" t="s">
        <v>130</v>
      </c>
      <c r="K732" s="101">
        <f>+K731+Tabla6[[#This Row],[IMPORTE]]</f>
        <v>18622914.109999616</v>
      </c>
      <c r="L732" s="5" t="s">
        <v>239</v>
      </c>
      <c r="M732" s="133" t="s">
        <v>100</v>
      </c>
    </row>
    <row r="733" spans="2:13" x14ac:dyDescent="0.35">
      <c r="B733" s="4" t="s">
        <v>117</v>
      </c>
      <c r="C733" s="104" t="s">
        <v>151</v>
      </c>
      <c r="D733" s="105">
        <v>737323</v>
      </c>
      <c r="E733" s="105">
        <v>404</v>
      </c>
      <c r="F733" s="101">
        <v>38622.480000000003</v>
      </c>
      <c r="G733" s="5" t="s">
        <v>129</v>
      </c>
      <c r="H733" s="105">
        <v>4098</v>
      </c>
      <c r="I733" s="105">
        <v>30717862453</v>
      </c>
      <c r="J733" s="5" t="s">
        <v>130</v>
      </c>
      <c r="K733" s="101">
        <f>+K732+Tabla6[[#This Row],[IMPORTE]]</f>
        <v>18661536.589999616</v>
      </c>
      <c r="L733" s="5" t="s">
        <v>239</v>
      </c>
      <c r="M733" s="133" t="s">
        <v>100</v>
      </c>
    </row>
    <row r="734" spans="2:13" x14ac:dyDescent="0.35">
      <c r="B734" s="4" t="s">
        <v>117</v>
      </c>
      <c r="C734" s="104" t="s">
        <v>151</v>
      </c>
      <c r="D734" s="105">
        <v>765210</v>
      </c>
      <c r="E734" s="105">
        <v>404</v>
      </c>
      <c r="F734" s="101">
        <v>38622.480000000003</v>
      </c>
      <c r="G734" s="5" t="s">
        <v>129</v>
      </c>
      <c r="H734" s="105">
        <v>4098</v>
      </c>
      <c r="I734" s="105">
        <v>30717862453</v>
      </c>
      <c r="J734" s="5" t="s">
        <v>130</v>
      </c>
      <c r="K734" s="101">
        <f>+K733+Tabla6[[#This Row],[IMPORTE]]</f>
        <v>18700159.069999617</v>
      </c>
      <c r="L734" s="5" t="s">
        <v>239</v>
      </c>
      <c r="M734" s="133" t="s">
        <v>100</v>
      </c>
    </row>
    <row r="735" spans="2:13" x14ac:dyDescent="0.35">
      <c r="B735" s="4" t="s">
        <v>117</v>
      </c>
      <c r="C735" s="104" t="s">
        <v>151</v>
      </c>
      <c r="D735" s="105">
        <v>768870</v>
      </c>
      <c r="E735" s="105">
        <v>404</v>
      </c>
      <c r="F735" s="101">
        <v>38622.480000000003</v>
      </c>
      <c r="G735" s="5" t="s">
        <v>129</v>
      </c>
      <c r="H735" s="105">
        <v>4098</v>
      </c>
      <c r="I735" s="105">
        <v>30717862453</v>
      </c>
      <c r="J735" s="5" t="s">
        <v>130</v>
      </c>
      <c r="K735" s="101">
        <f>+K734+Tabla6[[#This Row],[IMPORTE]]</f>
        <v>18738781.549999617</v>
      </c>
      <c r="L735" s="5" t="s">
        <v>239</v>
      </c>
      <c r="M735" s="133" t="s">
        <v>100</v>
      </c>
    </row>
    <row r="736" spans="2:13" x14ac:dyDescent="0.35">
      <c r="B736" s="4" t="s">
        <v>117</v>
      </c>
      <c r="C736" s="104" t="s">
        <v>151</v>
      </c>
      <c r="D736" s="105">
        <v>866166</v>
      </c>
      <c r="E736" s="105">
        <v>404</v>
      </c>
      <c r="F736" s="101">
        <v>38622.480000000003</v>
      </c>
      <c r="G736" s="5" t="s">
        <v>129</v>
      </c>
      <c r="H736" s="105">
        <v>4098</v>
      </c>
      <c r="I736" s="105">
        <v>30717862453</v>
      </c>
      <c r="J736" s="5" t="s">
        <v>130</v>
      </c>
      <c r="K736" s="101">
        <f>+K735+Tabla6[[#This Row],[IMPORTE]]</f>
        <v>18777404.029999617</v>
      </c>
      <c r="L736" s="5" t="s">
        <v>239</v>
      </c>
      <c r="M736" s="133" t="s">
        <v>100</v>
      </c>
    </row>
    <row r="737" spans="2:13" x14ac:dyDescent="0.35">
      <c r="B737" s="4" t="s">
        <v>117</v>
      </c>
      <c r="C737" s="104" t="s">
        <v>151</v>
      </c>
      <c r="D737" s="105">
        <v>877900</v>
      </c>
      <c r="E737" s="105">
        <v>404</v>
      </c>
      <c r="F737" s="101">
        <v>38622.480000000003</v>
      </c>
      <c r="G737" s="5" t="s">
        <v>129</v>
      </c>
      <c r="H737" s="105">
        <v>4098</v>
      </c>
      <c r="I737" s="105">
        <v>30717862453</v>
      </c>
      <c r="J737" s="5" t="s">
        <v>130</v>
      </c>
      <c r="K737" s="101">
        <f>+K736+Tabla6[[#This Row],[IMPORTE]]</f>
        <v>18816026.509999618</v>
      </c>
      <c r="L737" s="5" t="s">
        <v>239</v>
      </c>
      <c r="M737" s="133" t="s">
        <v>100</v>
      </c>
    </row>
    <row r="738" spans="2:13" x14ac:dyDescent="0.35">
      <c r="B738" s="4" t="s">
        <v>117</v>
      </c>
      <c r="C738" s="104" t="s">
        <v>151</v>
      </c>
      <c r="D738" s="105">
        <v>879382</v>
      </c>
      <c r="E738" s="105">
        <v>404</v>
      </c>
      <c r="F738" s="101">
        <v>38622.480000000003</v>
      </c>
      <c r="G738" s="5" t="s">
        <v>129</v>
      </c>
      <c r="H738" s="105">
        <v>4098</v>
      </c>
      <c r="I738" s="105">
        <v>30717862453</v>
      </c>
      <c r="J738" s="5" t="s">
        <v>130</v>
      </c>
      <c r="K738" s="101">
        <f>+K737+Tabla6[[#This Row],[IMPORTE]]</f>
        <v>18854648.989999618</v>
      </c>
      <c r="L738" s="5" t="s">
        <v>239</v>
      </c>
      <c r="M738" s="133" t="s">
        <v>100</v>
      </c>
    </row>
    <row r="739" spans="2:13" x14ac:dyDescent="0.35">
      <c r="B739" s="4" t="s">
        <v>117</v>
      </c>
      <c r="C739" s="104" t="s">
        <v>151</v>
      </c>
      <c r="D739" s="105">
        <v>908619</v>
      </c>
      <c r="E739" s="105">
        <v>404</v>
      </c>
      <c r="F739" s="101">
        <v>38622.480000000003</v>
      </c>
      <c r="G739" s="5" t="s">
        <v>129</v>
      </c>
      <c r="H739" s="105">
        <v>4098</v>
      </c>
      <c r="I739" s="105">
        <v>30717862453</v>
      </c>
      <c r="J739" s="5" t="s">
        <v>130</v>
      </c>
      <c r="K739" s="101">
        <f>+K738+Tabla6[[#This Row],[IMPORTE]]</f>
        <v>18893271.469999619</v>
      </c>
      <c r="L739" s="5" t="s">
        <v>239</v>
      </c>
      <c r="M739" s="133" t="s">
        <v>100</v>
      </c>
    </row>
    <row r="740" spans="2:13" x14ac:dyDescent="0.35">
      <c r="B740" s="4" t="s">
        <v>117</v>
      </c>
      <c r="C740" s="104" t="s">
        <v>151</v>
      </c>
      <c r="D740" s="105">
        <v>911195</v>
      </c>
      <c r="E740" s="105">
        <v>404</v>
      </c>
      <c r="F740" s="101">
        <v>38622.480000000003</v>
      </c>
      <c r="G740" s="5" t="s">
        <v>129</v>
      </c>
      <c r="H740" s="105">
        <v>4098</v>
      </c>
      <c r="I740" s="105">
        <v>30717862453</v>
      </c>
      <c r="J740" s="5" t="s">
        <v>130</v>
      </c>
      <c r="K740" s="101">
        <f>+K739+Tabla6[[#This Row],[IMPORTE]]</f>
        <v>18931893.949999619</v>
      </c>
      <c r="L740" s="5" t="s">
        <v>239</v>
      </c>
      <c r="M740" s="133" t="s">
        <v>100</v>
      </c>
    </row>
    <row r="741" spans="2:13" x14ac:dyDescent="0.35">
      <c r="B741" s="4" t="s">
        <v>117</v>
      </c>
      <c r="C741" s="104" t="s">
        <v>151</v>
      </c>
      <c r="D741" s="105">
        <v>981315</v>
      </c>
      <c r="E741" s="105">
        <v>404</v>
      </c>
      <c r="F741" s="101">
        <v>38622.480000000003</v>
      </c>
      <c r="G741" s="5" t="s">
        <v>129</v>
      </c>
      <c r="H741" s="105">
        <v>4098</v>
      </c>
      <c r="I741" s="105">
        <v>30717862453</v>
      </c>
      <c r="J741" s="5" t="s">
        <v>130</v>
      </c>
      <c r="K741" s="101">
        <f>+K740+Tabla6[[#This Row],[IMPORTE]]</f>
        <v>18970516.42999962</v>
      </c>
      <c r="L741" s="5" t="s">
        <v>239</v>
      </c>
      <c r="M741" s="133" t="s">
        <v>100</v>
      </c>
    </row>
    <row r="742" spans="2:13" x14ac:dyDescent="0.35">
      <c r="B742" s="4" t="s">
        <v>117</v>
      </c>
      <c r="C742" s="104" t="s">
        <v>151</v>
      </c>
      <c r="D742" s="105">
        <v>991892</v>
      </c>
      <c r="E742" s="105">
        <v>404</v>
      </c>
      <c r="F742" s="101">
        <v>38622.480000000003</v>
      </c>
      <c r="G742" s="5" t="s">
        <v>129</v>
      </c>
      <c r="H742" s="105">
        <v>4098</v>
      </c>
      <c r="I742" s="105">
        <v>30717862453</v>
      </c>
      <c r="J742" s="5" t="s">
        <v>130</v>
      </c>
      <c r="K742" s="101">
        <f>+K741+Tabla6[[#This Row],[IMPORTE]]</f>
        <v>19009138.90999962</v>
      </c>
      <c r="L742" s="5" t="s">
        <v>239</v>
      </c>
      <c r="M742" s="133" t="s">
        <v>100</v>
      </c>
    </row>
    <row r="743" spans="2:13" x14ac:dyDescent="0.35">
      <c r="B743" s="4" t="s">
        <v>117</v>
      </c>
      <c r="C743" s="104" t="s">
        <v>151</v>
      </c>
      <c r="D743" s="105">
        <v>107222</v>
      </c>
      <c r="E743" s="105">
        <v>404</v>
      </c>
      <c r="F743" s="101">
        <v>51496.639999999999</v>
      </c>
      <c r="G743" s="5" t="s">
        <v>129</v>
      </c>
      <c r="H743" s="105">
        <v>4098</v>
      </c>
      <c r="I743" s="105">
        <v>30717862453</v>
      </c>
      <c r="J743" s="5" t="s">
        <v>130</v>
      </c>
      <c r="K743" s="101">
        <f>+K742+Tabla6[[#This Row],[IMPORTE]]</f>
        <v>19060635.549999621</v>
      </c>
      <c r="L743" s="5" t="s">
        <v>239</v>
      </c>
      <c r="M743" s="133" t="s">
        <v>100</v>
      </c>
    </row>
    <row r="744" spans="2:13" x14ac:dyDescent="0.35">
      <c r="B744" s="4" t="s">
        <v>117</v>
      </c>
      <c r="C744" s="104" t="s">
        <v>151</v>
      </c>
      <c r="D744" s="105">
        <v>213226</v>
      </c>
      <c r="E744" s="105">
        <v>404</v>
      </c>
      <c r="F744" s="101">
        <v>51496.639999999999</v>
      </c>
      <c r="G744" s="5" t="s">
        <v>129</v>
      </c>
      <c r="H744" s="105">
        <v>4098</v>
      </c>
      <c r="I744" s="105">
        <v>30717862453</v>
      </c>
      <c r="J744" s="5" t="s">
        <v>130</v>
      </c>
      <c r="K744" s="101">
        <f>+K743+Tabla6[[#This Row],[IMPORTE]]</f>
        <v>19112132.189999621</v>
      </c>
      <c r="L744" s="5" t="s">
        <v>239</v>
      </c>
      <c r="M744" s="133" t="s">
        <v>100</v>
      </c>
    </row>
    <row r="745" spans="2:13" x14ac:dyDescent="0.35">
      <c r="B745" s="4" t="s">
        <v>117</v>
      </c>
      <c r="C745" s="104" t="s">
        <v>151</v>
      </c>
      <c r="D745" s="105">
        <v>303005</v>
      </c>
      <c r="E745" s="105">
        <v>404</v>
      </c>
      <c r="F745" s="101">
        <v>51496.639999999999</v>
      </c>
      <c r="G745" s="5" t="s">
        <v>129</v>
      </c>
      <c r="H745" s="105">
        <v>4098</v>
      </c>
      <c r="I745" s="105">
        <v>30717862453</v>
      </c>
      <c r="J745" s="5" t="s">
        <v>130</v>
      </c>
      <c r="K745" s="101">
        <f>+K744+Tabla6[[#This Row],[IMPORTE]]</f>
        <v>19163628.829999622</v>
      </c>
      <c r="L745" s="5" t="s">
        <v>239</v>
      </c>
      <c r="M745" s="133" t="s">
        <v>100</v>
      </c>
    </row>
    <row r="746" spans="2:13" x14ac:dyDescent="0.35">
      <c r="B746" s="4" t="s">
        <v>117</v>
      </c>
      <c r="C746" s="104" t="s">
        <v>151</v>
      </c>
      <c r="D746" s="105">
        <v>352875</v>
      </c>
      <c r="E746" s="105">
        <v>404</v>
      </c>
      <c r="F746" s="101">
        <v>51496.639999999999</v>
      </c>
      <c r="G746" s="5" t="s">
        <v>129</v>
      </c>
      <c r="H746" s="105">
        <v>4098</v>
      </c>
      <c r="I746" s="105">
        <v>30717862453</v>
      </c>
      <c r="J746" s="5" t="s">
        <v>130</v>
      </c>
      <c r="K746" s="101">
        <f>+K745+Tabla6[[#This Row],[IMPORTE]]</f>
        <v>19215125.469999623</v>
      </c>
      <c r="L746" s="5" t="s">
        <v>239</v>
      </c>
      <c r="M746" s="133" t="s">
        <v>100</v>
      </c>
    </row>
    <row r="747" spans="2:13" x14ac:dyDescent="0.35">
      <c r="B747" s="4" t="s">
        <v>117</v>
      </c>
      <c r="C747" s="104" t="s">
        <v>151</v>
      </c>
      <c r="D747" s="105">
        <v>361116</v>
      </c>
      <c r="E747" s="105">
        <v>404</v>
      </c>
      <c r="F747" s="101">
        <v>51496.639999999999</v>
      </c>
      <c r="G747" s="5" t="s">
        <v>129</v>
      </c>
      <c r="H747" s="105">
        <v>4098</v>
      </c>
      <c r="I747" s="105">
        <v>30717862453</v>
      </c>
      <c r="J747" s="5" t="s">
        <v>130</v>
      </c>
      <c r="K747" s="101">
        <f>+K746+Tabla6[[#This Row],[IMPORTE]]</f>
        <v>19266622.109999623</v>
      </c>
      <c r="L747" s="5" t="s">
        <v>239</v>
      </c>
      <c r="M747" s="133" t="s">
        <v>100</v>
      </c>
    </row>
    <row r="748" spans="2:13" x14ac:dyDescent="0.35">
      <c r="B748" s="4" t="s">
        <v>117</v>
      </c>
      <c r="C748" s="104" t="s">
        <v>151</v>
      </c>
      <c r="D748" s="105">
        <v>367216</v>
      </c>
      <c r="E748" s="105">
        <v>404</v>
      </c>
      <c r="F748" s="101">
        <v>51496.639999999999</v>
      </c>
      <c r="G748" s="5" t="s">
        <v>129</v>
      </c>
      <c r="H748" s="105">
        <v>4098</v>
      </c>
      <c r="I748" s="105">
        <v>30717862453</v>
      </c>
      <c r="J748" s="5" t="s">
        <v>130</v>
      </c>
      <c r="K748" s="101">
        <f>+K747+Tabla6[[#This Row],[IMPORTE]]</f>
        <v>19318118.749999624</v>
      </c>
      <c r="L748" s="5" t="s">
        <v>239</v>
      </c>
      <c r="M748" s="133" t="s">
        <v>100</v>
      </c>
    </row>
    <row r="749" spans="2:13" x14ac:dyDescent="0.35">
      <c r="B749" s="4" t="s">
        <v>117</v>
      </c>
      <c r="C749" s="104" t="s">
        <v>151</v>
      </c>
      <c r="D749" s="105">
        <v>786767</v>
      </c>
      <c r="E749" s="105">
        <v>404</v>
      </c>
      <c r="F749" s="101">
        <v>51496.639999999999</v>
      </c>
      <c r="G749" s="5" t="s">
        <v>129</v>
      </c>
      <c r="H749" s="105">
        <v>4098</v>
      </c>
      <c r="I749" s="105">
        <v>30717862453</v>
      </c>
      <c r="J749" s="5" t="s">
        <v>130</v>
      </c>
      <c r="K749" s="101">
        <f>+K748+Tabla6[[#This Row],[IMPORTE]]</f>
        <v>19369615.389999624</v>
      </c>
      <c r="L749" s="5" t="s">
        <v>239</v>
      </c>
      <c r="M749" s="133" t="s">
        <v>100</v>
      </c>
    </row>
    <row r="750" spans="2:13" x14ac:dyDescent="0.35">
      <c r="B750" s="4" t="s">
        <v>104</v>
      </c>
      <c r="C750" s="104" t="s">
        <v>151</v>
      </c>
      <c r="D750" s="105">
        <v>208284</v>
      </c>
      <c r="E750" s="105">
        <v>404</v>
      </c>
      <c r="F750" s="101">
        <v>57650.58</v>
      </c>
      <c r="G750" s="5" t="s">
        <v>106</v>
      </c>
      <c r="H750" s="105">
        <v>183</v>
      </c>
      <c r="I750" s="70" t="s">
        <v>107</v>
      </c>
      <c r="J750" s="5" t="s">
        <v>113</v>
      </c>
      <c r="K750" s="101">
        <f>+K749+Tabla6[[#This Row],[IMPORTE]]</f>
        <v>19427265.969999623</v>
      </c>
      <c r="L750" s="5" t="s">
        <v>240</v>
      </c>
      <c r="M750" s="133" t="s">
        <v>100</v>
      </c>
    </row>
    <row r="751" spans="2:13" x14ac:dyDescent="0.35">
      <c r="B751" s="4" t="s">
        <v>104</v>
      </c>
      <c r="C751" s="104" t="s">
        <v>151</v>
      </c>
      <c r="D751" s="105">
        <v>208281</v>
      </c>
      <c r="E751" s="105">
        <v>404</v>
      </c>
      <c r="F751" s="101">
        <v>57792.15</v>
      </c>
      <c r="G751" s="5" t="s">
        <v>106</v>
      </c>
      <c r="H751" s="105">
        <v>183</v>
      </c>
      <c r="I751" s="70" t="s">
        <v>107</v>
      </c>
      <c r="J751" s="5" t="s">
        <v>110</v>
      </c>
      <c r="K751" s="101">
        <f>+K750+Tabla6[[#This Row],[IMPORTE]]</f>
        <v>19485058.119999621</v>
      </c>
      <c r="L751" s="5" t="s">
        <v>240</v>
      </c>
      <c r="M751" s="133" t="s">
        <v>100</v>
      </c>
    </row>
    <row r="752" spans="2:13" x14ac:dyDescent="0.35">
      <c r="B752" s="4" t="s">
        <v>117</v>
      </c>
      <c r="C752" s="104" t="s">
        <v>151</v>
      </c>
      <c r="D752" s="105">
        <v>110354</v>
      </c>
      <c r="E752" s="105">
        <v>404</v>
      </c>
      <c r="F752" s="101">
        <v>77244.960000000006</v>
      </c>
      <c r="G752" s="5" t="s">
        <v>129</v>
      </c>
      <c r="H752" s="105">
        <v>4098</v>
      </c>
      <c r="I752" s="105">
        <v>30717862453</v>
      </c>
      <c r="J752" s="5" t="s">
        <v>130</v>
      </c>
      <c r="K752" s="101">
        <f>+K751+Tabla6[[#This Row],[IMPORTE]]</f>
        <v>19562303.079999622</v>
      </c>
      <c r="L752" s="5" t="s">
        <v>239</v>
      </c>
      <c r="M752" s="133" t="s">
        <v>100</v>
      </c>
    </row>
    <row r="753" spans="2:13" x14ac:dyDescent="0.35">
      <c r="B753" s="4" t="s">
        <v>117</v>
      </c>
      <c r="C753" s="104" t="s">
        <v>151</v>
      </c>
      <c r="D753" s="105">
        <v>147040</v>
      </c>
      <c r="E753" s="105">
        <v>404</v>
      </c>
      <c r="F753" s="101">
        <v>77244.960000000006</v>
      </c>
      <c r="G753" s="5" t="s">
        <v>129</v>
      </c>
      <c r="H753" s="105">
        <v>4098</v>
      </c>
      <c r="I753" s="105">
        <v>30717862453</v>
      </c>
      <c r="J753" s="5" t="s">
        <v>130</v>
      </c>
      <c r="K753" s="101">
        <f>+K752+Tabla6[[#This Row],[IMPORTE]]</f>
        <v>19639548.039999623</v>
      </c>
      <c r="L753" s="5" t="s">
        <v>239</v>
      </c>
      <c r="M753" s="133" t="s">
        <v>100</v>
      </c>
    </row>
    <row r="754" spans="2:13" x14ac:dyDescent="0.35">
      <c r="B754" s="4" t="s">
        <v>117</v>
      </c>
      <c r="C754" s="104" t="s">
        <v>151</v>
      </c>
      <c r="D754" s="105">
        <v>526580</v>
      </c>
      <c r="E754" s="105">
        <v>404</v>
      </c>
      <c r="F754" s="101">
        <v>77244.960000000006</v>
      </c>
      <c r="G754" s="5" t="s">
        <v>129</v>
      </c>
      <c r="H754" s="105">
        <v>4098</v>
      </c>
      <c r="I754" s="105">
        <v>30717862453</v>
      </c>
      <c r="J754" s="5" t="s">
        <v>130</v>
      </c>
      <c r="K754" s="101">
        <f>+K753+Tabla6[[#This Row],[IMPORTE]]</f>
        <v>19716792.999999624</v>
      </c>
      <c r="L754" s="5" t="s">
        <v>239</v>
      </c>
      <c r="M754" s="133" t="s">
        <v>100</v>
      </c>
    </row>
    <row r="755" spans="2:13" x14ac:dyDescent="0.35">
      <c r="B755" s="4" t="s">
        <v>117</v>
      </c>
      <c r="C755" s="104" t="s">
        <v>151</v>
      </c>
      <c r="D755" s="105">
        <v>667859</v>
      </c>
      <c r="E755" s="105">
        <v>404</v>
      </c>
      <c r="F755" s="101">
        <v>86256.87</v>
      </c>
      <c r="G755" s="5" t="s">
        <v>129</v>
      </c>
      <c r="H755" s="105">
        <v>4098</v>
      </c>
      <c r="I755" s="105">
        <v>30717862453</v>
      </c>
      <c r="J755" s="5" t="s">
        <v>130</v>
      </c>
      <c r="K755" s="101">
        <f>+K754+Tabla6[[#This Row],[IMPORTE]]</f>
        <v>19803049.869999625</v>
      </c>
      <c r="L755" s="5" t="s">
        <v>239</v>
      </c>
      <c r="M755" s="133" t="s">
        <v>100</v>
      </c>
    </row>
    <row r="756" spans="2:13" x14ac:dyDescent="0.35">
      <c r="B756" s="4" t="s">
        <v>104</v>
      </c>
      <c r="C756" s="104" t="s">
        <v>151</v>
      </c>
      <c r="D756" s="105">
        <v>208285</v>
      </c>
      <c r="E756" s="105">
        <v>404</v>
      </c>
      <c r="F756" s="101">
        <v>120511.3</v>
      </c>
      <c r="G756" s="5" t="s">
        <v>106</v>
      </c>
      <c r="H756" s="105">
        <v>183</v>
      </c>
      <c r="I756" s="70" t="s">
        <v>107</v>
      </c>
      <c r="J756" s="5" t="s">
        <v>113</v>
      </c>
      <c r="K756" s="101">
        <f>+K755+Tabla6[[#This Row],[IMPORTE]]</f>
        <v>19923561.169999626</v>
      </c>
      <c r="L756" s="5" t="s">
        <v>241</v>
      </c>
      <c r="M756" s="133" t="s">
        <v>100</v>
      </c>
    </row>
    <row r="757" spans="2:13" x14ac:dyDescent="0.35">
      <c r="B757" s="4" t="s">
        <v>104</v>
      </c>
      <c r="C757" s="104" t="s">
        <v>151</v>
      </c>
      <c r="D757" s="105">
        <v>208279</v>
      </c>
      <c r="E757" s="105">
        <v>404</v>
      </c>
      <c r="F757" s="101">
        <v>128427</v>
      </c>
      <c r="G757" s="5" t="s">
        <v>106</v>
      </c>
      <c r="H757" s="105">
        <v>183</v>
      </c>
      <c r="I757" s="70" t="s">
        <v>107</v>
      </c>
      <c r="J757" s="5" t="s">
        <v>112</v>
      </c>
      <c r="K757" s="101">
        <f>+K756+Tabla6[[#This Row],[IMPORTE]]</f>
        <v>20051988.169999626</v>
      </c>
      <c r="L757" s="5" t="s">
        <v>240</v>
      </c>
      <c r="M757" s="133" t="s">
        <v>100</v>
      </c>
    </row>
    <row r="758" spans="2:13" x14ac:dyDescent="0.35">
      <c r="B758" s="4" t="s">
        <v>104</v>
      </c>
      <c r="C758" s="104" t="s">
        <v>151</v>
      </c>
      <c r="D758" s="105">
        <v>208283</v>
      </c>
      <c r="E758" s="105">
        <v>404</v>
      </c>
      <c r="F758" s="101">
        <v>153734.88</v>
      </c>
      <c r="G758" s="5" t="s">
        <v>106</v>
      </c>
      <c r="H758" s="105">
        <v>183</v>
      </c>
      <c r="I758" s="70" t="s">
        <v>107</v>
      </c>
      <c r="J758" s="5" t="s">
        <v>109</v>
      </c>
      <c r="K758" s="101">
        <f>+K757+Tabla6[[#This Row],[IMPORTE]]</f>
        <v>20205723.049999624</v>
      </c>
      <c r="L758" s="5" t="s">
        <v>240</v>
      </c>
      <c r="M758" s="133" t="s">
        <v>100</v>
      </c>
    </row>
    <row r="759" spans="2:13" x14ac:dyDescent="0.35">
      <c r="B759" s="4" t="s">
        <v>104</v>
      </c>
      <c r="C759" s="104" t="s">
        <v>151</v>
      </c>
      <c r="D759" s="105">
        <v>208280</v>
      </c>
      <c r="E759" s="105">
        <v>404</v>
      </c>
      <c r="F759" s="101">
        <v>179357.36</v>
      </c>
      <c r="G759" s="5" t="s">
        <v>106</v>
      </c>
      <c r="H759" s="105">
        <v>183</v>
      </c>
      <c r="I759" s="70" t="s">
        <v>107</v>
      </c>
      <c r="J759" s="5" t="s">
        <v>116</v>
      </c>
      <c r="K759" s="101">
        <f>+K758+Tabla6[[#This Row],[IMPORTE]]</f>
        <v>20385080.409999624</v>
      </c>
      <c r="L759" s="5" t="s">
        <v>240</v>
      </c>
      <c r="M759" s="133" t="s">
        <v>100</v>
      </c>
    </row>
    <row r="760" spans="2:13" x14ac:dyDescent="0.35">
      <c r="B760" s="4" t="s">
        <v>117</v>
      </c>
      <c r="C760" s="104" t="s">
        <v>151</v>
      </c>
      <c r="D760" s="105">
        <v>68023</v>
      </c>
      <c r="E760" s="105">
        <v>404</v>
      </c>
      <c r="F760" s="101">
        <v>215049.96</v>
      </c>
      <c r="G760" s="5" t="s">
        <v>129</v>
      </c>
      <c r="H760" s="105">
        <v>4098</v>
      </c>
      <c r="I760" s="105">
        <v>30717862453</v>
      </c>
      <c r="J760" s="5" t="s">
        <v>130</v>
      </c>
      <c r="K760" s="101">
        <f>+K759+Tabla6[[#This Row],[IMPORTE]]</f>
        <v>20600130.369999625</v>
      </c>
      <c r="L760" s="5" t="s">
        <v>239</v>
      </c>
      <c r="M760" s="133" t="s">
        <v>100</v>
      </c>
    </row>
    <row r="761" spans="2:13" x14ac:dyDescent="0.35">
      <c r="B761" s="4" t="s">
        <v>117</v>
      </c>
      <c r="C761" s="104" t="s">
        <v>151</v>
      </c>
      <c r="D761" s="105">
        <v>318080</v>
      </c>
      <c r="E761" s="105">
        <v>404</v>
      </c>
      <c r="F761" s="101">
        <v>215049.96</v>
      </c>
      <c r="G761" s="5" t="s">
        <v>129</v>
      </c>
      <c r="H761" s="105">
        <v>4098</v>
      </c>
      <c r="I761" s="105">
        <v>30717862453</v>
      </c>
      <c r="J761" s="5" t="s">
        <v>130</v>
      </c>
      <c r="K761" s="101">
        <f>+K760+Tabla6[[#This Row],[IMPORTE]]</f>
        <v>20815180.329999626</v>
      </c>
      <c r="L761" s="5" t="s">
        <v>239</v>
      </c>
      <c r="M761" s="133" t="s">
        <v>100</v>
      </c>
    </row>
    <row r="762" spans="2:13" x14ac:dyDescent="0.35">
      <c r="B762" s="4" t="s">
        <v>117</v>
      </c>
      <c r="C762" s="104" t="s">
        <v>151</v>
      </c>
      <c r="D762" s="105">
        <v>421534</v>
      </c>
      <c r="E762" s="105">
        <v>404</v>
      </c>
      <c r="F762" s="101">
        <v>215049.96</v>
      </c>
      <c r="G762" s="5" t="s">
        <v>129</v>
      </c>
      <c r="H762" s="105">
        <v>4098</v>
      </c>
      <c r="I762" s="105">
        <v>30717862453</v>
      </c>
      <c r="J762" s="5" t="s">
        <v>130</v>
      </c>
      <c r="K762" s="101">
        <f>+K761+Tabla6[[#This Row],[IMPORTE]]</f>
        <v>21030230.289999627</v>
      </c>
      <c r="L762" s="5" t="s">
        <v>239</v>
      </c>
      <c r="M762" s="133" t="s">
        <v>100</v>
      </c>
    </row>
    <row r="763" spans="2:13" x14ac:dyDescent="0.35">
      <c r="B763" s="4" t="s">
        <v>117</v>
      </c>
      <c r="C763" s="104" t="s">
        <v>151</v>
      </c>
      <c r="D763" s="105">
        <v>518888</v>
      </c>
      <c r="E763" s="105">
        <v>404</v>
      </c>
      <c r="F763" s="101">
        <v>215049.96</v>
      </c>
      <c r="G763" s="5" t="s">
        <v>129</v>
      </c>
      <c r="H763" s="105">
        <v>4098</v>
      </c>
      <c r="I763" s="105">
        <v>30717862453</v>
      </c>
      <c r="J763" s="5" t="s">
        <v>130</v>
      </c>
      <c r="K763" s="101">
        <f>+K762+Tabla6[[#This Row],[IMPORTE]]</f>
        <v>21245280.249999627</v>
      </c>
      <c r="L763" s="5" t="s">
        <v>239</v>
      </c>
      <c r="M763" s="133" t="s">
        <v>100</v>
      </c>
    </row>
    <row r="764" spans="2:13" x14ac:dyDescent="0.35">
      <c r="B764" s="4" t="s">
        <v>117</v>
      </c>
      <c r="C764" s="104" t="s">
        <v>151</v>
      </c>
      <c r="D764" s="105">
        <v>533868</v>
      </c>
      <c r="E764" s="105">
        <v>404</v>
      </c>
      <c r="F764" s="101">
        <v>215049.96</v>
      </c>
      <c r="G764" s="5" t="s">
        <v>129</v>
      </c>
      <c r="H764" s="105">
        <v>4098</v>
      </c>
      <c r="I764" s="105">
        <v>30717862453</v>
      </c>
      <c r="J764" s="5" t="s">
        <v>130</v>
      </c>
      <c r="K764" s="101">
        <f>+K763+Tabla6[[#This Row],[IMPORTE]]</f>
        <v>21460330.209999628</v>
      </c>
      <c r="L764" s="5" t="s">
        <v>239</v>
      </c>
      <c r="M764" s="133" t="s">
        <v>100</v>
      </c>
    </row>
    <row r="765" spans="2:13" x14ac:dyDescent="0.35">
      <c r="B765" s="4" t="s">
        <v>117</v>
      </c>
      <c r="C765" s="104" t="s">
        <v>151</v>
      </c>
      <c r="D765" s="105">
        <v>152698</v>
      </c>
      <c r="E765" s="105">
        <v>404</v>
      </c>
      <c r="F765" s="101">
        <v>322574.96000000002</v>
      </c>
      <c r="G765" s="5" t="s">
        <v>129</v>
      </c>
      <c r="H765" s="105">
        <v>4098</v>
      </c>
      <c r="I765" s="105">
        <v>30717862453</v>
      </c>
      <c r="J765" s="5" t="s">
        <v>130</v>
      </c>
      <c r="K765" s="101">
        <f>+K764+Tabla6[[#This Row],[IMPORTE]]</f>
        <v>21782905.169999629</v>
      </c>
      <c r="L765" s="5" t="s">
        <v>239</v>
      </c>
      <c r="M765" s="133" t="s">
        <v>100</v>
      </c>
    </row>
    <row r="766" spans="2:13" x14ac:dyDescent="0.35">
      <c r="B766" s="4" t="s">
        <v>117</v>
      </c>
      <c r="C766" s="104" t="s">
        <v>151</v>
      </c>
      <c r="D766" s="105">
        <v>457243</v>
      </c>
      <c r="E766" s="105">
        <v>404</v>
      </c>
      <c r="F766" s="101">
        <v>322574.96000000002</v>
      </c>
      <c r="G766" s="5" t="s">
        <v>129</v>
      </c>
      <c r="H766" s="105">
        <v>4098</v>
      </c>
      <c r="I766" s="105">
        <v>30717862453</v>
      </c>
      <c r="J766" s="5" t="s">
        <v>130</v>
      </c>
      <c r="K766" s="101">
        <f>+K765+Tabla6[[#This Row],[IMPORTE]]</f>
        <v>22105480.12999963</v>
      </c>
      <c r="L766" s="5" t="s">
        <v>239</v>
      </c>
      <c r="M766" s="133" t="s">
        <v>100</v>
      </c>
    </row>
    <row r="767" spans="2:13" x14ac:dyDescent="0.35">
      <c r="B767" s="4" t="s">
        <v>104</v>
      </c>
      <c r="C767" s="104" t="s">
        <v>151</v>
      </c>
      <c r="D767" s="105">
        <v>208282</v>
      </c>
      <c r="E767" s="105">
        <v>404</v>
      </c>
      <c r="F767" s="101">
        <v>642558.14</v>
      </c>
      <c r="G767" s="5" t="s">
        <v>106</v>
      </c>
      <c r="H767" s="105">
        <v>183</v>
      </c>
      <c r="I767" s="70" t="s">
        <v>107</v>
      </c>
      <c r="J767" s="5" t="s">
        <v>115</v>
      </c>
      <c r="K767" s="101">
        <f>+K766+Tabla6[[#This Row],[IMPORTE]]</f>
        <v>22748038.269999631</v>
      </c>
      <c r="L767" s="5" t="s">
        <v>240</v>
      </c>
      <c r="M767" s="133" t="s">
        <v>100</v>
      </c>
    </row>
    <row r="768" spans="2:13" x14ac:dyDescent="0.35">
      <c r="B768" s="4" t="s">
        <v>117</v>
      </c>
      <c r="C768" s="104" t="s">
        <v>151</v>
      </c>
      <c r="D768" s="105">
        <v>120</v>
      </c>
      <c r="E768" s="105">
        <v>811</v>
      </c>
      <c r="F768" s="101">
        <v>679073</v>
      </c>
      <c r="G768" s="5" t="s">
        <v>118</v>
      </c>
      <c r="H768" s="105">
        <v>4151</v>
      </c>
      <c r="I768" s="70" t="s">
        <v>107</v>
      </c>
      <c r="J768" s="5" t="s">
        <v>119</v>
      </c>
      <c r="K768" s="101">
        <f>+K767+Tabla6[[#This Row],[IMPORTE]]</f>
        <v>23427111.269999631</v>
      </c>
      <c r="L768" s="5" t="s">
        <v>242</v>
      </c>
      <c r="M768" s="133" t="s">
        <v>100</v>
      </c>
    </row>
    <row r="769" spans="2:13" x14ac:dyDescent="0.35">
      <c r="B769" s="4" t="s">
        <v>104</v>
      </c>
      <c r="C769" s="104" t="s">
        <v>152</v>
      </c>
      <c r="D769" s="105">
        <v>212140</v>
      </c>
      <c r="E769" s="105">
        <v>404</v>
      </c>
      <c r="F769" s="101">
        <v>19028.099999999999</v>
      </c>
      <c r="G769" s="5" t="s">
        <v>106</v>
      </c>
      <c r="H769" s="105">
        <v>183</v>
      </c>
      <c r="I769" s="70" t="s">
        <v>107</v>
      </c>
      <c r="J769" s="5" t="s">
        <v>116</v>
      </c>
      <c r="K769" s="101">
        <f>+K768+Tabla6[[#This Row],[IMPORTE]]</f>
        <v>23446139.369999632</v>
      </c>
      <c r="L769" s="5" t="s">
        <v>243</v>
      </c>
      <c r="M769" s="133" t="s">
        <v>100</v>
      </c>
    </row>
    <row r="770" spans="2:13" x14ac:dyDescent="0.35">
      <c r="B770" s="4" t="s">
        <v>104</v>
      </c>
      <c r="C770" s="104" t="s">
        <v>152</v>
      </c>
      <c r="D770" s="105">
        <v>212137</v>
      </c>
      <c r="E770" s="105">
        <v>404</v>
      </c>
      <c r="F770" s="101">
        <v>19264.05</v>
      </c>
      <c r="G770" s="5" t="s">
        <v>106</v>
      </c>
      <c r="H770" s="105">
        <v>183</v>
      </c>
      <c r="I770" s="70" t="s">
        <v>107</v>
      </c>
      <c r="J770" s="5" t="s">
        <v>112</v>
      </c>
      <c r="K770" s="101">
        <f>+K769+Tabla6[[#This Row],[IMPORTE]]</f>
        <v>23465403.419999633</v>
      </c>
      <c r="L770" s="5" t="s">
        <v>244</v>
      </c>
      <c r="M770" s="133" t="s">
        <v>100</v>
      </c>
    </row>
    <row r="771" spans="2:13" x14ac:dyDescent="0.35">
      <c r="B771" s="4" t="s">
        <v>117</v>
      </c>
      <c r="C771" s="104" t="s">
        <v>152</v>
      </c>
      <c r="D771" s="105">
        <v>738819</v>
      </c>
      <c r="E771" s="105">
        <v>404</v>
      </c>
      <c r="F771" s="101">
        <v>19311.240000000002</v>
      </c>
      <c r="G771" s="5" t="s">
        <v>129</v>
      </c>
      <c r="H771" s="105">
        <v>4098</v>
      </c>
      <c r="I771" s="105">
        <v>30717862453</v>
      </c>
      <c r="J771" s="5" t="s">
        <v>130</v>
      </c>
      <c r="K771" s="101">
        <f>+K770+Tabla6[[#This Row],[IMPORTE]]</f>
        <v>23484714.659999631</v>
      </c>
      <c r="L771" s="5" t="s">
        <v>245</v>
      </c>
      <c r="M771" s="133" t="s">
        <v>100</v>
      </c>
    </row>
    <row r="772" spans="2:13" x14ac:dyDescent="0.35">
      <c r="B772" s="4" t="s">
        <v>117</v>
      </c>
      <c r="C772" s="104" t="s">
        <v>152</v>
      </c>
      <c r="D772" s="105">
        <v>802964</v>
      </c>
      <c r="E772" s="105">
        <v>404</v>
      </c>
      <c r="F772" s="101">
        <v>19311.240000000002</v>
      </c>
      <c r="G772" s="5" t="s">
        <v>129</v>
      </c>
      <c r="H772" s="105">
        <v>4098</v>
      </c>
      <c r="I772" s="105">
        <v>30717862453</v>
      </c>
      <c r="J772" s="5" t="s">
        <v>130</v>
      </c>
      <c r="K772" s="101">
        <f>+K771+Tabla6[[#This Row],[IMPORTE]]</f>
        <v>23504025.89999963</v>
      </c>
      <c r="L772" s="5" t="s">
        <v>245</v>
      </c>
      <c r="M772" s="133" t="s">
        <v>100</v>
      </c>
    </row>
    <row r="773" spans="2:13" x14ac:dyDescent="0.35">
      <c r="B773" s="4" t="s">
        <v>117</v>
      </c>
      <c r="C773" s="104" t="s">
        <v>152</v>
      </c>
      <c r="D773" s="105">
        <v>855275</v>
      </c>
      <c r="E773" s="105">
        <v>404</v>
      </c>
      <c r="F773" s="101">
        <v>20752.18</v>
      </c>
      <c r="G773" s="5" t="s">
        <v>129</v>
      </c>
      <c r="H773" s="105">
        <v>4098</v>
      </c>
      <c r="I773" s="105">
        <v>30717862453</v>
      </c>
      <c r="J773" s="5" t="s">
        <v>130</v>
      </c>
      <c r="K773" s="101">
        <f>+K772+Tabla6[[#This Row],[IMPORTE]]</f>
        <v>23524778.079999629</v>
      </c>
      <c r="L773" s="5" t="s">
        <v>245</v>
      </c>
      <c r="M773" s="133" t="s">
        <v>100</v>
      </c>
    </row>
    <row r="774" spans="2:13" x14ac:dyDescent="0.35">
      <c r="B774" s="4" t="s">
        <v>117</v>
      </c>
      <c r="C774" s="104" t="s">
        <v>152</v>
      </c>
      <c r="D774" s="105">
        <v>790883</v>
      </c>
      <c r="E774" s="105">
        <v>404</v>
      </c>
      <c r="F774" s="101">
        <v>25748.32</v>
      </c>
      <c r="G774" s="5" t="s">
        <v>129</v>
      </c>
      <c r="H774" s="105">
        <v>4098</v>
      </c>
      <c r="I774" s="105">
        <v>30717862453</v>
      </c>
      <c r="J774" s="5" t="s">
        <v>130</v>
      </c>
      <c r="K774" s="101">
        <f>+K773+Tabla6[[#This Row],[IMPORTE]]</f>
        <v>23550526.39999963</v>
      </c>
      <c r="L774" s="5" t="s">
        <v>245</v>
      </c>
      <c r="M774" s="133" t="s">
        <v>100</v>
      </c>
    </row>
    <row r="775" spans="2:13" x14ac:dyDescent="0.35">
      <c r="B775" s="4" t="s">
        <v>117</v>
      </c>
      <c r="C775" s="104" t="s">
        <v>152</v>
      </c>
      <c r="D775" s="105">
        <v>534044</v>
      </c>
      <c r="E775" s="105">
        <v>404</v>
      </c>
      <c r="F775" s="101">
        <v>30897.98</v>
      </c>
      <c r="G775" s="5" t="s">
        <v>129</v>
      </c>
      <c r="H775" s="105">
        <v>4098</v>
      </c>
      <c r="I775" s="105">
        <v>30717862453</v>
      </c>
      <c r="J775" s="5" t="s">
        <v>130</v>
      </c>
      <c r="K775" s="101">
        <f>+K774+Tabla6[[#This Row],[IMPORTE]]</f>
        <v>23581424.37999963</v>
      </c>
      <c r="L775" s="5" t="s">
        <v>245</v>
      </c>
      <c r="M775" s="133" t="s">
        <v>100</v>
      </c>
    </row>
    <row r="776" spans="2:13" x14ac:dyDescent="0.35">
      <c r="B776" s="4" t="s">
        <v>104</v>
      </c>
      <c r="C776" s="104" t="s">
        <v>152</v>
      </c>
      <c r="D776" s="105">
        <v>212138</v>
      </c>
      <c r="E776" s="105">
        <v>404</v>
      </c>
      <c r="F776" s="101">
        <v>38528.1</v>
      </c>
      <c r="G776" s="5" t="s">
        <v>106</v>
      </c>
      <c r="H776" s="105">
        <v>183</v>
      </c>
      <c r="I776" s="70" t="s">
        <v>107</v>
      </c>
      <c r="J776" s="5" t="s">
        <v>150</v>
      </c>
      <c r="K776" s="101">
        <f>+K775+Tabla6[[#This Row],[IMPORTE]]</f>
        <v>23619952.479999632</v>
      </c>
      <c r="L776" s="5" t="s">
        <v>244</v>
      </c>
      <c r="M776" s="133" t="s">
        <v>100</v>
      </c>
    </row>
    <row r="777" spans="2:13" x14ac:dyDescent="0.35">
      <c r="B777" s="4" t="s">
        <v>117</v>
      </c>
      <c r="C777" s="104" t="s">
        <v>152</v>
      </c>
      <c r="D777" s="105">
        <v>51260</v>
      </c>
      <c r="E777" s="105">
        <v>404</v>
      </c>
      <c r="F777" s="101">
        <v>38622.480000000003</v>
      </c>
      <c r="G777" s="5" t="s">
        <v>129</v>
      </c>
      <c r="H777" s="105">
        <v>4098</v>
      </c>
      <c r="I777" s="105">
        <v>30717862453</v>
      </c>
      <c r="J777" s="5" t="s">
        <v>130</v>
      </c>
      <c r="K777" s="101">
        <f>+K776+Tabla6[[#This Row],[IMPORTE]]</f>
        <v>23658574.959999632</v>
      </c>
      <c r="L777" s="5" t="s">
        <v>245</v>
      </c>
      <c r="M777" s="133" t="s">
        <v>100</v>
      </c>
    </row>
    <row r="778" spans="2:13" x14ac:dyDescent="0.35">
      <c r="B778" s="4" t="s">
        <v>117</v>
      </c>
      <c r="C778" s="104" t="s">
        <v>152</v>
      </c>
      <c r="D778" s="105">
        <v>210446</v>
      </c>
      <c r="E778" s="105">
        <v>404</v>
      </c>
      <c r="F778" s="101">
        <v>38622.480000000003</v>
      </c>
      <c r="G778" s="5" t="s">
        <v>129</v>
      </c>
      <c r="H778" s="105">
        <v>4098</v>
      </c>
      <c r="I778" s="105">
        <v>30717862453</v>
      </c>
      <c r="J778" s="5" t="s">
        <v>130</v>
      </c>
      <c r="K778" s="101">
        <f>+K777+Tabla6[[#This Row],[IMPORTE]]</f>
        <v>23697197.439999633</v>
      </c>
      <c r="L778" s="5" t="s">
        <v>245</v>
      </c>
      <c r="M778" s="133" t="s">
        <v>100</v>
      </c>
    </row>
    <row r="779" spans="2:13" x14ac:dyDescent="0.35">
      <c r="B779" s="4" t="s">
        <v>117</v>
      </c>
      <c r="C779" s="104" t="s">
        <v>152</v>
      </c>
      <c r="D779" s="105">
        <v>217109</v>
      </c>
      <c r="E779" s="105">
        <v>404</v>
      </c>
      <c r="F779" s="101">
        <v>38622.480000000003</v>
      </c>
      <c r="G779" s="5" t="s">
        <v>129</v>
      </c>
      <c r="H779" s="105">
        <v>4098</v>
      </c>
      <c r="I779" s="105">
        <v>30717862453</v>
      </c>
      <c r="J779" s="5" t="s">
        <v>130</v>
      </c>
      <c r="K779" s="101">
        <f>+K778+Tabla6[[#This Row],[IMPORTE]]</f>
        <v>23735819.919999633</v>
      </c>
      <c r="L779" s="5" t="s">
        <v>245</v>
      </c>
      <c r="M779" s="133" t="s">
        <v>100</v>
      </c>
    </row>
    <row r="780" spans="2:13" x14ac:dyDescent="0.35">
      <c r="B780" s="4" t="s">
        <v>117</v>
      </c>
      <c r="C780" s="104" t="s">
        <v>152</v>
      </c>
      <c r="D780" s="105">
        <v>316185</v>
      </c>
      <c r="E780" s="105">
        <v>404</v>
      </c>
      <c r="F780" s="101">
        <v>38622.480000000003</v>
      </c>
      <c r="G780" s="5" t="s">
        <v>129</v>
      </c>
      <c r="H780" s="105">
        <v>4098</v>
      </c>
      <c r="I780" s="105">
        <v>30717862453</v>
      </c>
      <c r="J780" s="5" t="s">
        <v>130</v>
      </c>
      <c r="K780" s="101">
        <f>+K779+Tabla6[[#This Row],[IMPORTE]]</f>
        <v>23774442.399999633</v>
      </c>
      <c r="L780" s="5" t="s">
        <v>245</v>
      </c>
      <c r="M780" s="133" t="s">
        <v>100</v>
      </c>
    </row>
    <row r="781" spans="2:13" x14ac:dyDescent="0.35">
      <c r="B781" s="4" t="s">
        <v>117</v>
      </c>
      <c r="C781" s="104" t="s">
        <v>152</v>
      </c>
      <c r="D781" s="105">
        <v>355384</v>
      </c>
      <c r="E781" s="105">
        <v>404</v>
      </c>
      <c r="F781" s="101">
        <v>38622.480000000003</v>
      </c>
      <c r="G781" s="5" t="s">
        <v>129</v>
      </c>
      <c r="H781" s="105">
        <v>4098</v>
      </c>
      <c r="I781" s="105">
        <v>30717862453</v>
      </c>
      <c r="J781" s="5" t="s">
        <v>130</v>
      </c>
      <c r="K781" s="101">
        <f>+K780+Tabla6[[#This Row],[IMPORTE]]</f>
        <v>23813064.879999634</v>
      </c>
      <c r="L781" s="5" t="s">
        <v>245</v>
      </c>
      <c r="M781" s="133" t="s">
        <v>100</v>
      </c>
    </row>
    <row r="782" spans="2:13" x14ac:dyDescent="0.35">
      <c r="B782" s="4" t="s">
        <v>117</v>
      </c>
      <c r="C782" s="104" t="s">
        <v>152</v>
      </c>
      <c r="D782" s="105">
        <v>380571</v>
      </c>
      <c r="E782" s="105">
        <v>404</v>
      </c>
      <c r="F782" s="101">
        <v>38622.480000000003</v>
      </c>
      <c r="G782" s="5" t="s">
        <v>129</v>
      </c>
      <c r="H782" s="105">
        <v>4098</v>
      </c>
      <c r="I782" s="105">
        <v>30717862453</v>
      </c>
      <c r="J782" s="5" t="s">
        <v>130</v>
      </c>
      <c r="K782" s="101">
        <f>+K781+Tabla6[[#This Row],[IMPORTE]]</f>
        <v>23851687.359999634</v>
      </c>
      <c r="L782" s="5" t="s">
        <v>245</v>
      </c>
      <c r="M782" s="133" t="s">
        <v>100</v>
      </c>
    </row>
    <row r="783" spans="2:13" x14ac:dyDescent="0.35">
      <c r="B783" s="4" t="s">
        <v>117</v>
      </c>
      <c r="C783" s="104" t="s">
        <v>152</v>
      </c>
      <c r="D783" s="105">
        <v>526284</v>
      </c>
      <c r="E783" s="105">
        <v>404</v>
      </c>
      <c r="F783" s="101">
        <v>38622.480000000003</v>
      </c>
      <c r="G783" s="5" t="s">
        <v>129</v>
      </c>
      <c r="H783" s="105">
        <v>4098</v>
      </c>
      <c r="I783" s="105">
        <v>30717862453</v>
      </c>
      <c r="J783" s="5" t="s">
        <v>130</v>
      </c>
      <c r="K783" s="101">
        <f>+K782+Tabla6[[#This Row],[IMPORTE]]</f>
        <v>23890309.839999635</v>
      </c>
      <c r="L783" s="5" t="s">
        <v>245</v>
      </c>
      <c r="M783" s="133" t="s">
        <v>100</v>
      </c>
    </row>
    <row r="784" spans="2:13" x14ac:dyDescent="0.35">
      <c r="B784" s="4" t="s">
        <v>117</v>
      </c>
      <c r="C784" s="104" t="s">
        <v>152</v>
      </c>
      <c r="D784" s="105">
        <v>589074</v>
      </c>
      <c r="E784" s="105">
        <v>404</v>
      </c>
      <c r="F784" s="101">
        <v>38622.480000000003</v>
      </c>
      <c r="G784" s="5" t="s">
        <v>129</v>
      </c>
      <c r="H784" s="105">
        <v>4098</v>
      </c>
      <c r="I784" s="105">
        <v>30717862453</v>
      </c>
      <c r="J784" s="5" t="s">
        <v>130</v>
      </c>
      <c r="K784" s="101">
        <f>+K783+Tabla6[[#This Row],[IMPORTE]]</f>
        <v>23928932.319999635</v>
      </c>
      <c r="L784" s="5" t="s">
        <v>245</v>
      </c>
      <c r="M784" s="133" t="s">
        <v>100</v>
      </c>
    </row>
    <row r="785" spans="2:13" x14ac:dyDescent="0.35">
      <c r="B785" s="4" t="s">
        <v>117</v>
      </c>
      <c r="C785" s="104" t="s">
        <v>152</v>
      </c>
      <c r="D785" s="105">
        <v>603008</v>
      </c>
      <c r="E785" s="105">
        <v>404</v>
      </c>
      <c r="F785" s="101">
        <v>38622.480000000003</v>
      </c>
      <c r="G785" s="5" t="s">
        <v>129</v>
      </c>
      <c r="H785" s="105">
        <v>4098</v>
      </c>
      <c r="I785" s="105">
        <v>30717862453</v>
      </c>
      <c r="J785" s="5" t="s">
        <v>130</v>
      </c>
      <c r="K785" s="101">
        <f>+K784+Tabla6[[#This Row],[IMPORTE]]</f>
        <v>23967554.799999636</v>
      </c>
      <c r="L785" s="5" t="s">
        <v>245</v>
      </c>
      <c r="M785" s="133" t="s">
        <v>100</v>
      </c>
    </row>
    <row r="786" spans="2:13" x14ac:dyDescent="0.35">
      <c r="B786" s="4" t="s">
        <v>117</v>
      </c>
      <c r="C786" s="104" t="s">
        <v>152</v>
      </c>
      <c r="D786" s="105">
        <v>705003</v>
      </c>
      <c r="E786" s="105">
        <v>404</v>
      </c>
      <c r="F786" s="101">
        <v>38622.480000000003</v>
      </c>
      <c r="G786" s="5" t="s">
        <v>129</v>
      </c>
      <c r="H786" s="105">
        <v>4098</v>
      </c>
      <c r="I786" s="105">
        <v>30717862453</v>
      </c>
      <c r="J786" s="5" t="s">
        <v>130</v>
      </c>
      <c r="K786" s="101">
        <f>+K785+Tabla6[[#This Row],[IMPORTE]]</f>
        <v>24006177.279999636</v>
      </c>
      <c r="L786" s="5" t="s">
        <v>245</v>
      </c>
      <c r="M786" s="133" t="s">
        <v>100</v>
      </c>
    </row>
    <row r="787" spans="2:13" x14ac:dyDescent="0.35">
      <c r="B787" s="4" t="s">
        <v>117</v>
      </c>
      <c r="C787" s="104" t="s">
        <v>152</v>
      </c>
      <c r="D787" s="105">
        <v>727710</v>
      </c>
      <c r="E787" s="105">
        <v>404</v>
      </c>
      <c r="F787" s="101">
        <v>38622.480000000003</v>
      </c>
      <c r="G787" s="5" t="s">
        <v>129</v>
      </c>
      <c r="H787" s="105">
        <v>4098</v>
      </c>
      <c r="I787" s="105">
        <v>30717862453</v>
      </c>
      <c r="J787" s="5" t="s">
        <v>130</v>
      </c>
      <c r="K787" s="101">
        <f>+K786+Tabla6[[#This Row],[IMPORTE]]</f>
        <v>24044799.759999637</v>
      </c>
      <c r="L787" s="5" t="s">
        <v>245</v>
      </c>
      <c r="M787" s="133" t="s">
        <v>100</v>
      </c>
    </row>
    <row r="788" spans="2:13" x14ac:dyDescent="0.35">
      <c r="B788" s="4" t="s">
        <v>117</v>
      </c>
      <c r="C788" s="104" t="s">
        <v>152</v>
      </c>
      <c r="D788" s="105">
        <v>830716</v>
      </c>
      <c r="E788" s="105">
        <v>404</v>
      </c>
      <c r="F788" s="101">
        <v>38622.480000000003</v>
      </c>
      <c r="G788" s="5" t="s">
        <v>129</v>
      </c>
      <c r="H788" s="105">
        <v>4098</v>
      </c>
      <c r="I788" s="105">
        <v>30717862453</v>
      </c>
      <c r="J788" s="5" t="s">
        <v>130</v>
      </c>
      <c r="K788" s="101">
        <f>+K787+Tabla6[[#This Row],[IMPORTE]]</f>
        <v>24083422.239999637</v>
      </c>
      <c r="L788" s="5" t="s">
        <v>245</v>
      </c>
      <c r="M788" s="133" t="s">
        <v>100</v>
      </c>
    </row>
    <row r="789" spans="2:13" x14ac:dyDescent="0.35">
      <c r="B789" s="4" t="s">
        <v>117</v>
      </c>
      <c r="C789" s="104" t="s">
        <v>152</v>
      </c>
      <c r="D789" s="105">
        <v>867607</v>
      </c>
      <c r="E789" s="105">
        <v>404</v>
      </c>
      <c r="F789" s="101">
        <v>38622.480000000003</v>
      </c>
      <c r="G789" s="5" t="s">
        <v>129</v>
      </c>
      <c r="H789" s="105">
        <v>4098</v>
      </c>
      <c r="I789" s="105">
        <v>30717862453</v>
      </c>
      <c r="J789" s="5" t="s">
        <v>130</v>
      </c>
      <c r="K789" s="101">
        <f>+K788+Tabla6[[#This Row],[IMPORTE]]</f>
        <v>24122044.719999637</v>
      </c>
      <c r="L789" s="5" t="s">
        <v>245</v>
      </c>
      <c r="M789" s="133" t="s">
        <v>100</v>
      </c>
    </row>
    <row r="790" spans="2:13" x14ac:dyDescent="0.35">
      <c r="B790" s="4" t="s">
        <v>117</v>
      </c>
      <c r="C790" s="104" t="s">
        <v>152</v>
      </c>
      <c r="D790" s="105">
        <v>974712</v>
      </c>
      <c r="E790" s="105">
        <v>404</v>
      </c>
      <c r="F790" s="101">
        <v>38622.480000000003</v>
      </c>
      <c r="G790" s="5" t="s">
        <v>129</v>
      </c>
      <c r="H790" s="105">
        <v>4098</v>
      </c>
      <c r="I790" s="105">
        <v>30717862453</v>
      </c>
      <c r="J790" s="5" t="s">
        <v>130</v>
      </c>
      <c r="K790" s="101">
        <f>+K789+Tabla6[[#This Row],[IMPORTE]]</f>
        <v>24160667.199999638</v>
      </c>
      <c r="L790" s="5" t="s">
        <v>245</v>
      </c>
      <c r="M790" s="133" t="s">
        <v>100</v>
      </c>
    </row>
    <row r="791" spans="2:13" x14ac:dyDescent="0.35">
      <c r="B791" s="4" t="s">
        <v>117</v>
      </c>
      <c r="C791" s="104" t="s">
        <v>152</v>
      </c>
      <c r="D791" s="105">
        <v>990082</v>
      </c>
      <c r="E791" s="105">
        <v>404</v>
      </c>
      <c r="F791" s="101">
        <v>38622.480000000003</v>
      </c>
      <c r="G791" s="5" t="s">
        <v>129</v>
      </c>
      <c r="H791" s="105">
        <v>4098</v>
      </c>
      <c r="I791" s="105">
        <v>30717862453</v>
      </c>
      <c r="J791" s="5" t="s">
        <v>130</v>
      </c>
      <c r="K791" s="101">
        <f>+K790+Tabla6[[#This Row],[IMPORTE]]</f>
        <v>24199289.679999638</v>
      </c>
      <c r="L791" s="5" t="s">
        <v>245</v>
      </c>
      <c r="M791" s="133" t="s">
        <v>100</v>
      </c>
    </row>
    <row r="792" spans="2:13" x14ac:dyDescent="0.35">
      <c r="B792" s="4" t="s">
        <v>117</v>
      </c>
      <c r="C792" s="104" t="s">
        <v>152</v>
      </c>
      <c r="D792" s="105">
        <v>700287</v>
      </c>
      <c r="E792" s="105">
        <v>404</v>
      </c>
      <c r="F792" s="101">
        <v>45059.56</v>
      </c>
      <c r="G792" s="5" t="s">
        <v>129</v>
      </c>
      <c r="H792" s="105">
        <v>4098</v>
      </c>
      <c r="I792" s="105">
        <v>30717862453</v>
      </c>
      <c r="J792" s="5" t="s">
        <v>130</v>
      </c>
      <c r="K792" s="101">
        <f>+K791+Tabla6[[#This Row],[IMPORTE]]</f>
        <v>24244349.239999637</v>
      </c>
      <c r="L792" s="5" t="s">
        <v>245</v>
      </c>
      <c r="M792" s="133" t="s">
        <v>100</v>
      </c>
    </row>
    <row r="793" spans="2:13" x14ac:dyDescent="0.35">
      <c r="B793" s="4" t="s">
        <v>117</v>
      </c>
      <c r="C793" s="104" t="s">
        <v>152</v>
      </c>
      <c r="D793" s="105">
        <v>498909</v>
      </c>
      <c r="E793" s="105">
        <v>404</v>
      </c>
      <c r="F793" s="101">
        <v>50715.31</v>
      </c>
      <c r="G793" s="5" t="s">
        <v>129</v>
      </c>
      <c r="H793" s="105">
        <v>4098</v>
      </c>
      <c r="I793" s="105">
        <v>30717862453</v>
      </c>
      <c r="J793" s="5" t="s">
        <v>130</v>
      </c>
      <c r="K793" s="101">
        <f>+K792+Tabla6[[#This Row],[IMPORTE]]</f>
        <v>24295064.549999636</v>
      </c>
      <c r="L793" s="5" t="s">
        <v>245</v>
      </c>
      <c r="M793" s="133" t="s">
        <v>100</v>
      </c>
    </row>
    <row r="794" spans="2:13" x14ac:dyDescent="0.35">
      <c r="B794" s="4" t="s">
        <v>117</v>
      </c>
      <c r="C794" s="104" t="s">
        <v>152</v>
      </c>
      <c r="D794" s="105">
        <v>305669</v>
      </c>
      <c r="E794" s="105">
        <v>404</v>
      </c>
      <c r="F794" s="101">
        <v>51496.639999999999</v>
      </c>
      <c r="G794" s="5" t="s">
        <v>129</v>
      </c>
      <c r="H794" s="105">
        <v>4098</v>
      </c>
      <c r="I794" s="105">
        <v>30717862453</v>
      </c>
      <c r="J794" s="5" t="s">
        <v>130</v>
      </c>
      <c r="K794" s="101">
        <f>+K793+Tabla6[[#This Row],[IMPORTE]]</f>
        <v>24346561.189999636</v>
      </c>
      <c r="L794" s="5" t="s">
        <v>245</v>
      </c>
      <c r="M794" s="133" t="s">
        <v>100</v>
      </c>
    </row>
    <row r="795" spans="2:13" x14ac:dyDescent="0.35">
      <c r="B795" s="4" t="s">
        <v>117</v>
      </c>
      <c r="C795" s="104" t="s">
        <v>152</v>
      </c>
      <c r="D795" s="105">
        <v>411279</v>
      </c>
      <c r="E795" s="105">
        <v>404</v>
      </c>
      <c r="F795" s="101">
        <v>51496.639999999999</v>
      </c>
      <c r="G795" s="5" t="s">
        <v>129</v>
      </c>
      <c r="H795" s="105">
        <v>4098</v>
      </c>
      <c r="I795" s="105">
        <v>30717862453</v>
      </c>
      <c r="J795" s="5" t="s">
        <v>130</v>
      </c>
      <c r="K795" s="101">
        <f>+K794+Tabla6[[#This Row],[IMPORTE]]</f>
        <v>24398057.829999637</v>
      </c>
      <c r="L795" s="5" t="s">
        <v>245</v>
      </c>
      <c r="M795" s="133" t="s">
        <v>100</v>
      </c>
    </row>
    <row r="796" spans="2:13" x14ac:dyDescent="0.35">
      <c r="B796" s="4" t="s">
        <v>117</v>
      </c>
      <c r="C796" s="104" t="s">
        <v>152</v>
      </c>
      <c r="D796" s="105">
        <v>766470</v>
      </c>
      <c r="E796" s="105">
        <v>404</v>
      </c>
      <c r="F796" s="101">
        <v>51496.639999999999</v>
      </c>
      <c r="G796" s="5" t="s">
        <v>129</v>
      </c>
      <c r="H796" s="105">
        <v>4098</v>
      </c>
      <c r="I796" s="105">
        <v>30717862453</v>
      </c>
      <c r="J796" s="5" t="s">
        <v>130</v>
      </c>
      <c r="K796" s="101">
        <f>+K795+Tabla6[[#This Row],[IMPORTE]]</f>
        <v>24449554.469999637</v>
      </c>
      <c r="L796" s="5" t="s">
        <v>245</v>
      </c>
      <c r="M796" s="133" t="s">
        <v>100</v>
      </c>
    </row>
    <row r="797" spans="2:13" x14ac:dyDescent="0.35">
      <c r="B797" s="4" t="s">
        <v>117</v>
      </c>
      <c r="C797" s="104" t="s">
        <v>152</v>
      </c>
      <c r="D797" s="105">
        <v>803620</v>
      </c>
      <c r="E797" s="105">
        <v>404</v>
      </c>
      <c r="F797" s="101">
        <v>51496.639999999999</v>
      </c>
      <c r="G797" s="5" t="s">
        <v>129</v>
      </c>
      <c r="H797" s="105">
        <v>4098</v>
      </c>
      <c r="I797" s="105">
        <v>30717862453</v>
      </c>
      <c r="J797" s="5" t="s">
        <v>130</v>
      </c>
      <c r="K797" s="101">
        <f>+K796+Tabla6[[#This Row],[IMPORTE]]</f>
        <v>24501051.109999638</v>
      </c>
      <c r="L797" s="5" t="s">
        <v>245</v>
      </c>
      <c r="M797" s="133" t="s">
        <v>100</v>
      </c>
    </row>
    <row r="798" spans="2:13" x14ac:dyDescent="0.35">
      <c r="B798" s="4" t="s">
        <v>117</v>
      </c>
      <c r="C798" s="104" t="s">
        <v>152</v>
      </c>
      <c r="D798" s="105">
        <v>913776</v>
      </c>
      <c r="E798" s="105">
        <v>404</v>
      </c>
      <c r="F798" s="101">
        <v>51496.639999999999</v>
      </c>
      <c r="G798" s="5" t="s">
        <v>129</v>
      </c>
      <c r="H798" s="105">
        <v>4098</v>
      </c>
      <c r="I798" s="105">
        <v>30717862453</v>
      </c>
      <c r="J798" s="5" t="s">
        <v>130</v>
      </c>
      <c r="K798" s="101">
        <f>+K797+Tabla6[[#This Row],[IMPORTE]]</f>
        <v>24552547.749999639</v>
      </c>
      <c r="L798" s="5" t="s">
        <v>245</v>
      </c>
      <c r="M798" s="133" t="s">
        <v>100</v>
      </c>
    </row>
    <row r="799" spans="2:13" x14ac:dyDescent="0.35">
      <c r="B799" s="4" t="s">
        <v>117</v>
      </c>
      <c r="C799" s="104" t="s">
        <v>152</v>
      </c>
      <c r="D799" s="105">
        <v>572230</v>
      </c>
      <c r="E799" s="105">
        <v>404</v>
      </c>
      <c r="F799" s="101">
        <v>65719.27</v>
      </c>
      <c r="G799" s="5" t="s">
        <v>129</v>
      </c>
      <c r="H799" s="105">
        <v>4098</v>
      </c>
      <c r="I799" s="105">
        <v>30717862453</v>
      </c>
      <c r="J799" s="5" t="s">
        <v>130</v>
      </c>
      <c r="K799" s="101">
        <f>+K798+Tabla6[[#This Row],[IMPORTE]]</f>
        <v>24618267.019999638</v>
      </c>
      <c r="L799" s="5" t="s">
        <v>245</v>
      </c>
      <c r="M799" s="133" t="s">
        <v>100</v>
      </c>
    </row>
    <row r="800" spans="2:13" x14ac:dyDescent="0.35">
      <c r="B800" s="4" t="s">
        <v>104</v>
      </c>
      <c r="C800" s="104" t="s">
        <v>152</v>
      </c>
      <c r="D800" s="105">
        <v>212144</v>
      </c>
      <c r="E800" s="105">
        <v>404</v>
      </c>
      <c r="F800" s="101">
        <v>77056.2</v>
      </c>
      <c r="G800" s="5" t="s">
        <v>106</v>
      </c>
      <c r="H800" s="105">
        <v>183</v>
      </c>
      <c r="I800" s="70" t="s">
        <v>107</v>
      </c>
      <c r="J800" s="5" t="s">
        <v>137</v>
      </c>
      <c r="K800" s="101">
        <f>+K799+Tabla6[[#This Row],[IMPORTE]]</f>
        <v>24695323.219999637</v>
      </c>
      <c r="L800" s="5" t="s">
        <v>244</v>
      </c>
      <c r="M800" s="133" t="s">
        <v>100</v>
      </c>
    </row>
    <row r="801" spans="2:13" x14ac:dyDescent="0.35">
      <c r="B801" s="4" t="s">
        <v>117</v>
      </c>
      <c r="C801" s="104" t="s">
        <v>152</v>
      </c>
      <c r="D801" s="105">
        <v>443074</v>
      </c>
      <c r="E801" s="105">
        <v>404</v>
      </c>
      <c r="F801" s="101">
        <v>77244.960000000006</v>
      </c>
      <c r="G801" s="5" t="s">
        <v>129</v>
      </c>
      <c r="H801" s="105">
        <v>4098</v>
      </c>
      <c r="I801" s="105">
        <v>30717862453</v>
      </c>
      <c r="J801" s="5" t="s">
        <v>130</v>
      </c>
      <c r="K801" s="101">
        <f>+K800+Tabla6[[#This Row],[IMPORTE]]</f>
        <v>24772568.179999638</v>
      </c>
      <c r="L801" s="5" t="s">
        <v>245</v>
      </c>
      <c r="M801" s="133" t="s">
        <v>100</v>
      </c>
    </row>
    <row r="802" spans="2:13" x14ac:dyDescent="0.35">
      <c r="B802" s="4" t="s">
        <v>117</v>
      </c>
      <c r="C802" s="104" t="s">
        <v>152</v>
      </c>
      <c r="D802" s="105">
        <v>481538</v>
      </c>
      <c r="E802" s="105">
        <v>404</v>
      </c>
      <c r="F802" s="101">
        <v>77244.960000000006</v>
      </c>
      <c r="G802" s="5" t="s">
        <v>129</v>
      </c>
      <c r="H802" s="105">
        <v>4098</v>
      </c>
      <c r="I802" s="105">
        <v>30717862453</v>
      </c>
      <c r="J802" s="5" t="s">
        <v>130</v>
      </c>
      <c r="K802" s="101">
        <f>+K801+Tabla6[[#This Row],[IMPORTE]]</f>
        <v>24849813.139999639</v>
      </c>
      <c r="L802" s="5" t="s">
        <v>245</v>
      </c>
      <c r="M802" s="133" t="s">
        <v>100</v>
      </c>
    </row>
    <row r="803" spans="2:13" x14ac:dyDescent="0.35">
      <c r="B803" s="4" t="s">
        <v>117</v>
      </c>
      <c r="C803" s="104" t="s">
        <v>152</v>
      </c>
      <c r="D803" s="105">
        <v>843117</v>
      </c>
      <c r="E803" s="105">
        <v>404</v>
      </c>
      <c r="F803" s="101">
        <v>77244.960000000006</v>
      </c>
      <c r="G803" s="5" t="s">
        <v>129</v>
      </c>
      <c r="H803" s="105">
        <v>4098</v>
      </c>
      <c r="I803" s="105">
        <v>30717862453</v>
      </c>
      <c r="J803" s="5" t="s">
        <v>130</v>
      </c>
      <c r="K803" s="101">
        <f>+K802+Tabla6[[#This Row],[IMPORTE]]</f>
        <v>24927058.09999964</v>
      </c>
      <c r="L803" s="5" t="s">
        <v>245</v>
      </c>
      <c r="M803" s="133" t="s">
        <v>100</v>
      </c>
    </row>
    <row r="804" spans="2:13" x14ac:dyDescent="0.35">
      <c r="B804" s="4" t="s">
        <v>117</v>
      </c>
      <c r="C804" s="104" t="s">
        <v>152</v>
      </c>
      <c r="D804" s="105">
        <v>786104</v>
      </c>
      <c r="E804" s="105">
        <v>404</v>
      </c>
      <c r="F804" s="101">
        <v>83682.039999999994</v>
      </c>
      <c r="G804" s="5" t="s">
        <v>129</v>
      </c>
      <c r="H804" s="105">
        <v>4098</v>
      </c>
      <c r="I804" s="105">
        <v>30717862453</v>
      </c>
      <c r="J804" s="5" t="s">
        <v>130</v>
      </c>
      <c r="K804" s="101">
        <f>+K803+Tabla6[[#This Row],[IMPORTE]]</f>
        <v>25010740.139999639</v>
      </c>
      <c r="L804" s="5" t="s">
        <v>245</v>
      </c>
      <c r="M804" s="133" t="s">
        <v>100</v>
      </c>
    </row>
    <row r="805" spans="2:13" x14ac:dyDescent="0.35">
      <c r="B805" s="4" t="s">
        <v>117</v>
      </c>
      <c r="C805" s="104" t="s">
        <v>152</v>
      </c>
      <c r="D805" s="105">
        <v>929823</v>
      </c>
      <c r="E805" s="105">
        <v>404</v>
      </c>
      <c r="F805" s="101">
        <v>83682.039999999994</v>
      </c>
      <c r="G805" s="5" t="s">
        <v>129</v>
      </c>
      <c r="H805" s="105">
        <v>4098</v>
      </c>
      <c r="I805" s="105">
        <v>30717862453</v>
      </c>
      <c r="J805" s="5" t="s">
        <v>130</v>
      </c>
      <c r="K805" s="101">
        <f>+K804+Tabla6[[#This Row],[IMPORTE]]</f>
        <v>25094422.179999638</v>
      </c>
      <c r="L805" s="5" t="s">
        <v>245</v>
      </c>
      <c r="M805" s="133" t="s">
        <v>100</v>
      </c>
    </row>
    <row r="806" spans="2:13" x14ac:dyDescent="0.35">
      <c r="B806" s="4" t="s">
        <v>117</v>
      </c>
      <c r="C806" s="104" t="s">
        <v>152</v>
      </c>
      <c r="D806" s="105">
        <v>447158</v>
      </c>
      <c r="E806" s="105">
        <v>404</v>
      </c>
      <c r="F806" s="101">
        <v>87544.29</v>
      </c>
      <c r="G806" s="5" t="s">
        <v>129</v>
      </c>
      <c r="H806" s="105">
        <v>4098</v>
      </c>
      <c r="I806" s="105">
        <v>30717862453</v>
      </c>
      <c r="J806" s="5" t="s">
        <v>130</v>
      </c>
      <c r="K806" s="101">
        <f>+K805+Tabla6[[#This Row],[IMPORTE]]</f>
        <v>25181966.469999637</v>
      </c>
      <c r="L806" s="5" t="s">
        <v>245</v>
      </c>
      <c r="M806" s="133" t="s">
        <v>100</v>
      </c>
    </row>
    <row r="807" spans="2:13" x14ac:dyDescent="0.35">
      <c r="B807" s="4" t="s">
        <v>117</v>
      </c>
      <c r="C807" s="104" t="s">
        <v>152</v>
      </c>
      <c r="D807" s="105">
        <v>739678</v>
      </c>
      <c r="E807" s="105">
        <v>404</v>
      </c>
      <c r="F807" s="101">
        <v>87544.29</v>
      </c>
      <c r="G807" s="5" t="s">
        <v>129</v>
      </c>
      <c r="H807" s="105">
        <v>4098</v>
      </c>
      <c r="I807" s="105">
        <v>30717862453</v>
      </c>
      <c r="J807" s="5" t="s">
        <v>130</v>
      </c>
      <c r="K807" s="101">
        <f>+K806+Tabla6[[#This Row],[IMPORTE]]</f>
        <v>25269510.759999637</v>
      </c>
      <c r="L807" s="5" t="s">
        <v>245</v>
      </c>
      <c r="M807" s="133" t="s">
        <v>100</v>
      </c>
    </row>
    <row r="808" spans="2:13" x14ac:dyDescent="0.35">
      <c r="B808" s="4" t="s">
        <v>117</v>
      </c>
      <c r="C808" s="104" t="s">
        <v>152</v>
      </c>
      <c r="D808" s="105">
        <v>802749</v>
      </c>
      <c r="E808" s="105">
        <v>404</v>
      </c>
      <c r="F808" s="101">
        <v>96556.2</v>
      </c>
      <c r="G808" s="5" t="s">
        <v>129</v>
      </c>
      <c r="H808" s="105">
        <v>4098</v>
      </c>
      <c r="I808" s="105">
        <v>30717862453</v>
      </c>
      <c r="J808" s="5" t="s">
        <v>130</v>
      </c>
      <c r="K808" s="101">
        <f>+K807+Tabla6[[#This Row],[IMPORTE]]</f>
        <v>25366066.959999636</v>
      </c>
      <c r="L808" s="5" t="s">
        <v>245</v>
      </c>
      <c r="M808" s="133" t="s">
        <v>100</v>
      </c>
    </row>
    <row r="809" spans="2:13" x14ac:dyDescent="0.35">
      <c r="B809" s="4" t="s">
        <v>117</v>
      </c>
      <c r="C809" s="104" t="s">
        <v>152</v>
      </c>
      <c r="D809" s="105">
        <v>185018</v>
      </c>
      <c r="E809" s="105">
        <v>404</v>
      </c>
      <c r="F809" s="101">
        <v>102993.28</v>
      </c>
      <c r="G809" s="5" t="s">
        <v>129</v>
      </c>
      <c r="H809" s="105">
        <v>4098</v>
      </c>
      <c r="I809" s="105">
        <v>30717862453</v>
      </c>
      <c r="J809" s="5" t="s">
        <v>130</v>
      </c>
      <c r="K809" s="101">
        <f>+K808+Tabla6[[#This Row],[IMPORTE]]</f>
        <v>25469060.239999637</v>
      </c>
      <c r="L809" s="5" t="s">
        <v>245</v>
      </c>
      <c r="M809" s="133" t="s">
        <v>100</v>
      </c>
    </row>
    <row r="810" spans="2:13" x14ac:dyDescent="0.35">
      <c r="B810" s="4" t="s">
        <v>117</v>
      </c>
      <c r="C810" s="104" t="s">
        <v>152</v>
      </c>
      <c r="D810" s="105">
        <v>859142</v>
      </c>
      <c r="E810" s="105">
        <v>404</v>
      </c>
      <c r="F810" s="101">
        <v>114753.41</v>
      </c>
      <c r="G810" s="5" t="s">
        <v>129</v>
      </c>
      <c r="H810" s="105">
        <v>4098</v>
      </c>
      <c r="I810" s="105">
        <v>30717862453</v>
      </c>
      <c r="J810" s="5" t="s">
        <v>130</v>
      </c>
      <c r="K810" s="101">
        <f>+K809+Tabla6[[#This Row],[IMPORTE]]</f>
        <v>25583813.649999637</v>
      </c>
      <c r="L810" s="5" t="s">
        <v>245</v>
      </c>
      <c r="M810" s="133" t="s">
        <v>100</v>
      </c>
    </row>
    <row r="811" spans="2:13" x14ac:dyDescent="0.35">
      <c r="B811" s="4" t="s">
        <v>104</v>
      </c>
      <c r="C811" s="104" t="s">
        <v>152</v>
      </c>
      <c r="D811" s="105">
        <v>212142</v>
      </c>
      <c r="E811" s="105">
        <v>404</v>
      </c>
      <c r="F811" s="101">
        <v>115584.3</v>
      </c>
      <c r="G811" s="5" t="s">
        <v>106</v>
      </c>
      <c r="H811" s="105">
        <v>183</v>
      </c>
      <c r="I811" s="70" t="s">
        <v>107</v>
      </c>
      <c r="J811" s="5" t="s">
        <v>115</v>
      </c>
      <c r="K811" s="101">
        <f>+K810+Tabla6[[#This Row],[IMPORTE]]</f>
        <v>25699397.949999638</v>
      </c>
      <c r="L811" s="5" t="s">
        <v>244</v>
      </c>
      <c r="M811" s="133" t="s">
        <v>100</v>
      </c>
    </row>
    <row r="812" spans="2:13" x14ac:dyDescent="0.35">
      <c r="B812" s="4" t="s">
        <v>104</v>
      </c>
      <c r="C812" s="104" t="s">
        <v>152</v>
      </c>
      <c r="D812" s="105">
        <v>212143</v>
      </c>
      <c r="E812" s="105">
        <v>404</v>
      </c>
      <c r="F812" s="101">
        <v>136409.68</v>
      </c>
      <c r="G812" s="5" t="s">
        <v>106</v>
      </c>
      <c r="H812" s="105">
        <v>183</v>
      </c>
      <c r="I812" s="70" t="s">
        <v>107</v>
      </c>
      <c r="J812" s="5" t="s">
        <v>136</v>
      </c>
      <c r="K812" s="101">
        <f>+K811+Tabla6[[#This Row],[IMPORTE]]</f>
        <v>25835807.629999638</v>
      </c>
      <c r="L812" s="5" t="s">
        <v>246</v>
      </c>
      <c r="M812" s="133" t="s">
        <v>100</v>
      </c>
    </row>
    <row r="813" spans="2:13" x14ac:dyDescent="0.35">
      <c r="B813" s="4" t="s">
        <v>117</v>
      </c>
      <c r="C813" s="104" t="s">
        <v>152</v>
      </c>
      <c r="D813" s="105">
        <v>658745</v>
      </c>
      <c r="E813" s="105">
        <v>404</v>
      </c>
      <c r="F813" s="101">
        <v>141444.26</v>
      </c>
      <c r="G813" s="5" t="s">
        <v>129</v>
      </c>
      <c r="H813" s="105">
        <v>4098</v>
      </c>
      <c r="I813" s="105">
        <v>30717862453</v>
      </c>
      <c r="J813" s="5" t="s">
        <v>130</v>
      </c>
      <c r="K813" s="101">
        <f>+K812+Tabla6[[#This Row],[IMPORTE]]</f>
        <v>25977251.889999639</v>
      </c>
      <c r="L813" s="5" t="s">
        <v>245</v>
      </c>
      <c r="M813" s="133" t="s">
        <v>100</v>
      </c>
    </row>
    <row r="814" spans="2:13" x14ac:dyDescent="0.35">
      <c r="B814" s="4" t="s">
        <v>117</v>
      </c>
      <c r="C814" s="104" t="s">
        <v>152</v>
      </c>
      <c r="D814" s="105">
        <v>820270</v>
      </c>
      <c r="E814" s="105">
        <v>404</v>
      </c>
      <c r="F814" s="101">
        <v>142992.01</v>
      </c>
      <c r="G814" s="5" t="s">
        <v>129</v>
      </c>
      <c r="H814" s="105">
        <v>4098</v>
      </c>
      <c r="I814" s="105">
        <v>30717862453</v>
      </c>
      <c r="J814" s="5" t="s">
        <v>130</v>
      </c>
      <c r="K814" s="101">
        <f>+K813+Tabla6[[#This Row],[IMPORTE]]</f>
        <v>26120243.899999641</v>
      </c>
      <c r="L814" s="5" t="s">
        <v>245</v>
      </c>
      <c r="M814" s="133" t="s">
        <v>100</v>
      </c>
    </row>
    <row r="815" spans="2:13" x14ac:dyDescent="0.35">
      <c r="B815" s="4" t="s">
        <v>104</v>
      </c>
      <c r="C815" s="104" t="s">
        <v>152</v>
      </c>
      <c r="D815" s="105">
        <v>212145</v>
      </c>
      <c r="E815" s="105">
        <v>404</v>
      </c>
      <c r="F815" s="101">
        <v>179357.36</v>
      </c>
      <c r="G815" s="5" t="s">
        <v>106</v>
      </c>
      <c r="H815" s="105">
        <v>183</v>
      </c>
      <c r="I815" s="70" t="s">
        <v>107</v>
      </c>
      <c r="J815" s="5" t="s">
        <v>109</v>
      </c>
      <c r="K815" s="101">
        <f>+K814+Tabla6[[#This Row],[IMPORTE]]</f>
        <v>26299601.25999964</v>
      </c>
      <c r="L815" s="5" t="s">
        <v>244</v>
      </c>
      <c r="M815" s="133" t="s">
        <v>100</v>
      </c>
    </row>
    <row r="816" spans="2:13" x14ac:dyDescent="0.35">
      <c r="B816" s="4" t="s">
        <v>117</v>
      </c>
      <c r="C816" s="104" t="s">
        <v>152</v>
      </c>
      <c r="D816" s="105">
        <v>948891</v>
      </c>
      <c r="E816" s="105">
        <v>404</v>
      </c>
      <c r="F816" s="101">
        <v>192025.27</v>
      </c>
      <c r="G816" s="5" t="s">
        <v>129</v>
      </c>
      <c r="H816" s="105">
        <v>4098</v>
      </c>
      <c r="I816" s="105">
        <v>30717862453</v>
      </c>
      <c r="J816" s="5" t="s">
        <v>130</v>
      </c>
      <c r="K816" s="101">
        <f>+K815+Tabla6[[#This Row],[IMPORTE]]</f>
        <v>26491626.52999964</v>
      </c>
      <c r="L816" s="5" t="s">
        <v>245</v>
      </c>
      <c r="M816" s="133" t="s">
        <v>100</v>
      </c>
    </row>
    <row r="817" spans="2:13" x14ac:dyDescent="0.35">
      <c r="B817" s="4" t="s">
        <v>117</v>
      </c>
      <c r="C817" s="104" t="s">
        <v>152</v>
      </c>
      <c r="D817" s="105">
        <v>478221</v>
      </c>
      <c r="E817" s="105">
        <v>404</v>
      </c>
      <c r="F817" s="101">
        <v>215049.96</v>
      </c>
      <c r="G817" s="5" t="s">
        <v>129</v>
      </c>
      <c r="H817" s="105">
        <v>4098</v>
      </c>
      <c r="I817" s="105">
        <v>30717862453</v>
      </c>
      <c r="J817" s="5" t="s">
        <v>130</v>
      </c>
      <c r="K817" s="101">
        <f>+K816+Tabla6[[#This Row],[IMPORTE]]</f>
        <v>26706676.489999641</v>
      </c>
      <c r="L817" s="5" t="s">
        <v>245</v>
      </c>
      <c r="M817" s="133" t="s">
        <v>100</v>
      </c>
    </row>
    <row r="818" spans="2:13" x14ac:dyDescent="0.35">
      <c r="B818" s="4" t="s">
        <v>117</v>
      </c>
      <c r="C818" s="104" t="s">
        <v>152</v>
      </c>
      <c r="D818" s="105">
        <v>794412</v>
      </c>
      <c r="E818" s="105">
        <v>404</v>
      </c>
      <c r="F818" s="101">
        <v>215049.96</v>
      </c>
      <c r="G818" s="5" t="s">
        <v>129</v>
      </c>
      <c r="H818" s="105">
        <v>4098</v>
      </c>
      <c r="I818" s="105">
        <v>30717862453</v>
      </c>
      <c r="J818" s="5" t="s">
        <v>130</v>
      </c>
      <c r="K818" s="101">
        <f>+K817+Tabla6[[#This Row],[IMPORTE]]</f>
        <v>26921726.449999642</v>
      </c>
      <c r="L818" s="5" t="s">
        <v>245</v>
      </c>
      <c r="M818" s="133" t="s">
        <v>100</v>
      </c>
    </row>
    <row r="819" spans="2:13" x14ac:dyDescent="0.35">
      <c r="B819" s="4" t="s">
        <v>104</v>
      </c>
      <c r="C819" s="104" t="s">
        <v>152</v>
      </c>
      <c r="D819" s="105">
        <v>212146</v>
      </c>
      <c r="E819" s="105">
        <v>404</v>
      </c>
      <c r="F819" s="101">
        <v>316488.88</v>
      </c>
      <c r="G819" s="5" t="s">
        <v>106</v>
      </c>
      <c r="H819" s="105">
        <v>183</v>
      </c>
      <c r="I819" s="70" t="s">
        <v>107</v>
      </c>
      <c r="J819" s="5" t="s">
        <v>113</v>
      </c>
      <c r="K819" s="101">
        <f>+K818+Tabla6[[#This Row],[IMPORTE]]</f>
        <v>27238215.329999641</v>
      </c>
      <c r="L819" s="5" t="s">
        <v>244</v>
      </c>
      <c r="M819" s="133" t="s">
        <v>100</v>
      </c>
    </row>
    <row r="820" spans="2:13" x14ac:dyDescent="0.35">
      <c r="B820" s="4" t="s">
        <v>117</v>
      </c>
      <c r="C820" s="104" t="s">
        <v>152</v>
      </c>
      <c r="D820" s="105">
        <v>112096</v>
      </c>
      <c r="E820" s="105">
        <v>404</v>
      </c>
      <c r="F820" s="101">
        <v>322574.96000000002</v>
      </c>
      <c r="G820" s="5" t="s">
        <v>129</v>
      </c>
      <c r="H820" s="105">
        <v>4098</v>
      </c>
      <c r="I820" s="105">
        <v>30717862453</v>
      </c>
      <c r="J820" s="5" t="s">
        <v>130</v>
      </c>
      <c r="K820" s="101">
        <f>+K819+Tabla6[[#This Row],[IMPORTE]]</f>
        <v>27560790.289999641</v>
      </c>
      <c r="L820" s="5" t="s">
        <v>245</v>
      </c>
      <c r="M820" s="133" t="s">
        <v>100</v>
      </c>
    </row>
    <row r="821" spans="2:13" x14ac:dyDescent="0.35">
      <c r="B821" s="4" t="s">
        <v>117</v>
      </c>
      <c r="C821" s="104" t="s">
        <v>152</v>
      </c>
      <c r="D821" s="105">
        <v>570471</v>
      </c>
      <c r="E821" s="105">
        <v>404</v>
      </c>
      <c r="F821" s="101">
        <v>322574.96000000002</v>
      </c>
      <c r="G821" s="5" t="s">
        <v>129</v>
      </c>
      <c r="H821" s="105">
        <v>4098</v>
      </c>
      <c r="I821" s="105">
        <v>30717862453</v>
      </c>
      <c r="J821" s="5" t="s">
        <v>130</v>
      </c>
      <c r="K821" s="101">
        <f>+K820+Tabla6[[#This Row],[IMPORTE]]</f>
        <v>27883365.249999642</v>
      </c>
      <c r="L821" s="5" t="s">
        <v>245</v>
      </c>
      <c r="M821" s="133" t="s">
        <v>100</v>
      </c>
    </row>
    <row r="822" spans="2:13" x14ac:dyDescent="0.35">
      <c r="B822" s="4" t="s">
        <v>104</v>
      </c>
      <c r="C822" s="104" t="s">
        <v>152</v>
      </c>
      <c r="D822" s="105">
        <v>212141</v>
      </c>
      <c r="E822" s="105">
        <v>404</v>
      </c>
      <c r="F822" s="101">
        <v>342951.47</v>
      </c>
      <c r="G822" s="5" t="s">
        <v>106</v>
      </c>
      <c r="H822" s="105">
        <v>183</v>
      </c>
      <c r="I822" s="70" t="s">
        <v>107</v>
      </c>
      <c r="J822" s="5" t="s">
        <v>110</v>
      </c>
      <c r="K822" s="101">
        <f>+K821+Tabla6[[#This Row],[IMPORTE]]</f>
        <v>28226316.719999641</v>
      </c>
      <c r="L822" s="5" t="s">
        <v>244</v>
      </c>
      <c r="M822" s="133" t="s">
        <v>100</v>
      </c>
    </row>
    <row r="823" spans="2:13" x14ac:dyDescent="0.35">
      <c r="B823" s="4" t="s">
        <v>104</v>
      </c>
      <c r="C823" s="104" t="s">
        <v>152</v>
      </c>
      <c r="D823" s="105">
        <v>212139</v>
      </c>
      <c r="E823" s="105">
        <v>404</v>
      </c>
      <c r="F823" s="101">
        <v>585524.92000000004</v>
      </c>
      <c r="G823" s="5" t="s">
        <v>106</v>
      </c>
      <c r="H823" s="105">
        <v>183</v>
      </c>
      <c r="I823" s="70" t="s">
        <v>107</v>
      </c>
      <c r="J823" s="5" t="s">
        <v>116</v>
      </c>
      <c r="K823" s="101">
        <f>+K822+Tabla6[[#This Row],[IMPORTE]]</f>
        <v>28811841.639999643</v>
      </c>
      <c r="L823" s="5" t="s">
        <v>244</v>
      </c>
      <c r="M823" s="133" t="s">
        <v>100</v>
      </c>
    </row>
    <row r="824" spans="2:13" x14ac:dyDescent="0.35">
      <c r="B824" s="4" t="s">
        <v>117</v>
      </c>
      <c r="C824" s="104" t="s">
        <v>152</v>
      </c>
      <c r="D824" s="105">
        <v>116</v>
      </c>
      <c r="E824" s="105">
        <v>811</v>
      </c>
      <c r="F824" s="101">
        <v>709080.96</v>
      </c>
      <c r="G824" s="5" t="s">
        <v>118</v>
      </c>
      <c r="H824" s="105">
        <v>4151</v>
      </c>
      <c r="I824" s="70" t="s">
        <v>107</v>
      </c>
      <c r="J824" s="5" t="s">
        <v>119</v>
      </c>
      <c r="K824" s="101">
        <f>+K823+Tabla6[[#This Row],[IMPORTE]]</f>
        <v>29520922.599999644</v>
      </c>
      <c r="L824" s="5" t="s">
        <v>247</v>
      </c>
      <c r="M824" s="133" t="s">
        <v>100</v>
      </c>
    </row>
    <row r="825" spans="2:13" x14ac:dyDescent="0.35">
      <c r="B825" s="4" t="s">
        <v>132</v>
      </c>
      <c r="C825" s="104" t="s">
        <v>152</v>
      </c>
      <c r="D825" s="105">
        <v>584028</v>
      </c>
      <c r="E825" s="105">
        <v>404</v>
      </c>
      <c r="F825" s="101">
        <v>-87544.29</v>
      </c>
      <c r="G825" s="5" t="s">
        <v>133</v>
      </c>
      <c r="H825" s="105">
        <v>4100</v>
      </c>
      <c r="I825" s="105">
        <v>30692264785</v>
      </c>
      <c r="J825" s="5" t="s">
        <v>127</v>
      </c>
      <c r="K825" s="101">
        <f>+K824+Tabla6[[#This Row],[IMPORTE]]</f>
        <v>29433378.309999645</v>
      </c>
      <c r="L825" s="5" t="s">
        <v>245</v>
      </c>
      <c r="M825" s="133" t="s">
        <v>100</v>
      </c>
    </row>
    <row r="826" spans="2:13" x14ac:dyDescent="0.35">
      <c r="B826" s="4" t="s">
        <v>117</v>
      </c>
      <c r="C826" s="104" t="s">
        <v>153</v>
      </c>
      <c r="D826" s="105">
        <v>476165</v>
      </c>
      <c r="E826" s="105">
        <v>404</v>
      </c>
      <c r="F826" s="101">
        <v>11174.59</v>
      </c>
      <c r="G826" s="5" t="s">
        <v>129</v>
      </c>
      <c r="H826" s="105">
        <v>4098</v>
      </c>
      <c r="I826" s="105">
        <v>30717862453</v>
      </c>
      <c r="J826" s="5" t="s">
        <v>130</v>
      </c>
      <c r="K826" s="101">
        <f>+K825+Tabla6[[#This Row],[IMPORTE]]</f>
        <v>29444552.899999645</v>
      </c>
      <c r="L826" s="5" t="s">
        <v>248</v>
      </c>
      <c r="M826" s="133" t="s">
        <v>100</v>
      </c>
    </row>
    <row r="827" spans="2:13" x14ac:dyDescent="0.35">
      <c r="B827" s="4" t="s">
        <v>117</v>
      </c>
      <c r="C827" s="104" t="s">
        <v>153</v>
      </c>
      <c r="D827" s="105">
        <v>279635</v>
      </c>
      <c r="E827" s="105">
        <v>404</v>
      </c>
      <c r="F827" s="101">
        <v>14704.44</v>
      </c>
      <c r="G827" s="5" t="s">
        <v>129</v>
      </c>
      <c r="H827" s="105">
        <v>4098</v>
      </c>
      <c r="I827" s="105">
        <v>30717862453</v>
      </c>
      <c r="J827" s="5" t="s">
        <v>130</v>
      </c>
      <c r="K827" s="101">
        <f>+K826+Tabla6[[#This Row],[IMPORTE]]</f>
        <v>29459257.339999646</v>
      </c>
      <c r="L827" s="5" t="s">
        <v>248</v>
      </c>
      <c r="M827" s="133" t="s">
        <v>100</v>
      </c>
    </row>
    <row r="828" spans="2:13" x14ac:dyDescent="0.35">
      <c r="B828" s="4" t="s">
        <v>117</v>
      </c>
      <c r="C828" s="104" t="s">
        <v>153</v>
      </c>
      <c r="D828" s="105">
        <v>554628</v>
      </c>
      <c r="E828" s="105">
        <v>404</v>
      </c>
      <c r="F828" s="101">
        <v>15448.99</v>
      </c>
      <c r="G828" s="5" t="s">
        <v>129</v>
      </c>
      <c r="H828" s="105">
        <v>4098</v>
      </c>
      <c r="I828" s="105">
        <v>30717862453</v>
      </c>
      <c r="J828" s="5" t="s">
        <v>130</v>
      </c>
      <c r="K828" s="101">
        <f>+K827+Tabla6[[#This Row],[IMPORTE]]</f>
        <v>29474706.329999644</v>
      </c>
      <c r="L828" s="5" t="s">
        <v>248</v>
      </c>
      <c r="M828" s="133" t="s">
        <v>100</v>
      </c>
    </row>
    <row r="829" spans="2:13" x14ac:dyDescent="0.35">
      <c r="B829" s="4" t="s">
        <v>117</v>
      </c>
      <c r="C829" s="104" t="s">
        <v>153</v>
      </c>
      <c r="D829" s="105">
        <v>785834</v>
      </c>
      <c r="E829" s="105">
        <v>404</v>
      </c>
      <c r="F829" s="101">
        <v>15448.99</v>
      </c>
      <c r="G829" s="5" t="s">
        <v>129</v>
      </c>
      <c r="H829" s="105">
        <v>4098</v>
      </c>
      <c r="I829" s="105">
        <v>30717862453</v>
      </c>
      <c r="J829" s="5" t="s">
        <v>130</v>
      </c>
      <c r="K829" s="101">
        <f>+K828+Tabla6[[#This Row],[IMPORTE]]</f>
        <v>29490155.319999643</v>
      </c>
      <c r="L829" s="5" t="s">
        <v>248</v>
      </c>
      <c r="M829" s="133" t="s">
        <v>100</v>
      </c>
    </row>
    <row r="830" spans="2:13" x14ac:dyDescent="0.35">
      <c r="B830" s="4" t="s">
        <v>117</v>
      </c>
      <c r="C830" s="104" t="s">
        <v>153</v>
      </c>
      <c r="D830" s="105">
        <v>856226</v>
      </c>
      <c r="E830" s="105">
        <v>404</v>
      </c>
      <c r="F830" s="101">
        <v>23342.23</v>
      </c>
      <c r="G830" s="5" t="s">
        <v>129</v>
      </c>
      <c r="H830" s="105">
        <v>4098</v>
      </c>
      <c r="I830" s="105">
        <v>30717862453</v>
      </c>
      <c r="J830" s="5" t="s">
        <v>130</v>
      </c>
      <c r="K830" s="101">
        <f>+K829+Tabla6[[#This Row],[IMPORTE]]</f>
        <v>29513497.549999643</v>
      </c>
      <c r="L830" s="5" t="s">
        <v>248</v>
      </c>
      <c r="M830" s="133" t="s">
        <v>100</v>
      </c>
    </row>
    <row r="831" spans="2:13" x14ac:dyDescent="0.35">
      <c r="B831" s="4" t="s">
        <v>117</v>
      </c>
      <c r="C831" s="104" t="s">
        <v>153</v>
      </c>
      <c r="D831" s="105">
        <v>162365</v>
      </c>
      <c r="E831" s="105">
        <v>404</v>
      </c>
      <c r="F831" s="101">
        <v>23439.56</v>
      </c>
      <c r="G831" s="5" t="s">
        <v>129</v>
      </c>
      <c r="H831" s="105">
        <v>4098</v>
      </c>
      <c r="I831" s="105">
        <v>30717862453</v>
      </c>
      <c r="J831" s="5" t="s">
        <v>130</v>
      </c>
      <c r="K831" s="101">
        <f>+K830+Tabla6[[#This Row],[IMPORTE]]</f>
        <v>29536937.109999642</v>
      </c>
      <c r="L831" s="5" t="s">
        <v>248</v>
      </c>
      <c r="M831" s="133" t="s">
        <v>100</v>
      </c>
    </row>
    <row r="832" spans="2:13" x14ac:dyDescent="0.35">
      <c r="B832" s="4" t="s">
        <v>117</v>
      </c>
      <c r="C832" s="104" t="s">
        <v>153</v>
      </c>
      <c r="D832" s="105">
        <v>404318</v>
      </c>
      <c r="E832" s="105">
        <v>404</v>
      </c>
      <c r="F832" s="101">
        <v>23552.62</v>
      </c>
      <c r="G832" s="5" t="s">
        <v>129</v>
      </c>
      <c r="H832" s="105">
        <v>4098</v>
      </c>
      <c r="I832" s="105">
        <v>30717862453</v>
      </c>
      <c r="J832" s="5" t="s">
        <v>130</v>
      </c>
      <c r="K832" s="101">
        <f>+K831+Tabla6[[#This Row],[IMPORTE]]</f>
        <v>29560489.729999643</v>
      </c>
      <c r="L832" s="5" t="s">
        <v>248</v>
      </c>
      <c r="M832" s="133" t="s">
        <v>100</v>
      </c>
    </row>
    <row r="833" spans="2:13" x14ac:dyDescent="0.35">
      <c r="B833" s="4" t="s">
        <v>117</v>
      </c>
      <c r="C833" s="104" t="s">
        <v>153</v>
      </c>
      <c r="D833" s="105">
        <v>176878</v>
      </c>
      <c r="E833" s="105">
        <v>404</v>
      </c>
      <c r="F833" s="101">
        <v>24545.1</v>
      </c>
      <c r="G833" s="5" t="s">
        <v>129</v>
      </c>
      <c r="H833" s="105">
        <v>4098</v>
      </c>
      <c r="I833" s="105">
        <v>30717862453</v>
      </c>
      <c r="J833" s="5" t="s">
        <v>130</v>
      </c>
      <c r="K833" s="101">
        <f>+K832+Tabla6[[#This Row],[IMPORTE]]</f>
        <v>29585034.829999644</v>
      </c>
      <c r="L833" s="5" t="s">
        <v>248</v>
      </c>
      <c r="M833" s="133" t="s">
        <v>100</v>
      </c>
    </row>
    <row r="834" spans="2:13" x14ac:dyDescent="0.35">
      <c r="B834" s="4" t="s">
        <v>117</v>
      </c>
      <c r="C834" s="104" t="s">
        <v>153</v>
      </c>
      <c r="D834" s="105">
        <v>206151</v>
      </c>
      <c r="E834" s="105">
        <v>404</v>
      </c>
      <c r="F834" s="101">
        <v>25748.32</v>
      </c>
      <c r="G834" s="5" t="s">
        <v>129</v>
      </c>
      <c r="H834" s="105">
        <v>4098</v>
      </c>
      <c r="I834" s="105">
        <v>30717862453</v>
      </c>
      <c r="J834" s="5" t="s">
        <v>130</v>
      </c>
      <c r="K834" s="101">
        <f>+K833+Tabla6[[#This Row],[IMPORTE]]</f>
        <v>29610783.149999645</v>
      </c>
      <c r="L834" s="5" t="s">
        <v>248</v>
      </c>
      <c r="M834" s="133" t="s">
        <v>100</v>
      </c>
    </row>
    <row r="835" spans="2:13" x14ac:dyDescent="0.35">
      <c r="B835" s="4" t="s">
        <v>117</v>
      </c>
      <c r="C835" s="104" t="s">
        <v>153</v>
      </c>
      <c r="D835" s="105">
        <v>829428</v>
      </c>
      <c r="E835" s="105">
        <v>404</v>
      </c>
      <c r="F835" s="101">
        <v>25748.32</v>
      </c>
      <c r="G835" s="5" t="s">
        <v>129</v>
      </c>
      <c r="H835" s="105">
        <v>4098</v>
      </c>
      <c r="I835" s="105">
        <v>30717862453</v>
      </c>
      <c r="J835" s="5" t="s">
        <v>130</v>
      </c>
      <c r="K835" s="101">
        <f>+K834+Tabla6[[#This Row],[IMPORTE]]</f>
        <v>29636531.469999645</v>
      </c>
      <c r="L835" s="5" t="s">
        <v>248</v>
      </c>
      <c r="M835" s="133" t="s">
        <v>100</v>
      </c>
    </row>
    <row r="836" spans="2:13" x14ac:dyDescent="0.35">
      <c r="B836" s="4" t="s">
        <v>117</v>
      </c>
      <c r="C836" s="104" t="s">
        <v>153</v>
      </c>
      <c r="D836" s="105">
        <v>884717</v>
      </c>
      <c r="E836" s="105">
        <v>404</v>
      </c>
      <c r="F836" s="101">
        <v>29161.86</v>
      </c>
      <c r="G836" s="5" t="s">
        <v>129</v>
      </c>
      <c r="H836" s="105">
        <v>4098</v>
      </c>
      <c r="I836" s="105">
        <v>30717862453</v>
      </c>
      <c r="J836" s="5" t="s">
        <v>130</v>
      </c>
      <c r="K836" s="101">
        <f>+K835+Tabla6[[#This Row],[IMPORTE]]</f>
        <v>29665693.329999644</v>
      </c>
      <c r="L836" s="5" t="s">
        <v>248</v>
      </c>
      <c r="M836" s="133" t="s">
        <v>100</v>
      </c>
    </row>
    <row r="837" spans="2:13" x14ac:dyDescent="0.35">
      <c r="B837" s="4" t="s">
        <v>117</v>
      </c>
      <c r="C837" s="104" t="s">
        <v>153</v>
      </c>
      <c r="D837" s="105">
        <v>105518</v>
      </c>
      <c r="E837" s="105">
        <v>404</v>
      </c>
      <c r="F837" s="101">
        <v>30678.94</v>
      </c>
      <c r="G837" s="5" t="s">
        <v>129</v>
      </c>
      <c r="H837" s="105">
        <v>4098</v>
      </c>
      <c r="I837" s="105">
        <v>30717862453</v>
      </c>
      <c r="J837" s="5" t="s">
        <v>130</v>
      </c>
      <c r="K837" s="101">
        <f>+K836+Tabla6[[#This Row],[IMPORTE]]</f>
        <v>29696372.269999646</v>
      </c>
      <c r="L837" s="5" t="s">
        <v>248</v>
      </c>
      <c r="M837" s="133" t="s">
        <v>100</v>
      </c>
    </row>
    <row r="838" spans="2:13" x14ac:dyDescent="0.35">
      <c r="B838" s="4" t="s">
        <v>117</v>
      </c>
      <c r="C838" s="104" t="s">
        <v>153</v>
      </c>
      <c r="D838" s="105">
        <v>29808</v>
      </c>
      <c r="E838" s="105">
        <v>404</v>
      </c>
      <c r="F838" s="101">
        <v>34234.82</v>
      </c>
      <c r="G838" s="5" t="s">
        <v>129</v>
      </c>
      <c r="H838" s="105">
        <v>4098</v>
      </c>
      <c r="I838" s="105">
        <v>30717862453</v>
      </c>
      <c r="J838" s="5" t="s">
        <v>130</v>
      </c>
      <c r="K838" s="101">
        <f>+K837+Tabla6[[#This Row],[IMPORTE]]</f>
        <v>29730607.089999646</v>
      </c>
      <c r="L838" s="5" t="s">
        <v>248</v>
      </c>
      <c r="M838" s="133" t="s">
        <v>100</v>
      </c>
    </row>
    <row r="839" spans="2:13" x14ac:dyDescent="0.35">
      <c r="B839" s="4" t="s">
        <v>117</v>
      </c>
      <c r="C839" s="104" t="s">
        <v>153</v>
      </c>
      <c r="D839" s="105">
        <v>686229</v>
      </c>
      <c r="E839" s="105">
        <v>404</v>
      </c>
      <c r="F839" s="101">
        <v>36287.39</v>
      </c>
      <c r="G839" s="5" t="s">
        <v>129</v>
      </c>
      <c r="H839" s="105">
        <v>4098</v>
      </c>
      <c r="I839" s="105">
        <v>30717862453</v>
      </c>
      <c r="J839" s="5" t="s">
        <v>130</v>
      </c>
      <c r="K839" s="101">
        <f>+K838+Tabla6[[#This Row],[IMPORTE]]</f>
        <v>29766894.479999647</v>
      </c>
      <c r="L839" s="5" t="s">
        <v>248</v>
      </c>
      <c r="M839" s="133" t="s">
        <v>100</v>
      </c>
    </row>
    <row r="840" spans="2:13" x14ac:dyDescent="0.35">
      <c r="B840" s="4" t="s">
        <v>117</v>
      </c>
      <c r="C840" s="104" t="s">
        <v>153</v>
      </c>
      <c r="D840" s="105">
        <v>888623</v>
      </c>
      <c r="E840" s="105">
        <v>404</v>
      </c>
      <c r="F840" s="101">
        <v>37874.589999999997</v>
      </c>
      <c r="G840" s="5" t="s">
        <v>129</v>
      </c>
      <c r="H840" s="105">
        <v>4098</v>
      </c>
      <c r="I840" s="105">
        <v>30717862453</v>
      </c>
      <c r="J840" s="5" t="s">
        <v>130</v>
      </c>
      <c r="K840" s="101">
        <f>+K839+Tabla6[[#This Row],[IMPORTE]]</f>
        <v>29804769.069999646</v>
      </c>
      <c r="L840" s="5" t="s">
        <v>248</v>
      </c>
      <c r="M840" s="133" t="s">
        <v>100</v>
      </c>
    </row>
    <row r="841" spans="2:13" x14ac:dyDescent="0.35">
      <c r="B841" s="4" t="s">
        <v>104</v>
      </c>
      <c r="C841" s="104" t="s">
        <v>153</v>
      </c>
      <c r="D841" s="105">
        <v>282288</v>
      </c>
      <c r="E841" s="105">
        <v>404</v>
      </c>
      <c r="F841" s="101">
        <v>38056.199999999997</v>
      </c>
      <c r="G841" s="5" t="s">
        <v>106</v>
      </c>
      <c r="H841" s="105">
        <v>183</v>
      </c>
      <c r="I841" s="70" t="s">
        <v>107</v>
      </c>
      <c r="J841" s="5" t="s">
        <v>116</v>
      </c>
      <c r="K841" s="101">
        <f>+K840+Tabla6[[#This Row],[IMPORTE]]</f>
        <v>29842825.269999646</v>
      </c>
      <c r="L841" s="5" t="s">
        <v>249</v>
      </c>
      <c r="M841" s="133" t="s">
        <v>100</v>
      </c>
    </row>
    <row r="842" spans="2:13" x14ac:dyDescent="0.35">
      <c r="B842" s="4" t="s">
        <v>104</v>
      </c>
      <c r="C842" s="104" t="s">
        <v>153</v>
      </c>
      <c r="D842" s="105">
        <v>282293</v>
      </c>
      <c r="E842" s="105">
        <v>404</v>
      </c>
      <c r="F842" s="101">
        <v>38528.1</v>
      </c>
      <c r="G842" s="5" t="s">
        <v>106</v>
      </c>
      <c r="H842" s="105">
        <v>183</v>
      </c>
      <c r="I842" s="70" t="s">
        <v>107</v>
      </c>
      <c r="J842" s="5" t="s">
        <v>137</v>
      </c>
      <c r="K842" s="101">
        <f>+K841+Tabla6[[#This Row],[IMPORTE]]</f>
        <v>29881353.369999647</v>
      </c>
      <c r="L842" s="5" t="s">
        <v>250</v>
      </c>
      <c r="M842" s="133" t="s">
        <v>100</v>
      </c>
    </row>
    <row r="843" spans="2:13" x14ac:dyDescent="0.35">
      <c r="B843" s="4" t="s">
        <v>117</v>
      </c>
      <c r="C843" s="104" t="s">
        <v>153</v>
      </c>
      <c r="D843" s="105">
        <v>737380</v>
      </c>
      <c r="E843" s="105">
        <v>404</v>
      </c>
      <c r="F843" s="101">
        <v>38622.480000000003</v>
      </c>
      <c r="G843" s="5" t="s">
        <v>129</v>
      </c>
      <c r="H843" s="105">
        <v>4098</v>
      </c>
      <c r="I843" s="105">
        <v>30717862453</v>
      </c>
      <c r="J843" s="5" t="s">
        <v>130</v>
      </c>
      <c r="K843" s="101">
        <f>+K842+Tabla6[[#This Row],[IMPORTE]]</f>
        <v>29919975.849999648</v>
      </c>
      <c r="L843" s="5" t="s">
        <v>248</v>
      </c>
      <c r="M843" s="133" t="s">
        <v>100</v>
      </c>
    </row>
    <row r="844" spans="2:13" x14ac:dyDescent="0.35">
      <c r="B844" s="4" t="s">
        <v>117</v>
      </c>
      <c r="C844" s="104" t="s">
        <v>153</v>
      </c>
      <c r="D844" s="105">
        <v>995823</v>
      </c>
      <c r="E844" s="105">
        <v>404</v>
      </c>
      <c r="F844" s="101">
        <v>38622.480000000003</v>
      </c>
      <c r="G844" s="5" t="s">
        <v>129</v>
      </c>
      <c r="H844" s="105">
        <v>4098</v>
      </c>
      <c r="I844" s="105">
        <v>30717862453</v>
      </c>
      <c r="J844" s="5" t="s">
        <v>130</v>
      </c>
      <c r="K844" s="101">
        <f>+K843+Tabla6[[#This Row],[IMPORTE]]</f>
        <v>29958598.329999648</v>
      </c>
      <c r="L844" s="5" t="s">
        <v>248</v>
      </c>
      <c r="M844" s="133" t="s">
        <v>100</v>
      </c>
    </row>
    <row r="845" spans="2:13" x14ac:dyDescent="0.35">
      <c r="B845" s="4" t="s">
        <v>117</v>
      </c>
      <c r="C845" s="104" t="s">
        <v>153</v>
      </c>
      <c r="D845" s="105">
        <v>744997</v>
      </c>
      <c r="E845" s="105">
        <v>404</v>
      </c>
      <c r="F845" s="101">
        <v>45059.56</v>
      </c>
      <c r="G845" s="5" t="s">
        <v>129</v>
      </c>
      <c r="H845" s="105">
        <v>4098</v>
      </c>
      <c r="I845" s="105">
        <v>30717862453</v>
      </c>
      <c r="J845" s="5" t="s">
        <v>130</v>
      </c>
      <c r="K845" s="101">
        <f>+K844+Tabla6[[#This Row],[IMPORTE]]</f>
        <v>30003657.889999647</v>
      </c>
      <c r="L845" s="5" t="s">
        <v>248</v>
      </c>
      <c r="M845" s="133" t="s">
        <v>100</v>
      </c>
    </row>
    <row r="846" spans="2:13" x14ac:dyDescent="0.35">
      <c r="B846" s="4" t="s">
        <v>117</v>
      </c>
      <c r="C846" s="104" t="s">
        <v>153</v>
      </c>
      <c r="D846" s="105">
        <v>259686</v>
      </c>
      <c r="E846" s="105">
        <v>404</v>
      </c>
      <c r="F846" s="101">
        <v>51496.639999999999</v>
      </c>
      <c r="G846" s="5" t="s">
        <v>129</v>
      </c>
      <c r="H846" s="105">
        <v>4098</v>
      </c>
      <c r="I846" s="105">
        <v>30717862453</v>
      </c>
      <c r="J846" s="5" t="s">
        <v>130</v>
      </c>
      <c r="K846" s="101">
        <f>+K845+Tabla6[[#This Row],[IMPORTE]]</f>
        <v>30055154.529999647</v>
      </c>
      <c r="L846" s="5" t="s">
        <v>248</v>
      </c>
      <c r="M846" s="133" t="s">
        <v>100</v>
      </c>
    </row>
    <row r="847" spans="2:13" x14ac:dyDescent="0.35">
      <c r="B847" s="4" t="s">
        <v>117</v>
      </c>
      <c r="C847" s="104" t="s">
        <v>153</v>
      </c>
      <c r="D847" s="105">
        <v>202429</v>
      </c>
      <c r="E847" s="105">
        <v>404</v>
      </c>
      <c r="F847" s="101">
        <v>68058.27</v>
      </c>
      <c r="G847" s="5" t="s">
        <v>129</v>
      </c>
      <c r="H847" s="105">
        <v>4098</v>
      </c>
      <c r="I847" s="105">
        <v>30717862453</v>
      </c>
      <c r="J847" s="5" t="s">
        <v>130</v>
      </c>
      <c r="K847" s="101">
        <f>+K846+Tabla6[[#This Row],[IMPORTE]]</f>
        <v>30123212.799999647</v>
      </c>
      <c r="L847" s="5" t="s">
        <v>248</v>
      </c>
      <c r="M847" s="133" t="s">
        <v>100</v>
      </c>
    </row>
    <row r="848" spans="2:13" x14ac:dyDescent="0.35">
      <c r="B848" s="4" t="s">
        <v>117</v>
      </c>
      <c r="C848" s="104" t="s">
        <v>153</v>
      </c>
      <c r="D848" s="105">
        <v>355027</v>
      </c>
      <c r="E848" s="105">
        <v>404</v>
      </c>
      <c r="F848" s="101">
        <v>69259.070000000007</v>
      </c>
      <c r="G848" s="5" t="s">
        <v>129</v>
      </c>
      <c r="H848" s="105">
        <v>4098</v>
      </c>
      <c r="I848" s="105">
        <v>30717862453</v>
      </c>
      <c r="J848" s="5" t="s">
        <v>130</v>
      </c>
      <c r="K848" s="101">
        <f>+K847+Tabla6[[#This Row],[IMPORTE]]</f>
        <v>30192471.869999647</v>
      </c>
      <c r="L848" s="5" t="s">
        <v>248</v>
      </c>
      <c r="M848" s="133" t="s">
        <v>100</v>
      </c>
    </row>
    <row r="849" spans="2:13" x14ac:dyDescent="0.35">
      <c r="B849" s="4" t="s">
        <v>117</v>
      </c>
      <c r="C849" s="104" t="s">
        <v>153</v>
      </c>
      <c r="D849" s="105">
        <v>97683</v>
      </c>
      <c r="E849" s="105">
        <v>404</v>
      </c>
      <c r="F849" s="101">
        <v>73641.94</v>
      </c>
      <c r="G849" s="5" t="s">
        <v>129</v>
      </c>
      <c r="H849" s="105">
        <v>4098</v>
      </c>
      <c r="I849" s="105">
        <v>30717862453</v>
      </c>
      <c r="J849" s="5" t="s">
        <v>130</v>
      </c>
      <c r="K849" s="101">
        <f>+K848+Tabla6[[#This Row],[IMPORTE]]</f>
        <v>30266113.809999648</v>
      </c>
      <c r="L849" s="5" t="s">
        <v>248</v>
      </c>
      <c r="M849" s="133" t="s">
        <v>100</v>
      </c>
    </row>
    <row r="850" spans="2:13" x14ac:dyDescent="0.35">
      <c r="B850" s="4" t="s">
        <v>104</v>
      </c>
      <c r="C850" s="104" t="s">
        <v>153</v>
      </c>
      <c r="D850" s="105">
        <v>282289</v>
      </c>
      <c r="E850" s="105">
        <v>404</v>
      </c>
      <c r="F850" s="101">
        <v>126854</v>
      </c>
      <c r="G850" s="5" t="s">
        <v>106</v>
      </c>
      <c r="H850" s="105">
        <v>183</v>
      </c>
      <c r="I850" s="70" t="s">
        <v>107</v>
      </c>
      <c r="J850" s="5" t="s">
        <v>110</v>
      </c>
      <c r="K850" s="101">
        <f>+K849+Tabla6[[#This Row],[IMPORTE]]</f>
        <v>30392967.809999648</v>
      </c>
      <c r="L850" s="5" t="s">
        <v>249</v>
      </c>
      <c r="M850" s="133" t="s">
        <v>100</v>
      </c>
    </row>
    <row r="851" spans="2:13" x14ac:dyDescent="0.35">
      <c r="B851" s="4" t="s">
        <v>117</v>
      </c>
      <c r="C851" s="104" t="s">
        <v>153</v>
      </c>
      <c r="D851" s="105">
        <v>635568</v>
      </c>
      <c r="E851" s="105">
        <v>404</v>
      </c>
      <c r="F851" s="101">
        <v>136920.22</v>
      </c>
      <c r="G851" s="5" t="s">
        <v>129</v>
      </c>
      <c r="H851" s="105">
        <v>4098</v>
      </c>
      <c r="I851" s="105">
        <v>30717862453</v>
      </c>
      <c r="J851" s="5" t="s">
        <v>130</v>
      </c>
      <c r="K851" s="101">
        <f>+K850+Tabla6[[#This Row],[IMPORTE]]</f>
        <v>30529888.029999647</v>
      </c>
      <c r="L851" s="5" t="s">
        <v>248</v>
      </c>
      <c r="M851" s="133" t="s">
        <v>100</v>
      </c>
    </row>
    <row r="852" spans="2:13" x14ac:dyDescent="0.35">
      <c r="B852" s="4" t="s">
        <v>104</v>
      </c>
      <c r="C852" s="104" t="s">
        <v>153</v>
      </c>
      <c r="D852" s="105">
        <v>282291</v>
      </c>
      <c r="E852" s="105">
        <v>404</v>
      </c>
      <c r="F852" s="101">
        <v>139539.4</v>
      </c>
      <c r="G852" s="5" t="s">
        <v>106</v>
      </c>
      <c r="H852" s="105">
        <v>183</v>
      </c>
      <c r="I852" s="70" t="s">
        <v>107</v>
      </c>
      <c r="J852" s="5" t="s">
        <v>115</v>
      </c>
      <c r="K852" s="101">
        <f>+K851+Tabla6[[#This Row],[IMPORTE]]</f>
        <v>30669427.429999646</v>
      </c>
      <c r="L852" s="5" t="s">
        <v>249</v>
      </c>
      <c r="M852" s="133" t="s">
        <v>100</v>
      </c>
    </row>
    <row r="853" spans="2:13" x14ac:dyDescent="0.35">
      <c r="B853" s="4" t="s">
        <v>117</v>
      </c>
      <c r="C853" s="104" t="s">
        <v>153</v>
      </c>
      <c r="D853" s="105">
        <v>902368</v>
      </c>
      <c r="E853" s="105">
        <v>404</v>
      </c>
      <c r="F853" s="101">
        <v>142430.75</v>
      </c>
      <c r="G853" s="5" t="s">
        <v>129</v>
      </c>
      <c r="H853" s="105">
        <v>4098</v>
      </c>
      <c r="I853" s="105">
        <v>30717862453</v>
      </c>
      <c r="J853" s="5" t="s">
        <v>130</v>
      </c>
      <c r="K853" s="101">
        <f>+K852+Tabla6[[#This Row],[IMPORTE]]</f>
        <v>30811858.179999646</v>
      </c>
      <c r="L853" s="5" t="s">
        <v>248</v>
      </c>
      <c r="M853" s="133" t="s">
        <v>100</v>
      </c>
    </row>
    <row r="854" spans="2:13" x14ac:dyDescent="0.35">
      <c r="B854" s="4" t="s">
        <v>104</v>
      </c>
      <c r="C854" s="104" t="s">
        <v>153</v>
      </c>
      <c r="D854" s="105">
        <v>282252</v>
      </c>
      <c r="E854" s="105">
        <v>404</v>
      </c>
      <c r="F854" s="101">
        <v>145920.29</v>
      </c>
      <c r="G854" s="5" t="s">
        <v>106</v>
      </c>
      <c r="H854" s="105">
        <v>183</v>
      </c>
      <c r="I854" s="70" t="s">
        <v>107</v>
      </c>
      <c r="J854" s="5" t="s">
        <v>108</v>
      </c>
      <c r="K854" s="101">
        <f>+K853+Tabla6[[#This Row],[IMPORTE]]</f>
        <v>30957778.469999645</v>
      </c>
      <c r="L854" s="5" t="s">
        <v>251</v>
      </c>
      <c r="M854" s="133" t="s">
        <v>100</v>
      </c>
    </row>
    <row r="855" spans="2:13" x14ac:dyDescent="0.35">
      <c r="B855" s="4" t="s">
        <v>117</v>
      </c>
      <c r="C855" s="104" t="s">
        <v>153</v>
      </c>
      <c r="D855" s="105">
        <v>632587</v>
      </c>
      <c r="E855" s="105">
        <v>404</v>
      </c>
      <c r="F855" s="101">
        <v>159146.88</v>
      </c>
      <c r="G855" s="5" t="s">
        <v>129</v>
      </c>
      <c r="H855" s="105">
        <v>4098</v>
      </c>
      <c r="I855" s="105">
        <v>30717862453</v>
      </c>
      <c r="J855" s="5" t="s">
        <v>130</v>
      </c>
      <c r="K855" s="101">
        <f>+K854+Tabla6[[#This Row],[IMPORTE]]</f>
        <v>31116925.349999644</v>
      </c>
      <c r="L855" s="5" t="s">
        <v>248</v>
      </c>
      <c r="M855" s="133" t="s">
        <v>100</v>
      </c>
    </row>
    <row r="856" spans="2:13" x14ac:dyDescent="0.35">
      <c r="B856" s="4" t="s">
        <v>117</v>
      </c>
      <c r="C856" s="104" t="s">
        <v>153</v>
      </c>
      <c r="D856" s="105">
        <v>210259</v>
      </c>
      <c r="E856" s="105">
        <v>404</v>
      </c>
      <c r="F856" s="101">
        <v>163051.84</v>
      </c>
      <c r="G856" s="5" t="s">
        <v>129</v>
      </c>
      <c r="H856" s="105">
        <v>4098</v>
      </c>
      <c r="I856" s="105">
        <v>30717862453</v>
      </c>
      <c r="J856" s="5" t="s">
        <v>130</v>
      </c>
      <c r="K856" s="101">
        <f>+K855+Tabla6[[#This Row],[IMPORTE]]</f>
        <v>31279977.189999644</v>
      </c>
      <c r="L856" s="5" t="s">
        <v>248</v>
      </c>
      <c r="M856" s="133" t="s">
        <v>100</v>
      </c>
    </row>
    <row r="857" spans="2:13" x14ac:dyDescent="0.35">
      <c r="B857" s="4" t="s">
        <v>104</v>
      </c>
      <c r="C857" s="104" t="s">
        <v>153</v>
      </c>
      <c r="D857" s="105">
        <v>282286</v>
      </c>
      <c r="E857" s="105">
        <v>404</v>
      </c>
      <c r="F857" s="101">
        <v>166753.49</v>
      </c>
      <c r="G857" s="5" t="s">
        <v>106</v>
      </c>
      <c r="H857" s="105">
        <v>183</v>
      </c>
      <c r="I857" s="70" t="s">
        <v>107</v>
      </c>
      <c r="J857" s="5" t="s">
        <v>112</v>
      </c>
      <c r="K857" s="101">
        <f>+K856+Tabla6[[#This Row],[IMPORTE]]</f>
        <v>31446730.679999642</v>
      </c>
      <c r="L857" s="5" t="s">
        <v>250</v>
      </c>
      <c r="M857" s="133" t="s">
        <v>100</v>
      </c>
    </row>
    <row r="858" spans="2:13" x14ac:dyDescent="0.35">
      <c r="B858" s="4" t="s">
        <v>117</v>
      </c>
      <c r="C858" s="104" t="s">
        <v>153</v>
      </c>
      <c r="D858" s="105">
        <v>443178</v>
      </c>
      <c r="E858" s="105">
        <v>404</v>
      </c>
      <c r="F858" s="101">
        <v>167364.07999999999</v>
      </c>
      <c r="G858" s="5" t="s">
        <v>129</v>
      </c>
      <c r="H858" s="105">
        <v>4098</v>
      </c>
      <c r="I858" s="105">
        <v>30717862453</v>
      </c>
      <c r="J858" s="5" t="s">
        <v>130</v>
      </c>
      <c r="K858" s="101">
        <f>+K857+Tabla6[[#This Row],[IMPORTE]]</f>
        <v>31614094.75999964</v>
      </c>
      <c r="L858" s="5" t="s">
        <v>248</v>
      </c>
      <c r="M858" s="133" t="s">
        <v>100</v>
      </c>
    </row>
    <row r="859" spans="2:13" x14ac:dyDescent="0.35">
      <c r="B859" s="4" t="s">
        <v>117</v>
      </c>
      <c r="C859" s="104" t="s">
        <v>153</v>
      </c>
      <c r="D859" s="105">
        <v>249843</v>
      </c>
      <c r="E859" s="105">
        <v>404</v>
      </c>
      <c r="F859" s="101">
        <v>180172.62</v>
      </c>
      <c r="G859" s="5" t="s">
        <v>129</v>
      </c>
      <c r="H859" s="105">
        <v>4098</v>
      </c>
      <c r="I859" s="105">
        <v>30717862453</v>
      </c>
      <c r="J859" s="5" t="s">
        <v>130</v>
      </c>
      <c r="K859" s="101">
        <f>+K858+Tabla6[[#This Row],[IMPORTE]]</f>
        <v>31794267.379999641</v>
      </c>
      <c r="L859" s="5" t="s">
        <v>248</v>
      </c>
      <c r="M859" s="133" t="s">
        <v>100</v>
      </c>
    </row>
    <row r="860" spans="2:13" x14ac:dyDescent="0.35">
      <c r="B860" s="4" t="s">
        <v>104</v>
      </c>
      <c r="C860" s="104" t="s">
        <v>153</v>
      </c>
      <c r="D860" s="105">
        <v>282253</v>
      </c>
      <c r="E860" s="105">
        <v>404</v>
      </c>
      <c r="F860" s="101">
        <v>181307.34</v>
      </c>
      <c r="G860" s="5" t="s">
        <v>106</v>
      </c>
      <c r="H860" s="105">
        <v>183</v>
      </c>
      <c r="I860" s="70" t="s">
        <v>107</v>
      </c>
      <c r="J860" s="5" t="s">
        <v>108</v>
      </c>
      <c r="K860" s="101">
        <f>+K859+Tabla6[[#This Row],[IMPORTE]]</f>
        <v>31975574.719999641</v>
      </c>
      <c r="L860" s="5" t="s">
        <v>250</v>
      </c>
      <c r="M860" s="133" t="s">
        <v>100</v>
      </c>
    </row>
    <row r="861" spans="2:13" x14ac:dyDescent="0.35">
      <c r="B861" s="4" t="s">
        <v>117</v>
      </c>
      <c r="C861" s="104" t="s">
        <v>153</v>
      </c>
      <c r="D861" s="105">
        <v>588640</v>
      </c>
      <c r="E861" s="105">
        <v>404</v>
      </c>
      <c r="F861" s="101">
        <v>190946.55</v>
      </c>
      <c r="G861" s="5" t="s">
        <v>129</v>
      </c>
      <c r="H861" s="105">
        <v>4098</v>
      </c>
      <c r="I861" s="105">
        <v>30717862453</v>
      </c>
      <c r="J861" s="5" t="s">
        <v>130</v>
      </c>
      <c r="K861" s="101">
        <f>+K860+Tabla6[[#This Row],[IMPORTE]]</f>
        <v>32166521.269999642</v>
      </c>
      <c r="L861" s="5" t="s">
        <v>248</v>
      </c>
      <c r="M861" s="133" t="s">
        <v>100</v>
      </c>
    </row>
    <row r="862" spans="2:13" x14ac:dyDescent="0.35">
      <c r="B862" s="4" t="s">
        <v>117</v>
      </c>
      <c r="C862" s="104" t="s">
        <v>153</v>
      </c>
      <c r="D862" s="105">
        <v>405235</v>
      </c>
      <c r="E862" s="105">
        <v>404</v>
      </c>
      <c r="F862" s="101">
        <v>215049.96</v>
      </c>
      <c r="G862" s="5" t="s">
        <v>129</v>
      </c>
      <c r="H862" s="105">
        <v>4098</v>
      </c>
      <c r="I862" s="105">
        <v>30717862453</v>
      </c>
      <c r="J862" s="5" t="s">
        <v>130</v>
      </c>
      <c r="K862" s="101">
        <f>+K861+Tabla6[[#This Row],[IMPORTE]]</f>
        <v>32381571.229999643</v>
      </c>
      <c r="L862" s="5" t="s">
        <v>248</v>
      </c>
      <c r="M862" s="133" t="s">
        <v>100</v>
      </c>
    </row>
    <row r="863" spans="2:13" x14ac:dyDescent="0.35">
      <c r="B863" s="4" t="s">
        <v>104</v>
      </c>
      <c r="C863" s="104" t="s">
        <v>153</v>
      </c>
      <c r="D863" s="105">
        <v>282294</v>
      </c>
      <c r="E863" s="105">
        <v>404</v>
      </c>
      <c r="F863" s="101">
        <v>239630.88</v>
      </c>
      <c r="G863" s="5" t="s">
        <v>106</v>
      </c>
      <c r="H863" s="105">
        <v>183</v>
      </c>
      <c r="I863" s="70" t="s">
        <v>107</v>
      </c>
      <c r="J863" s="5" t="s">
        <v>109</v>
      </c>
      <c r="K863" s="101">
        <f>+K862+Tabla6[[#This Row],[IMPORTE]]</f>
        <v>32621202.109999642</v>
      </c>
      <c r="L863" s="5" t="s">
        <v>250</v>
      </c>
      <c r="M863" s="133" t="s">
        <v>100</v>
      </c>
    </row>
    <row r="864" spans="2:13" x14ac:dyDescent="0.35">
      <c r="B864" s="4" t="s">
        <v>117</v>
      </c>
      <c r="C864" s="104" t="s">
        <v>153</v>
      </c>
      <c r="D864" s="105">
        <v>835404</v>
      </c>
      <c r="E864" s="105">
        <v>404</v>
      </c>
      <c r="F864" s="101">
        <v>246418.1</v>
      </c>
      <c r="G864" s="5" t="s">
        <v>129</v>
      </c>
      <c r="H864" s="105">
        <v>4098</v>
      </c>
      <c r="I864" s="105">
        <v>30717862453</v>
      </c>
      <c r="J864" s="5" t="s">
        <v>130</v>
      </c>
      <c r="K864" s="101">
        <f>+K863+Tabla6[[#This Row],[IMPORTE]]</f>
        <v>32867620.209999643</v>
      </c>
      <c r="L864" s="5" t="s">
        <v>248</v>
      </c>
      <c r="M864" s="133" t="s">
        <v>100</v>
      </c>
    </row>
    <row r="865" spans="2:13" x14ac:dyDescent="0.35">
      <c r="B865" s="4" t="s">
        <v>104</v>
      </c>
      <c r="C865" s="104" t="s">
        <v>153</v>
      </c>
      <c r="D865" s="105">
        <v>282290</v>
      </c>
      <c r="E865" s="105">
        <v>404</v>
      </c>
      <c r="F865" s="101">
        <v>261910.51</v>
      </c>
      <c r="G865" s="5" t="s">
        <v>106</v>
      </c>
      <c r="H865" s="105">
        <v>183</v>
      </c>
      <c r="I865" s="70" t="s">
        <v>107</v>
      </c>
      <c r="J865" s="5" t="s">
        <v>110</v>
      </c>
      <c r="K865" s="101">
        <f>+K864+Tabla6[[#This Row],[IMPORTE]]</f>
        <v>33129530.719999645</v>
      </c>
      <c r="L865" s="5" t="s">
        <v>250</v>
      </c>
      <c r="M865" s="133" t="s">
        <v>100</v>
      </c>
    </row>
    <row r="866" spans="2:13" x14ac:dyDescent="0.35">
      <c r="B866" s="4" t="s">
        <v>117</v>
      </c>
      <c r="C866" s="104" t="s">
        <v>153</v>
      </c>
      <c r="D866" s="105">
        <v>30634</v>
      </c>
      <c r="E866" s="105">
        <v>404</v>
      </c>
      <c r="F866" s="101">
        <v>269818.43</v>
      </c>
      <c r="G866" s="5" t="s">
        <v>129</v>
      </c>
      <c r="H866" s="105">
        <v>4098</v>
      </c>
      <c r="I866" s="105">
        <v>30717862453</v>
      </c>
      <c r="J866" s="5" t="s">
        <v>130</v>
      </c>
      <c r="K866" s="101">
        <f>+K865+Tabla6[[#This Row],[IMPORTE]]</f>
        <v>33399349.149999645</v>
      </c>
      <c r="L866" s="5" t="s">
        <v>248</v>
      </c>
      <c r="M866" s="133" t="s">
        <v>100</v>
      </c>
    </row>
    <row r="867" spans="2:13" x14ac:dyDescent="0.35">
      <c r="B867" s="4" t="s">
        <v>117</v>
      </c>
      <c r="C867" s="104" t="s">
        <v>153</v>
      </c>
      <c r="D867" s="105">
        <v>362403</v>
      </c>
      <c r="E867" s="105">
        <v>404</v>
      </c>
      <c r="F867" s="101">
        <v>285512.18</v>
      </c>
      <c r="G867" s="5" t="s">
        <v>129</v>
      </c>
      <c r="H867" s="105">
        <v>4098</v>
      </c>
      <c r="I867" s="105">
        <v>30717862453</v>
      </c>
      <c r="J867" s="5" t="s">
        <v>130</v>
      </c>
      <c r="K867" s="101">
        <f>+K866+Tabla6[[#This Row],[IMPORTE]]</f>
        <v>33684861.329999648</v>
      </c>
      <c r="L867" s="5" t="s">
        <v>248</v>
      </c>
      <c r="M867" s="133" t="s">
        <v>100</v>
      </c>
    </row>
    <row r="868" spans="2:13" x14ac:dyDescent="0.35">
      <c r="B868" s="4" t="s">
        <v>117</v>
      </c>
      <c r="C868" s="104" t="s">
        <v>153</v>
      </c>
      <c r="D868" s="105">
        <v>105399</v>
      </c>
      <c r="E868" s="105">
        <v>404</v>
      </c>
      <c r="F868" s="101">
        <v>289063.13</v>
      </c>
      <c r="G868" s="5" t="s">
        <v>129</v>
      </c>
      <c r="H868" s="105">
        <v>4098</v>
      </c>
      <c r="I868" s="105">
        <v>30717862453</v>
      </c>
      <c r="J868" s="5" t="s">
        <v>130</v>
      </c>
      <c r="K868" s="101">
        <f>+K867+Tabla6[[#This Row],[IMPORTE]]</f>
        <v>33973924.459999651</v>
      </c>
      <c r="L868" s="5" t="s">
        <v>248</v>
      </c>
      <c r="M868" s="133" t="s">
        <v>100</v>
      </c>
    </row>
    <row r="869" spans="2:13" x14ac:dyDescent="0.35">
      <c r="B869" s="4" t="s">
        <v>117</v>
      </c>
      <c r="C869" s="104" t="s">
        <v>153</v>
      </c>
      <c r="D869" s="105">
        <v>814043</v>
      </c>
      <c r="E869" s="105">
        <v>404</v>
      </c>
      <c r="F869" s="101">
        <v>296557.62</v>
      </c>
      <c r="G869" s="5" t="s">
        <v>129</v>
      </c>
      <c r="H869" s="105">
        <v>4098</v>
      </c>
      <c r="I869" s="105">
        <v>30717862453</v>
      </c>
      <c r="J869" s="5" t="s">
        <v>130</v>
      </c>
      <c r="K869" s="101">
        <f>+K868+Tabla6[[#This Row],[IMPORTE]]</f>
        <v>34270482.079999648</v>
      </c>
      <c r="L869" s="5" t="s">
        <v>248</v>
      </c>
      <c r="M869" s="133" t="s">
        <v>100</v>
      </c>
    </row>
    <row r="870" spans="2:13" x14ac:dyDescent="0.35">
      <c r="B870" s="4" t="s">
        <v>104</v>
      </c>
      <c r="C870" s="104" t="s">
        <v>153</v>
      </c>
      <c r="D870" s="105">
        <v>282287</v>
      </c>
      <c r="E870" s="105">
        <v>404</v>
      </c>
      <c r="F870" s="101">
        <v>356021.21</v>
      </c>
      <c r="G870" s="5" t="s">
        <v>106</v>
      </c>
      <c r="H870" s="105">
        <v>183</v>
      </c>
      <c r="I870" s="70" t="s">
        <v>107</v>
      </c>
      <c r="J870" s="5" t="s">
        <v>116</v>
      </c>
      <c r="K870" s="101">
        <f>+K869+Tabla6[[#This Row],[IMPORTE]]</f>
        <v>34626503.289999649</v>
      </c>
      <c r="L870" s="5" t="s">
        <v>250</v>
      </c>
      <c r="M870" s="133" t="s">
        <v>100</v>
      </c>
    </row>
    <row r="871" spans="2:13" x14ac:dyDescent="0.35">
      <c r="B871" s="4" t="s">
        <v>104</v>
      </c>
      <c r="C871" s="104" t="s">
        <v>153</v>
      </c>
      <c r="D871" s="105">
        <v>282296</v>
      </c>
      <c r="E871" s="105">
        <v>404</v>
      </c>
      <c r="F871" s="101">
        <v>696074.29</v>
      </c>
      <c r="G871" s="5" t="s">
        <v>106</v>
      </c>
      <c r="H871" s="105">
        <v>183</v>
      </c>
      <c r="I871" s="70" t="s">
        <v>107</v>
      </c>
      <c r="J871" s="5" t="s">
        <v>113</v>
      </c>
      <c r="K871" s="101">
        <f>+K870+Tabla6[[#This Row],[IMPORTE]]</f>
        <v>35322577.579999648</v>
      </c>
      <c r="L871" s="5" t="s">
        <v>250</v>
      </c>
      <c r="M871" s="133" t="s">
        <v>100</v>
      </c>
    </row>
    <row r="872" spans="2:13" x14ac:dyDescent="0.35">
      <c r="B872" s="4" t="s">
        <v>117</v>
      </c>
      <c r="C872" s="104" t="s">
        <v>153</v>
      </c>
      <c r="D872" s="105">
        <v>922108</v>
      </c>
      <c r="E872" s="105">
        <v>404</v>
      </c>
      <c r="F872" s="101">
        <v>703389.48</v>
      </c>
      <c r="G872" s="5" t="s">
        <v>129</v>
      </c>
      <c r="H872" s="105">
        <v>4098</v>
      </c>
      <c r="I872" s="105">
        <v>30717862453</v>
      </c>
      <c r="J872" s="5" t="s">
        <v>130</v>
      </c>
      <c r="K872" s="101">
        <f>+K871+Tabla6[[#This Row],[IMPORTE]]</f>
        <v>36025967.059999645</v>
      </c>
      <c r="L872" s="5" t="s">
        <v>248</v>
      </c>
      <c r="M872" s="133" t="s">
        <v>100</v>
      </c>
    </row>
    <row r="873" spans="2:13" x14ac:dyDescent="0.35">
      <c r="B873" s="4" t="s">
        <v>104</v>
      </c>
      <c r="C873" s="104" t="s">
        <v>153</v>
      </c>
      <c r="D873" s="105">
        <v>282292</v>
      </c>
      <c r="E873" s="105">
        <v>404</v>
      </c>
      <c r="F873" s="101">
        <v>721366.01</v>
      </c>
      <c r="G873" s="5" t="s">
        <v>106</v>
      </c>
      <c r="H873" s="105">
        <v>183</v>
      </c>
      <c r="I873" s="70" t="s">
        <v>107</v>
      </c>
      <c r="J873" s="5" t="s">
        <v>115</v>
      </c>
      <c r="K873" s="101">
        <f>+K872+Tabla6[[#This Row],[IMPORTE]]</f>
        <v>36747333.069999643</v>
      </c>
      <c r="L873" s="5" t="s">
        <v>250</v>
      </c>
      <c r="M873" s="133" t="s">
        <v>100</v>
      </c>
    </row>
    <row r="874" spans="2:13" x14ac:dyDescent="0.35">
      <c r="B874" s="4" t="s">
        <v>117</v>
      </c>
      <c r="C874" s="104" t="s">
        <v>153</v>
      </c>
      <c r="D874" s="105">
        <v>125</v>
      </c>
      <c r="E874" s="105">
        <v>811</v>
      </c>
      <c r="F874" s="101">
        <v>800013.74</v>
      </c>
      <c r="G874" s="5" t="s">
        <v>118</v>
      </c>
      <c r="H874" s="105">
        <v>4151</v>
      </c>
      <c r="I874" s="70" t="s">
        <v>107</v>
      </c>
      <c r="J874" s="5" t="s">
        <v>119</v>
      </c>
      <c r="K874" s="101">
        <f>+K873+Tabla6[[#This Row],[IMPORTE]]</f>
        <v>37547346.809999645</v>
      </c>
      <c r="L874" s="5" t="s">
        <v>252</v>
      </c>
      <c r="M874" s="133" t="s">
        <v>100</v>
      </c>
    </row>
    <row r="875" spans="2:13" x14ac:dyDescent="0.35">
      <c r="B875" s="4" t="s">
        <v>104</v>
      </c>
      <c r="C875" s="104" t="s">
        <v>153</v>
      </c>
      <c r="D875" s="105">
        <v>282295</v>
      </c>
      <c r="E875" s="105">
        <v>404</v>
      </c>
      <c r="F875" s="101">
        <v>1191134.67</v>
      </c>
      <c r="G875" s="5" t="s">
        <v>106</v>
      </c>
      <c r="H875" s="105">
        <v>183</v>
      </c>
      <c r="I875" s="70" t="s">
        <v>107</v>
      </c>
      <c r="J875" s="5" t="s">
        <v>113</v>
      </c>
      <c r="K875" s="101">
        <f>+K874+Tabla6[[#This Row],[IMPORTE]]</f>
        <v>38738481.479999647</v>
      </c>
      <c r="L875" s="5" t="s">
        <v>249</v>
      </c>
      <c r="M875" s="133" t="s">
        <v>100</v>
      </c>
    </row>
    <row r="876" spans="2:13" x14ac:dyDescent="0.35">
      <c r="B876" s="4" t="s">
        <v>132</v>
      </c>
      <c r="C876" s="104" t="s">
        <v>153</v>
      </c>
      <c r="D876" s="105">
        <v>126</v>
      </c>
      <c r="E876" s="105">
        <v>811</v>
      </c>
      <c r="F876" s="101">
        <v>-696883.49</v>
      </c>
      <c r="G876" s="5" t="s">
        <v>142</v>
      </c>
      <c r="H876" s="105">
        <v>4458</v>
      </c>
      <c r="I876" s="70" t="s">
        <v>107</v>
      </c>
      <c r="J876" s="5" t="s">
        <v>127</v>
      </c>
      <c r="K876" s="101">
        <f>+K875+Tabla6[[#This Row],[IMPORTE]]</f>
        <v>38041597.989999644</v>
      </c>
      <c r="L876" s="5" t="s">
        <v>252</v>
      </c>
      <c r="M876" s="133" t="s">
        <v>100</v>
      </c>
    </row>
    <row r="877" spans="2:13" x14ac:dyDescent="0.35">
      <c r="B877" s="4" t="s">
        <v>117</v>
      </c>
      <c r="C877" s="104" t="s">
        <v>154</v>
      </c>
      <c r="D877" s="105">
        <v>347438</v>
      </c>
      <c r="E877" s="105">
        <v>404</v>
      </c>
      <c r="F877" s="101">
        <v>6837.76</v>
      </c>
      <c r="G877" s="5" t="s">
        <v>129</v>
      </c>
      <c r="H877" s="105">
        <v>4098</v>
      </c>
      <c r="I877" s="105">
        <v>30717862453</v>
      </c>
      <c r="J877" s="5" t="s">
        <v>130</v>
      </c>
      <c r="K877" s="101">
        <f>+K876+Tabla6[[#This Row],[IMPORTE]]</f>
        <v>38048435.749999642</v>
      </c>
      <c r="L877" s="5" t="s">
        <v>253</v>
      </c>
      <c r="M877" s="133" t="s">
        <v>100</v>
      </c>
    </row>
    <row r="878" spans="2:13" x14ac:dyDescent="0.35">
      <c r="B878" s="4" t="s">
        <v>117</v>
      </c>
      <c r="C878" s="104" t="s">
        <v>154</v>
      </c>
      <c r="D878" s="105">
        <v>341699</v>
      </c>
      <c r="E878" s="105">
        <v>404</v>
      </c>
      <c r="F878" s="101">
        <v>19114.5</v>
      </c>
      <c r="G878" s="5" t="s">
        <v>129</v>
      </c>
      <c r="H878" s="105">
        <v>4098</v>
      </c>
      <c r="I878" s="105">
        <v>30717862453</v>
      </c>
      <c r="J878" s="5" t="s">
        <v>130</v>
      </c>
      <c r="K878" s="101">
        <f>+K877+Tabla6[[#This Row],[IMPORTE]]</f>
        <v>38067550.249999642</v>
      </c>
      <c r="L878" s="5" t="s">
        <v>253</v>
      </c>
      <c r="M878" s="133" t="s">
        <v>100</v>
      </c>
    </row>
    <row r="879" spans="2:13" x14ac:dyDescent="0.35">
      <c r="B879" s="4" t="s">
        <v>117</v>
      </c>
      <c r="C879" s="104" t="s">
        <v>154</v>
      </c>
      <c r="D879" s="105">
        <v>19363</v>
      </c>
      <c r="E879" s="105">
        <v>404</v>
      </c>
      <c r="F879" s="101">
        <v>24482.75</v>
      </c>
      <c r="G879" s="5" t="s">
        <v>129</v>
      </c>
      <c r="H879" s="105">
        <v>4098</v>
      </c>
      <c r="I879" s="105">
        <v>30717862453</v>
      </c>
      <c r="J879" s="5" t="s">
        <v>130</v>
      </c>
      <c r="K879" s="101">
        <f>+K878+Tabla6[[#This Row],[IMPORTE]]</f>
        <v>38092032.999999642</v>
      </c>
      <c r="L879" s="5" t="s">
        <v>253</v>
      </c>
      <c r="M879" s="133" t="s">
        <v>100</v>
      </c>
    </row>
    <row r="880" spans="2:13" x14ac:dyDescent="0.35">
      <c r="B880" s="4" t="s">
        <v>117</v>
      </c>
      <c r="C880" s="104" t="s">
        <v>154</v>
      </c>
      <c r="D880" s="105">
        <v>431334</v>
      </c>
      <c r="E880" s="105">
        <v>404</v>
      </c>
      <c r="F880" s="101">
        <v>25748.32</v>
      </c>
      <c r="G880" s="5" t="s">
        <v>129</v>
      </c>
      <c r="H880" s="105">
        <v>4098</v>
      </c>
      <c r="I880" s="105">
        <v>30717862453</v>
      </c>
      <c r="J880" s="5" t="s">
        <v>130</v>
      </c>
      <c r="K880" s="101">
        <f>+K879+Tabla6[[#This Row],[IMPORTE]]</f>
        <v>38117781.319999643</v>
      </c>
      <c r="L880" s="5" t="s">
        <v>253</v>
      </c>
      <c r="M880" s="133" t="s">
        <v>100</v>
      </c>
    </row>
    <row r="881" spans="2:13" x14ac:dyDescent="0.35">
      <c r="B881" s="4" t="s">
        <v>117</v>
      </c>
      <c r="C881" s="104" t="s">
        <v>154</v>
      </c>
      <c r="D881" s="105">
        <v>569902</v>
      </c>
      <c r="E881" s="105">
        <v>404</v>
      </c>
      <c r="F881" s="101">
        <v>25748.32</v>
      </c>
      <c r="G881" s="5" t="s">
        <v>129</v>
      </c>
      <c r="H881" s="105">
        <v>4098</v>
      </c>
      <c r="I881" s="105">
        <v>30717862453</v>
      </c>
      <c r="J881" s="5" t="s">
        <v>130</v>
      </c>
      <c r="K881" s="101">
        <f>+K880+Tabla6[[#This Row],[IMPORTE]]</f>
        <v>38143529.639999643</v>
      </c>
      <c r="L881" s="5" t="s">
        <v>253</v>
      </c>
      <c r="M881" s="133" t="s">
        <v>100</v>
      </c>
    </row>
    <row r="882" spans="2:13" x14ac:dyDescent="0.35">
      <c r="B882" s="4" t="s">
        <v>117</v>
      </c>
      <c r="C882" s="104" t="s">
        <v>154</v>
      </c>
      <c r="D882" s="105">
        <v>706602</v>
      </c>
      <c r="E882" s="105">
        <v>404</v>
      </c>
      <c r="F882" s="101">
        <v>25748.32</v>
      </c>
      <c r="G882" s="5" t="s">
        <v>129</v>
      </c>
      <c r="H882" s="105">
        <v>4098</v>
      </c>
      <c r="I882" s="105">
        <v>30717862453</v>
      </c>
      <c r="J882" s="5" t="s">
        <v>130</v>
      </c>
      <c r="K882" s="101">
        <f>+K881+Tabla6[[#This Row],[IMPORTE]]</f>
        <v>38169277.959999643</v>
      </c>
      <c r="L882" s="5" t="s">
        <v>253</v>
      </c>
      <c r="M882" s="133" t="s">
        <v>100</v>
      </c>
    </row>
    <row r="883" spans="2:13" x14ac:dyDescent="0.35">
      <c r="B883" s="4" t="s">
        <v>104</v>
      </c>
      <c r="C883" s="104" t="s">
        <v>154</v>
      </c>
      <c r="D883" s="105">
        <v>211438</v>
      </c>
      <c r="E883" s="105">
        <v>404</v>
      </c>
      <c r="F883" s="101">
        <v>38056.199999999997</v>
      </c>
      <c r="G883" s="5" t="s">
        <v>106</v>
      </c>
      <c r="H883" s="105">
        <v>183</v>
      </c>
      <c r="I883" s="70" t="s">
        <v>107</v>
      </c>
      <c r="J883" s="5" t="s">
        <v>110</v>
      </c>
      <c r="K883" s="101">
        <f>+K882+Tabla6[[#This Row],[IMPORTE]]</f>
        <v>38207334.159999646</v>
      </c>
      <c r="L883" s="5" t="s">
        <v>254</v>
      </c>
      <c r="M883" s="133" t="s">
        <v>100</v>
      </c>
    </row>
    <row r="884" spans="2:13" x14ac:dyDescent="0.35">
      <c r="B884" s="4" t="s">
        <v>104</v>
      </c>
      <c r="C884" s="104" t="s">
        <v>154</v>
      </c>
      <c r="D884" s="105">
        <v>211441</v>
      </c>
      <c r="E884" s="105">
        <v>404</v>
      </c>
      <c r="F884" s="101">
        <v>38056.199999999997</v>
      </c>
      <c r="G884" s="5" t="s">
        <v>106</v>
      </c>
      <c r="H884" s="105">
        <v>183</v>
      </c>
      <c r="I884" s="70" t="s">
        <v>107</v>
      </c>
      <c r="J884" s="5" t="s">
        <v>109</v>
      </c>
      <c r="K884" s="101">
        <f>+K883+Tabla6[[#This Row],[IMPORTE]]</f>
        <v>38245390.359999649</v>
      </c>
      <c r="L884" s="5" t="s">
        <v>255</v>
      </c>
      <c r="M884" s="133" t="s">
        <v>100</v>
      </c>
    </row>
    <row r="885" spans="2:13" x14ac:dyDescent="0.35">
      <c r="B885" s="4" t="s">
        <v>104</v>
      </c>
      <c r="C885" s="104" t="s">
        <v>154</v>
      </c>
      <c r="D885" s="105">
        <v>211443</v>
      </c>
      <c r="E885" s="105">
        <v>404</v>
      </c>
      <c r="F885" s="101">
        <v>38056.199999999997</v>
      </c>
      <c r="G885" s="5" t="s">
        <v>106</v>
      </c>
      <c r="H885" s="105">
        <v>183</v>
      </c>
      <c r="I885" s="70" t="s">
        <v>107</v>
      </c>
      <c r="J885" s="5" t="s">
        <v>113</v>
      </c>
      <c r="K885" s="101">
        <f>+K884+Tabla6[[#This Row],[IMPORTE]]</f>
        <v>38283446.559999652</v>
      </c>
      <c r="L885" s="5" t="s">
        <v>255</v>
      </c>
      <c r="M885" s="133" t="s">
        <v>100</v>
      </c>
    </row>
    <row r="886" spans="2:13" x14ac:dyDescent="0.35">
      <c r="B886" s="4" t="s">
        <v>104</v>
      </c>
      <c r="C886" s="104" t="s">
        <v>154</v>
      </c>
      <c r="D886" s="105">
        <v>211433</v>
      </c>
      <c r="E886" s="105">
        <v>404</v>
      </c>
      <c r="F886" s="101">
        <v>50741.599999999999</v>
      </c>
      <c r="G886" s="5" t="s">
        <v>106</v>
      </c>
      <c r="H886" s="105">
        <v>183</v>
      </c>
      <c r="I886" s="70" t="s">
        <v>107</v>
      </c>
      <c r="J886" s="5" t="s">
        <v>112</v>
      </c>
      <c r="K886" s="101">
        <f>+K885+Tabla6[[#This Row],[IMPORTE]]</f>
        <v>38334188.159999654</v>
      </c>
      <c r="L886" s="5" t="s">
        <v>255</v>
      </c>
      <c r="M886" s="133" t="s">
        <v>100</v>
      </c>
    </row>
    <row r="887" spans="2:13" x14ac:dyDescent="0.35">
      <c r="B887" s="4" t="s">
        <v>117</v>
      </c>
      <c r="C887" s="104" t="s">
        <v>154</v>
      </c>
      <c r="D887" s="105">
        <v>768469</v>
      </c>
      <c r="E887" s="105">
        <v>404</v>
      </c>
      <c r="F887" s="101">
        <v>51496.639999999999</v>
      </c>
      <c r="G887" s="5" t="s">
        <v>129</v>
      </c>
      <c r="H887" s="105">
        <v>4098</v>
      </c>
      <c r="I887" s="105">
        <v>30717862453</v>
      </c>
      <c r="J887" s="5" t="s">
        <v>130</v>
      </c>
      <c r="K887" s="101">
        <f>+K886+Tabla6[[#This Row],[IMPORTE]]</f>
        <v>38385684.799999654</v>
      </c>
      <c r="L887" s="5" t="s">
        <v>253</v>
      </c>
      <c r="M887" s="133" t="s">
        <v>100</v>
      </c>
    </row>
    <row r="888" spans="2:13" x14ac:dyDescent="0.35">
      <c r="B888" s="4" t="s">
        <v>117</v>
      </c>
      <c r="C888" s="104" t="s">
        <v>154</v>
      </c>
      <c r="D888" s="105">
        <v>490577</v>
      </c>
      <c r="E888" s="105">
        <v>404</v>
      </c>
      <c r="F888" s="101">
        <v>64370.8</v>
      </c>
      <c r="G888" s="5" t="s">
        <v>129</v>
      </c>
      <c r="H888" s="105">
        <v>4098</v>
      </c>
      <c r="I888" s="105">
        <v>30717862453</v>
      </c>
      <c r="J888" s="5" t="s">
        <v>130</v>
      </c>
      <c r="K888" s="101">
        <f>+K887+Tabla6[[#This Row],[IMPORTE]]</f>
        <v>38450055.599999651</v>
      </c>
      <c r="L888" s="5" t="s">
        <v>253</v>
      </c>
      <c r="M888" s="133" t="s">
        <v>100</v>
      </c>
    </row>
    <row r="889" spans="2:13" x14ac:dyDescent="0.35">
      <c r="B889" s="4" t="s">
        <v>104</v>
      </c>
      <c r="C889" s="104" t="s">
        <v>154</v>
      </c>
      <c r="D889" s="105">
        <v>211435</v>
      </c>
      <c r="E889" s="105">
        <v>404</v>
      </c>
      <c r="F889" s="101">
        <v>69769.7</v>
      </c>
      <c r="G889" s="5" t="s">
        <v>106</v>
      </c>
      <c r="H889" s="105">
        <v>183</v>
      </c>
      <c r="I889" s="70" t="s">
        <v>107</v>
      </c>
      <c r="J889" s="5" t="s">
        <v>116</v>
      </c>
      <c r="K889" s="101">
        <f>+K888+Tabla6[[#This Row],[IMPORTE]]</f>
        <v>38519825.299999654</v>
      </c>
      <c r="L889" s="5" t="s">
        <v>255</v>
      </c>
      <c r="M889" s="133" t="s">
        <v>100</v>
      </c>
    </row>
    <row r="890" spans="2:13" x14ac:dyDescent="0.35">
      <c r="B890" s="4" t="s">
        <v>117</v>
      </c>
      <c r="C890" s="104" t="s">
        <v>154</v>
      </c>
      <c r="D890" s="105">
        <v>966089</v>
      </c>
      <c r="E890" s="105">
        <v>404</v>
      </c>
      <c r="F890" s="101">
        <v>78460.92</v>
      </c>
      <c r="G890" s="5" t="s">
        <v>129</v>
      </c>
      <c r="H890" s="105">
        <v>4098</v>
      </c>
      <c r="I890" s="105">
        <v>30717862453</v>
      </c>
      <c r="J890" s="5" t="s">
        <v>130</v>
      </c>
      <c r="K890" s="101">
        <f>+K889+Tabla6[[#This Row],[IMPORTE]]</f>
        <v>38598286.219999656</v>
      </c>
      <c r="L890" s="5" t="s">
        <v>253</v>
      </c>
      <c r="M890" s="133" t="s">
        <v>100</v>
      </c>
    </row>
    <row r="891" spans="2:13" x14ac:dyDescent="0.35">
      <c r="B891" s="4" t="s">
        <v>104</v>
      </c>
      <c r="C891" s="104" t="s">
        <v>154</v>
      </c>
      <c r="D891" s="105">
        <v>211437</v>
      </c>
      <c r="E891" s="105">
        <v>404</v>
      </c>
      <c r="F891" s="101">
        <v>88797.8</v>
      </c>
      <c r="G891" s="5" t="s">
        <v>106</v>
      </c>
      <c r="H891" s="105">
        <v>183</v>
      </c>
      <c r="I891" s="70" t="s">
        <v>107</v>
      </c>
      <c r="J891" s="5" t="s">
        <v>110</v>
      </c>
      <c r="K891" s="101">
        <f>+K890+Tabla6[[#This Row],[IMPORTE]]</f>
        <v>38687084.019999653</v>
      </c>
      <c r="L891" s="5" t="s">
        <v>255</v>
      </c>
      <c r="M891" s="133" t="s">
        <v>100</v>
      </c>
    </row>
    <row r="892" spans="2:13" x14ac:dyDescent="0.35">
      <c r="B892" s="4" t="s">
        <v>117</v>
      </c>
      <c r="C892" s="104" t="s">
        <v>154</v>
      </c>
      <c r="D892" s="105">
        <v>393704</v>
      </c>
      <c r="E892" s="105">
        <v>404</v>
      </c>
      <c r="F892" s="101">
        <v>96556.2</v>
      </c>
      <c r="G892" s="5" t="s">
        <v>129</v>
      </c>
      <c r="H892" s="105">
        <v>4098</v>
      </c>
      <c r="I892" s="105">
        <v>30717862453</v>
      </c>
      <c r="J892" s="5" t="s">
        <v>130</v>
      </c>
      <c r="K892" s="101">
        <f>+K891+Tabla6[[#This Row],[IMPORTE]]</f>
        <v>38783640.219999656</v>
      </c>
      <c r="L892" s="5" t="s">
        <v>253</v>
      </c>
      <c r="M892" s="133" t="s">
        <v>100</v>
      </c>
    </row>
    <row r="893" spans="2:13" x14ac:dyDescent="0.35">
      <c r="B893" s="4" t="s">
        <v>104</v>
      </c>
      <c r="C893" s="104" t="s">
        <v>154</v>
      </c>
      <c r="D893" s="105">
        <v>211408</v>
      </c>
      <c r="E893" s="105">
        <v>404</v>
      </c>
      <c r="F893" s="101">
        <v>104486.33</v>
      </c>
      <c r="G893" s="5" t="s">
        <v>106</v>
      </c>
      <c r="H893" s="105">
        <v>183</v>
      </c>
      <c r="I893" s="70" t="s">
        <v>107</v>
      </c>
      <c r="J893" s="5" t="s">
        <v>111</v>
      </c>
      <c r="K893" s="101">
        <f>+K892+Tabla6[[#This Row],[IMPORTE]]</f>
        <v>38888126.549999654</v>
      </c>
      <c r="L893" s="5" t="s">
        <v>256</v>
      </c>
      <c r="M893" s="133" t="s">
        <v>100</v>
      </c>
    </row>
    <row r="894" spans="2:13" x14ac:dyDescent="0.35">
      <c r="B894" s="4" t="s">
        <v>104</v>
      </c>
      <c r="C894" s="104" t="s">
        <v>154</v>
      </c>
      <c r="D894" s="105">
        <v>211444</v>
      </c>
      <c r="E894" s="105">
        <v>404</v>
      </c>
      <c r="F894" s="101">
        <v>108781.35</v>
      </c>
      <c r="G894" s="5" t="s">
        <v>106</v>
      </c>
      <c r="H894" s="105">
        <v>183</v>
      </c>
      <c r="I894" s="70" t="s">
        <v>107</v>
      </c>
      <c r="J894" s="5" t="s">
        <v>113</v>
      </c>
      <c r="K894" s="101">
        <f>+K893+Tabla6[[#This Row],[IMPORTE]]</f>
        <v>38996907.899999656</v>
      </c>
      <c r="L894" s="5" t="s">
        <v>256</v>
      </c>
      <c r="M894" s="133" t="s">
        <v>100</v>
      </c>
    </row>
    <row r="895" spans="2:13" x14ac:dyDescent="0.35">
      <c r="B895" s="4" t="s">
        <v>104</v>
      </c>
      <c r="C895" s="104" t="s">
        <v>154</v>
      </c>
      <c r="D895" s="105">
        <v>211409</v>
      </c>
      <c r="E895" s="105">
        <v>404</v>
      </c>
      <c r="F895" s="101">
        <v>115889.51</v>
      </c>
      <c r="G895" s="5" t="s">
        <v>106</v>
      </c>
      <c r="H895" s="105">
        <v>183</v>
      </c>
      <c r="I895" s="70" t="s">
        <v>107</v>
      </c>
      <c r="J895" s="5" t="s">
        <v>108</v>
      </c>
      <c r="K895" s="101">
        <f>+K894+Tabla6[[#This Row],[IMPORTE]]</f>
        <v>39112797.409999654</v>
      </c>
      <c r="L895" s="5" t="s">
        <v>256</v>
      </c>
      <c r="M895" s="133" t="s">
        <v>100</v>
      </c>
    </row>
    <row r="896" spans="2:13" x14ac:dyDescent="0.35">
      <c r="B896" s="4" t="s">
        <v>117</v>
      </c>
      <c r="C896" s="104" t="s">
        <v>154</v>
      </c>
      <c r="D896" s="105">
        <v>436679</v>
      </c>
      <c r="E896" s="105">
        <v>404</v>
      </c>
      <c r="F896" s="101">
        <v>118864.35</v>
      </c>
      <c r="G896" s="5" t="s">
        <v>129</v>
      </c>
      <c r="H896" s="105">
        <v>4098</v>
      </c>
      <c r="I896" s="105">
        <v>30717862453</v>
      </c>
      <c r="J896" s="5" t="s">
        <v>130</v>
      </c>
      <c r="K896" s="101">
        <f>+K895+Tabla6[[#This Row],[IMPORTE]]</f>
        <v>39231661.759999655</v>
      </c>
      <c r="L896" s="5" t="s">
        <v>253</v>
      </c>
      <c r="M896" s="133" t="s">
        <v>100</v>
      </c>
    </row>
    <row r="897" spans="2:13" x14ac:dyDescent="0.35">
      <c r="B897" s="4" t="s">
        <v>104</v>
      </c>
      <c r="C897" s="104" t="s">
        <v>154</v>
      </c>
      <c r="D897" s="105">
        <v>211439</v>
      </c>
      <c r="E897" s="105">
        <v>404</v>
      </c>
      <c r="F897" s="101">
        <v>119242.76</v>
      </c>
      <c r="G897" s="5" t="s">
        <v>106</v>
      </c>
      <c r="H897" s="105">
        <v>183</v>
      </c>
      <c r="I897" s="70" t="s">
        <v>107</v>
      </c>
      <c r="J897" s="5" t="s">
        <v>115</v>
      </c>
      <c r="K897" s="101">
        <f>+K896+Tabla6[[#This Row],[IMPORTE]]</f>
        <v>39350904.519999653</v>
      </c>
      <c r="L897" s="5" t="s">
        <v>255</v>
      </c>
      <c r="M897" s="133" t="s">
        <v>100</v>
      </c>
    </row>
    <row r="898" spans="2:13" x14ac:dyDescent="0.35">
      <c r="B898" s="4" t="s">
        <v>117</v>
      </c>
      <c r="C898" s="104" t="s">
        <v>154</v>
      </c>
      <c r="D898" s="105">
        <v>504493</v>
      </c>
      <c r="E898" s="105">
        <v>404</v>
      </c>
      <c r="F898" s="101">
        <v>128741.6</v>
      </c>
      <c r="G898" s="5" t="s">
        <v>129</v>
      </c>
      <c r="H898" s="105">
        <v>4098</v>
      </c>
      <c r="I898" s="105">
        <v>30717862453</v>
      </c>
      <c r="J898" s="5" t="s">
        <v>130</v>
      </c>
      <c r="K898" s="101">
        <f>+K897+Tabla6[[#This Row],[IMPORTE]]</f>
        <v>39479646.119999655</v>
      </c>
      <c r="L898" s="5" t="s">
        <v>253</v>
      </c>
      <c r="M898" s="133" t="s">
        <v>100</v>
      </c>
    </row>
    <row r="899" spans="2:13" x14ac:dyDescent="0.35">
      <c r="B899" s="4" t="s">
        <v>117</v>
      </c>
      <c r="C899" s="104" t="s">
        <v>154</v>
      </c>
      <c r="D899" s="105">
        <v>510516</v>
      </c>
      <c r="E899" s="105">
        <v>404</v>
      </c>
      <c r="F899" s="101">
        <v>128741.6</v>
      </c>
      <c r="G899" s="5" t="s">
        <v>129</v>
      </c>
      <c r="H899" s="105">
        <v>4098</v>
      </c>
      <c r="I899" s="105">
        <v>30717862453</v>
      </c>
      <c r="J899" s="5" t="s">
        <v>130</v>
      </c>
      <c r="K899" s="101">
        <f>+K898+Tabla6[[#This Row],[IMPORTE]]</f>
        <v>39608387.719999656</v>
      </c>
      <c r="L899" s="5" t="s">
        <v>253</v>
      </c>
      <c r="M899" s="133" t="s">
        <v>100</v>
      </c>
    </row>
    <row r="900" spans="2:13" x14ac:dyDescent="0.35">
      <c r="B900" s="4" t="s">
        <v>117</v>
      </c>
      <c r="C900" s="104" t="s">
        <v>154</v>
      </c>
      <c r="D900" s="105">
        <v>969227</v>
      </c>
      <c r="E900" s="105">
        <v>404</v>
      </c>
      <c r="F900" s="101">
        <v>128741.6</v>
      </c>
      <c r="G900" s="5" t="s">
        <v>129</v>
      </c>
      <c r="H900" s="105">
        <v>4098</v>
      </c>
      <c r="I900" s="105">
        <v>30717862453</v>
      </c>
      <c r="J900" s="5" t="s">
        <v>130</v>
      </c>
      <c r="K900" s="101">
        <f>+K899+Tabla6[[#This Row],[IMPORTE]]</f>
        <v>39737129.319999658</v>
      </c>
      <c r="L900" s="5" t="s">
        <v>253</v>
      </c>
      <c r="M900" s="133" t="s">
        <v>100</v>
      </c>
    </row>
    <row r="901" spans="2:13" x14ac:dyDescent="0.35">
      <c r="B901" s="4" t="s">
        <v>117</v>
      </c>
      <c r="C901" s="104" t="s">
        <v>154</v>
      </c>
      <c r="D901" s="105">
        <v>352950</v>
      </c>
      <c r="E901" s="105">
        <v>404</v>
      </c>
      <c r="F901" s="101">
        <v>176863.16</v>
      </c>
      <c r="G901" s="5" t="s">
        <v>129</v>
      </c>
      <c r="H901" s="105">
        <v>4098</v>
      </c>
      <c r="I901" s="105">
        <v>30717862453</v>
      </c>
      <c r="J901" s="5" t="s">
        <v>130</v>
      </c>
      <c r="K901" s="101">
        <f>+K900+Tabla6[[#This Row],[IMPORTE]]</f>
        <v>39913992.479999654</v>
      </c>
      <c r="L901" s="5" t="s">
        <v>253</v>
      </c>
      <c r="M901" s="133" t="s">
        <v>100</v>
      </c>
    </row>
    <row r="902" spans="2:13" x14ac:dyDescent="0.35">
      <c r="B902" s="4" t="s">
        <v>104</v>
      </c>
      <c r="C902" s="104" t="s">
        <v>154</v>
      </c>
      <c r="D902" s="105">
        <v>211442</v>
      </c>
      <c r="E902" s="105">
        <v>404</v>
      </c>
      <c r="F902" s="101">
        <v>177595.6</v>
      </c>
      <c r="G902" s="5" t="s">
        <v>106</v>
      </c>
      <c r="H902" s="105">
        <v>183</v>
      </c>
      <c r="I902" s="70" t="s">
        <v>107</v>
      </c>
      <c r="J902" s="5" t="s">
        <v>109</v>
      </c>
      <c r="K902" s="101">
        <f>+K901+Tabla6[[#This Row],[IMPORTE]]</f>
        <v>40091588.079999655</v>
      </c>
      <c r="L902" s="5" t="s">
        <v>254</v>
      </c>
      <c r="M902" s="133" t="s">
        <v>100</v>
      </c>
    </row>
    <row r="903" spans="2:13" x14ac:dyDescent="0.35">
      <c r="B903" s="4" t="s">
        <v>104</v>
      </c>
      <c r="C903" s="104" t="s">
        <v>154</v>
      </c>
      <c r="D903" s="105">
        <v>211436</v>
      </c>
      <c r="E903" s="105">
        <v>404</v>
      </c>
      <c r="F903" s="101">
        <v>265515.21999999997</v>
      </c>
      <c r="G903" s="5" t="s">
        <v>106</v>
      </c>
      <c r="H903" s="105">
        <v>183</v>
      </c>
      <c r="I903" s="70" t="s">
        <v>107</v>
      </c>
      <c r="J903" s="5" t="s">
        <v>116</v>
      </c>
      <c r="K903" s="101">
        <f>+K902+Tabla6[[#This Row],[IMPORTE]]</f>
        <v>40357103.299999654</v>
      </c>
      <c r="L903" s="5" t="s">
        <v>256</v>
      </c>
      <c r="M903" s="133" t="s">
        <v>100</v>
      </c>
    </row>
    <row r="904" spans="2:13" x14ac:dyDescent="0.35">
      <c r="B904" s="4" t="s">
        <v>117</v>
      </c>
      <c r="C904" s="104" t="s">
        <v>154</v>
      </c>
      <c r="D904" s="105">
        <v>372500</v>
      </c>
      <c r="E904" s="105">
        <v>404</v>
      </c>
      <c r="F904" s="101">
        <v>322574.96000000002</v>
      </c>
      <c r="G904" s="5" t="s">
        <v>129</v>
      </c>
      <c r="H904" s="105">
        <v>4098</v>
      </c>
      <c r="I904" s="105">
        <v>30717862453</v>
      </c>
      <c r="J904" s="5" t="s">
        <v>130</v>
      </c>
      <c r="K904" s="101">
        <f>+K903+Tabla6[[#This Row],[IMPORTE]]</f>
        <v>40679678.259999655</v>
      </c>
      <c r="L904" s="5" t="s">
        <v>253</v>
      </c>
      <c r="M904" s="133" t="s">
        <v>100</v>
      </c>
    </row>
    <row r="905" spans="2:13" x14ac:dyDescent="0.35">
      <c r="B905" s="4" t="s">
        <v>117</v>
      </c>
      <c r="C905" s="104" t="s">
        <v>154</v>
      </c>
      <c r="D905" s="105">
        <v>749025</v>
      </c>
      <c r="E905" s="105">
        <v>404</v>
      </c>
      <c r="F905" s="101">
        <v>324428.83</v>
      </c>
      <c r="G905" s="5" t="s">
        <v>129</v>
      </c>
      <c r="H905" s="105">
        <v>4098</v>
      </c>
      <c r="I905" s="105">
        <v>30717862453</v>
      </c>
      <c r="J905" s="5" t="s">
        <v>130</v>
      </c>
      <c r="K905" s="101">
        <f>+K904+Tabla6[[#This Row],[IMPORTE]]</f>
        <v>41004107.089999653</v>
      </c>
      <c r="L905" s="5" t="s">
        <v>253</v>
      </c>
      <c r="M905" s="133" t="s">
        <v>100</v>
      </c>
    </row>
    <row r="906" spans="2:13" x14ac:dyDescent="0.35">
      <c r="B906" s="4" t="s">
        <v>104</v>
      </c>
      <c r="C906" s="104" t="s">
        <v>154</v>
      </c>
      <c r="D906" s="105">
        <v>211445</v>
      </c>
      <c r="E906" s="105">
        <v>404</v>
      </c>
      <c r="F906" s="101">
        <v>368586.99</v>
      </c>
      <c r="G906" s="5" t="s">
        <v>106</v>
      </c>
      <c r="H906" s="105">
        <v>183</v>
      </c>
      <c r="I906" s="70" t="s">
        <v>107</v>
      </c>
      <c r="J906" s="5" t="s">
        <v>113</v>
      </c>
      <c r="K906" s="101">
        <f>+K905+Tabla6[[#This Row],[IMPORTE]]</f>
        <v>41372694.079999655</v>
      </c>
      <c r="L906" s="5" t="s">
        <v>254</v>
      </c>
      <c r="M906" s="133" t="s">
        <v>100</v>
      </c>
    </row>
    <row r="907" spans="2:13" x14ac:dyDescent="0.35">
      <c r="B907" s="4" t="s">
        <v>104</v>
      </c>
      <c r="C907" s="104" t="s">
        <v>154</v>
      </c>
      <c r="D907" s="105">
        <v>211440</v>
      </c>
      <c r="E907" s="105">
        <v>404</v>
      </c>
      <c r="F907" s="101">
        <v>569337.49</v>
      </c>
      <c r="G907" s="5" t="s">
        <v>106</v>
      </c>
      <c r="H907" s="105">
        <v>183</v>
      </c>
      <c r="I907" s="70" t="s">
        <v>107</v>
      </c>
      <c r="J907" s="5" t="s">
        <v>115</v>
      </c>
      <c r="K907" s="101">
        <f>+K906+Tabla6[[#This Row],[IMPORTE]]</f>
        <v>41942031.569999658</v>
      </c>
      <c r="L907" s="5" t="s">
        <v>256</v>
      </c>
      <c r="M907" s="133" t="s">
        <v>100</v>
      </c>
    </row>
    <row r="908" spans="2:13" x14ac:dyDescent="0.35">
      <c r="B908" s="4" t="s">
        <v>104</v>
      </c>
      <c r="C908" s="104" t="s">
        <v>154</v>
      </c>
      <c r="D908" s="105">
        <v>211434</v>
      </c>
      <c r="E908" s="105">
        <v>404</v>
      </c>
      <c r="F908" s="101">
        <v>1494818.92</v>
      </c>
      <c r="G908" s="5" t="s">
        <v>106</v>
      </c>
      <c r="H908" s="105">
        <v>183</v>
      </c>
      <c r="I908" s="70" t="s">
        <v>107</v>
      </c>
      <c r="J908" s="5" t="s">
        <v>112</v>
      </c>
      <c r="K908" s="101">
        <f>+K907+Tabla6[[#This Row],[IMPORTE]]</f>
        <v>43436850.489999659</v>
      </c>
      <c r="L908" s="5" t="s">
        <v>256</v>
      </c>
      <c r="M908" s="133" t="s">
        <v>100</v>
      </c>
    </row>
    <row r="909" spans="2:13" x14ac:dyDescent="0.35">
      <c r="B909" s="4" t="s">
        <v>117</v>
      </c>
      <c r="C909" s="104" t="s">
        <v>154</v>
      </c>
      <c r="D909" s="105">
        <v>117</v>
      </c>
      <c r="E909" s="105">
        <v>811</v>
      </c>
      <c r="F909" s="101">
        <v>3775722.89</v>
      </c>
      <c r="G909" s="5" t="s">
        <v>118</v>
      </c>
      <c r="H909" s="105">
        <v>4151</v>
      </c>
      <c r="I909" s="70" t="s">
        <v>107</v>
      </c>
      <c r="J909" s="5" t="s">
        <v>119</v>
      </c>
      <c r="K909" s="101">
        <f>+K908+Tabla6[[#This Row],[IMPORTE]]</f>
        <v>47212573.37999966</v>
      </c>
      <c r="L909" s="5" t="s">
        <v>257</v>
      </c>
      <c r="M909" s="133" t="s">
        <v>100</v>
      </c>
    </row>
    <row r="910" spans="2:13" x14ac:dyDescent="0.35">
      <c r="B910" s="4" t="s">
        <v>132</v>
      </c>
      <c r="C910" s="104" t="s">
        <v>154</v>
      </c>
      <c r="D910" s="105">
        <v>116</v>
      </c>
      <c r="E910" s="105">
        <v>811</v>
      </c>
      <c r="F910" s="101">
        <v>-225903.94</v>
      </c>
      <c r="G910" s="5" t="s">
        <v>142</v>
      </c>
      <c r="H910" s="105">
        <v>4458</v>
      </c>
      <c r="I910" s="70" t="s">
        <v>107</v>
      </c>
      <c r="J910" s="5" t="s">
        <v>127</v>
      </c>
      <c r="K910" s="101">
        <f>+K909+Tabla6[[#This Row],[IMPORTE]]</f>
        <v>46986669.439999662</v>
      </c>
      <c r="L910" s="5" t="s">
        <v>257</v>
      </c>
      <c r="M910" s="133" t="s">
        <v>100</v>
      </c>
    </row>
    <row r="911" spans="2:13" x14ac:dyDescent="0.35">
      <c r="B911" s="4" t="s">
        <v>117</v>
      </c>
      <c r="C911" s="104" t="s">
        <v>155</v>
      </c>
      <c r="D911" s="105">
        <v>22995</v>
      </c>
      <c r="E911" s="105">
        <v>404</v>
      </c>
      <c r="F911" s="101">
        <v>257.56</v>
      </c>
      <c r="G911" s="5" t="s">
        <v>129</v>
      </c>
      <c r="H911" s="105">
        <v>4098</v>
      </c>
      <c r="I911" s="105">
        <v>30717862453</v>
      </c>
      <c r="J911" s="5" t="s">
        <v>130</v>
      </c>
      <c r="K911" s="101">
        <f>+K910+Tabla6[[#This Row],[IMPORTE]]</f>
        <v>46986926.999999665</v>
      </c>
      <c r="L911" s="5" t="s">
        <v>258</v>
      </c>
      <c r="M911" s="133" t="s">
        <v>100</v>
      </c>
    </row>
    <row r="912" spans="2:13" x14ac:dyDescent="0.35">
      <c r="B912" s="4" t="s">
        <v>117</v>
      </c>
      <c r="C912" s="104" t="s">
        <v>155</v>
      </c>
      <c r="D912" s="105">
        <v>210651</v>
      </c>
      <c r="E912" s="105">
        <v>404</v>
      </c>
      <c r="F912" s="101">
        <v>21796.07</v>
      </c>
      <c r="G912" s="5" t="s">
        <v>129</v>
      </c>
      <c r="H912" s="105">
        <v>4098</v>
      </c>
      <c r="I912" s="105">
        <v>30717862453</v>
      </c>
      <c r="J912" s="5" t="s">
        <v>130</v>
      </c>
      <c r="K912" s="101">
        <f>+K911+Tabla6[[#This Row],[IMPORTE]]</f>
        <v>47008723.069999665</v>
      </c>
      <c r="L912" s="5" t="s">
        <v>258</v>
      </c>
      <c r="M912" s="133" t="s">
        <v>100</v>
      </c>
    </row>
    <row r="913" spans="2:13" x14ac:dyDescent="0.35">
      <c r="B913" s="4" t="s">
        <v>117</v>
      </c>
      <c r="C913" s="104" t="s">
        <v>155</v>
      </c>
      <c r="D913" s="105">
        <v>951734</v>
      </c>
      <c r="E913" s="105">
        <v>404</v>
      </c>
      <c r="F913" s="101">
        <v>29504.09</v>
      </c>
      <c r="G913" s="5" t="s">
        <v>129</v>
      </c>
      <c r="H913" s="105">
        <v>4098</v>
      </c>
      <c r="I913" s="105">
        <v>30717862453</v>
      </c>
      <c r="J913" s="5" t="s">
        <v>130</v>
      </c>
      <c r="K913" s="101">
        <f>+K912+Tabla6[[#This Row],[IMPORTE]]</f>
        <v>47038227.159999669</v>
      </c>
      <c r="L913" s="5" t="s">
        <v>258</v>
      </c>
      <c r="M913" s="133" t="s">
        <v>100</v>
      </c>
    </row>
    <row r="914" spans="2:13" x14ac:dyDescent="0.35">
      <c r="B914" s="4" t="s">
        <v>104</v>
      </c>
      <c r="C914" s="104" t="s">
        <v>155</v>
      </c>
      <c r="D914" s="105">
        <v>198482</v>
      </c>
      <c r="E914" s="105">
        <v>404</v>
      </c>
      <c r="F914" s="101">
        <v>30525.69</v>
      </c>
      <c r="G914" s="5" t="s">
        <v>106</v>
      </c>
      <c r="H914" s="105">
        <v>183</v>
      </c>
      <c r="I914" s="70" t="s">
        <v>107</v>
      </c>
      <c r="J914" s="5" t="s">
        <v>108</v>
      </c>
      <c r="K914" s="101">
        <f>+K913+Tabla6[[#This Row],[IMPORTE]]</f>
        <v>47068752.849999666</v>
      </c>
      <c r="L914" s="5" t="s">
        <v>259</v>
      </c>
      <c r="M914" s="133" t="s">
        <v>100</v>
      </c>
    </row>
    <row r="915" spans="2:13" x14ac:dyDescent="0.35">
      <c r="B915" s="4" t="s">
        <v>104</v>
      </c>
      <c r="C915" s="104" t="s">
        <v>155</v>
      </c>
      <c r="D915" s="105">
        <v>198509</v>
      </c>
      <c r="E915" s="105">
        <v>404</v>
      </c>
      <c r="F915" s="101">
        <v>30822.48</v>
      </c>
      <c r="G915" s="5" t="s">
        <v>106</v>
      </c>
      <c r="H915" s="105">
        <v>183</v>
      </c>
      <c r="I915" s="70" t="s">
        <v>107</v>
      </c>
      <c r="J915" s="5" t="s">
        <v>110</v>
      </c>
      <c r="K915" s="101">
        <f>+K914+Tabla6[[#This Row],[IMPORTE]]</f>
        <v>47099575.329999663</v>
      </c>
      <c r="L915" s="5" t="s">
        <v>259</v>
      </c>
      <c r="M915" s="133" t="s">
        <v>100</v>
      </c>
    </row>
    <row r="916" spans="2:13" x14ac:dyDescent="0.35">
      <c r="B916" s="4" t="s">
        <v>117</v>
      </c>
      <c r="C916" s="104" t="s">
        <v>155</v>
      </c>
      <c r="D916" s="105">
        <v>263514</v>
      </c>
      <c r="E916" s="105">
        <v>404</v>
      </c>
      <c r="F916" s="101">
        <v>34249.230000000003</v>
      </c>
      <c r="G916" s="5" t="s">
        <v>129</v>
      </c>
      <c r="H916" s="105">
        <v>4098</v>
      </c>
      <c r="I916" s="105">
        <v>30717862453</v>
      </c>
      <c r="J916" s="5" t="s">
        <v>130</v>
      </c>
      <c r="K916" s="101">
        <f>+K915+Tabla6[[#This Row],[IMPORTE]]</f>
        <v>47133824.55999966</v>
      </c>
      <c r="L916" s="5" t="s">
        <v>258</v>
      </c>
      <c r="M916" s="133" t="s">
        <v>100</v>
      </c>
    </row>
    <row r="917" spans="2:13" x14ac:dyDescent="0.35">
      <c r="B917" s="4" t="s">
        <v>104</v>
      </c>
      <c r="C917" s="104" t="s">
        <v>155</v>
      </c>
      <c r="D917" s="105">
        <v>198507</v>
      </c>
      <c r="E917" s="105">
        <v>404</v>
      </c>
      <c r="F917" s="101">
        <v>38056.199999999997</v>
      </c>
      <c r="G917" s="5" t="s">
        <v>106</v>
      </c>
      <c r="H917" s="105">
        <v>183</v>
      </c>
      <c r="I917" s="70" t="s">
        <v>107</v>
      </c>
      <c r="J917" s="5" t="s">
        <v>116</v>
      </c>
      <c r="K917" s="101">
        <f>+K916+Tabla6[[#This Row],[IMPORTE]]</f>
        <v>47171880.759999663</v>
      </c>
      <c r="L917" s="5" t="s">
        <v>259</v>
      </c>
      <c r="M917" s="133" t="s">
        <v>100</v>
      </c>
    </row>
    <row r="918" spans="2:13" x14ac:dyDescent="0.35">
      <c r="B918" s="4" t="s">
        <v>117</v>
      </c>
      <c r="C918" s="104" t="s">
        <v>155</v>
      </c>
      <c r="D918" s="105">
        <v>937629</v>
      </c>
      <c r="E918" s="105">
        <v>404</v>
      </c>
      <c r="F918" s="101">
        <v>47895.15</v>
      </c>
      <c r="G918" s="5" t="s">
        <v>129</v>
      </c>
      <c r="H918" s="105">
        <v>4098</v>
      </c>
      <c r="I918" s="105">
        <v>30717862453</v>
      </c>
      <c r="J918" s="5" t="s">
        <v>130</v>
      </c>
      <c r="K918" s="101">
        <f>+K917+Tabla6[[#This Row],[IMPORTE]]</f>
        <v>47219775.909999661</v>
      </c>
      <c r="L918" s="5" t="s">
        <v>258</v>
      </c>
      <c r="M918" s="133" t="s">
        <v>100</v>
      </c>
    </row>
    <row r="919" spans="2:13" x14ac:dyDescent="0.35">
      <c r="B919" s="4" t="s">
        <v>104</v>
      </c>
      <c r="C919" s="104" t="s">
        <v>155</v>
      </c>
      <c r="D919" s="105">
        <v>198512</v>
      </c>
      <c r="E919" s="105">
        <v>404</v>
      </c>
      <c r="F919" s="101">
        <v>51244.959999999999</v>
      </c>
      <c r="G919" s="5" t="s">
        <v>106</v>
      </c>
      <c r="H919" s="105">
        <v>183</v>
      </c>
      <c r="I919" s="70" t="s">
        <v>107</v>
      </c>
      <c r="J919" s="5" t="s">
        <v>109</v>
      </c>
      <c r="K919" s="101">
        <f>+K918+Tabla6[[#This Row],[IMPORTE]]</f>
        <v>47271020.869999662</v>
      </c>
      <c r="L919" s="5" t="s">
        <v>259</v>
      </c>
      <c r="M919" s="133" t="s">
        <v>100</v>
      </c>
    </row>
    <row r="920" spans="2:13" x14ac:dyDescent="0.35">
      <c r="B920" s="4" t="s">
        <v>117</v>
      </c>
      <c r="C920" s="104" t="s">
        <v>155</v>
      </c>
      <c r="D920" s="105">
        <v>911433</v>
      </c>
      <c r="E920" s="105">
        <v>404</v>
      </c>
      <c r="F920" s="101">
        <v>55944.18</v>
      </c>
      <c r="G920" s="5" t="s">
        <v>129</v>
      </c>
      <c r="H920" s="105">
        <v>4098</v>
      </c>
      <c r="I920" s="105">
        <v>30717862453</v>
      </c>
      <c r="J920" s="5" t="s">
        <v>130</v>
      </c>
      <c r="K920" s="101">
        <f>+K919+Tabla6[[#This Row],[IMPORTE]]</f>
        <v>47326965.049999662</v>
      </c>
      <c r="L920" s="5" t="s">
        <v>258</v>
      </c>
      <c r="M920" s="133" t="s">
        <v>100</v>
      </c>
    </row>
    <row r="921" spans="2:13" x14ac:dyDescent="0.35">
      <c r="B921" s="4" t="s">
        <v>104</v>
      </c>
      <c r="C921" s="104" t="s">
        <v>155</v>
      </c>
      <c r="D921" s="105">
        <v>198504</v>
      </c>
      <c r="E921" s="105">
        <v>404</v>
      </c>
      <c r="F921" s="101">
        <v>57084.3</v>
      </c>
      <c r="G921" s="5" t="s">
        <v>106</v>
      </c>
      <c r="H921" s="105">
        <v>183</v>
      </c>
      <c r="I921" s="70" t="s">
        <v>107</v>
      </c>
      <c r="J921" s="5" t="s">
        <v>112</v>
      </c>
      <c r="K921" s="101">
        <f>+K920+Tabla6[[#This Row],[IMPORTE]]</f>
        <v>47384049.349999659</v>
      </c>
      <c r="L921" s="5" t="s">
        <v>259</v>
      </c>
      <c r="M921" s="133" t="s">
        <v>100</v>
      </c>
    </row>
    <row r="922" spans="2:13" x14ac:dyDescent="0.35">
      <c r="B922" s="4" t="s">
        <v>104</v>
      </c>
      <c r="C922" s="104" t="s">
        <v>155</v>
      </c>
      <c r="D922" s="105">
        <v>198508</v>
      </c>
      <c r="E922" s="105">
        <v>404</v>
      </c>
      <c r="F922" s="101">
        <v>63427</v>
      </c>
      <c r="G922" s="5" t="s">
        <v>106</v>
      </c>
      <c r="H922" s="105">
        <v>183</v>
      </c>
      <c r="I922" s="70" t="s">
        <v>107</v>
      </c>
      <c r="J922" s="5" t="s">
        <v>110</v>
      </c>
      <c r="K922" s="101">
        <f>+K921+Tabla6[[#This Row],[IMPORTE]]</f>
        <v>47447476.349999659</v>
      </c>
      <c r="L922" s="5" t="s">
        <v>259</v>
      </c>
      <c r="M922" s="133" t="s">
        <v>100</v>
      </c>
    </row>
    <row r="923" spans="2:13" x14ac:dyDescent="0.35">
      <c r="B923" s="4" t="s">
        <v>104</v>
      </c>
      <c r="C923" s="104" t="s">
        <v>155</v>
      </c>
      <c r="D923" s="105">
        <v>198510</v>
      </c>
      <c r="E923" s="105">
        <v>404</v>
      </c>
      <c r="F923" s="101">
        <v>87529.26</v>
      </c>
      <c r="G923" s="5" t="s">
        <v>106</v>
      </c>
      <c r="H923" s="105">
        <v>183</v>
      </c>
      <c r="I923" s="70" t="s">
        <v>107</v>
      </c>
      <c r="J923" s="5" t="s">
        <v>115</v>
      </c>
      <c r="K923" s="101">
        <f>+K922+Tabla6[[#This Row],[IMPORTE]]</f>
        <v>47535005.609999657</v>
      </c>
      <c r="L923" s="5" t="s">
        <v>259</v>
      </c>
      <c r="M923" s="133" t="s">
        <v>100</v>
      </c>
    </row>
    <row r="924" spans="2:13" x14ac:dyDescent="0.35">
      <c r="B924" s="4" t="s">
        <v>104</v>
      </c>
      <c r="C924" s="104" t="s">
        <v>155</v>
      </c>
      <c r="D924" s="105">
        <v>198481</v>
      </c>
      <c r="E924" s="105">
        <v>404</v>
      </c>
      <c r="F924" s="101">
        <v>95549.03</v>
      </c>
      <c r="G924" s="5" t="s">
        <v>106</v>
      </c>
      <c r="H924" s="105">
        <v>183</v>
      </c>
      <c r="I924" s="70" t="s">
        <v>107</v>
      </c>
      <c r="J924" s="5" t="s">
        <v>111</v>
      </c>
      <c r="K924" s="101">
        <f>+K923+Tabla6[[#This Row],[IMPORTE]]</f>
        <v>47630554.639999658</v>
      </c>
      <c r="L924" s="5" t="s">
        <v>259</v>
      </c>
      <c r="M924" s="133" t="s">
        <v>100</v>
      </c>
    </row>
    <row r="925" spans="2:13" x14ac:dyDescent="0.35">
      <c r="B925" s="4" t="s">
        <v>117</v>
      </c>
      <c r="C925" s="104" t="s">
        <v>155</v>
      </c>
      <c r="D925" s="105">
        <v>918806</v>
      </c>
      <c r="E925" s="105">
        <v>404</v>
      </c>
      <c r="F925" s="101">
        <v>102993.28</v>
      </c>
      <c r="G925" s="5" t="s">
        <v>129</v>
      </c>
      <c r="H925" s="105">
        <v>4098</v>
      </c>
      <c r="I925" s="105">
        <v>30717862453</v>
      </c>
      <c r="J925" s="5" t="s">
        <v>130</v>
      </c>
      <c r="K925" s="101">
        <f>+K924+Tabla6[[#This Row],[IMPORTE]]</f>
        <v>47733547.919999659</v>
      </c>
      <c r="L925" s="5" t="s">
        <v>258</v>
      </c>
      <c r="M925" s="133" t="s">
        <v>100</v>
      </c>
    </row>
    <row r="926" spans="2:13" x14ac:dyDescent="0.35">
      <c r="B926" s="4" t="s">
        <v>117</v>
      </c>
      <c r="C926" s="104" t="s">
        <v>155</v>
      </c>
      <c r="D926" s="105">
        <v>861180</v>
      </c>
      <c r="E926" s="105">
        <v>404</v>
      </c>
      <c r="F926" s="101">
        <v>108676.35</v>
      </c>
      <c r="G926" s="5" t="s">
        <v>129</v>
      </c>
      <c r="H926" s="105">
        <v>4098</v>
      </c>
      <c r="I926" s="105">
        <v>30717862453</v>
      </c>
      <c r="J926" s="5" t="s">
        <v>130</v>
      </c>
      <c r="K926" s="101">
        <f>+K925+Tabla6[[#This Row],[IMPORTE]]</f>
        <v>47842224.269999661</v>
      </c>
      <c r="L926" s="5" t="s">
        <v>258</v>
      </c>
      <c r="M926" s="133" t="s">
        <v>100</v>
      </c>
    </row>
    <row r="927" spans="2:13" x14ac:dyDescent="0.35">
      <c r="B927" s="4" t="s">
        <v>117</v>
      </c>
      <c r="C927" s="104" t="s">
        <v>155</v>
      </c>
      <c r="D927" s="105">
        <v>960755</v>
      </c>
      <c r="E927" s="105">
        <v>404</v>
      </c>
      <c r="F927" s="101">
        <v>111454.88</v>
      </c>
      <c r="G927" s="5" t="s">
        <v>129</v>
      </c>
      <c r="H927" s="105">
        <v>4098</v>
      </c>
      <c r="I927" s="105">
        <v>30717862453</v>
      </c>
      <c r="J927" s="5" t="s">
        <v>130</v>
      </c>
      <c r="K927" s="101">
        <f>+K926+Tabla6[[#This Row],[IMPORTE]]</f>
        <v>47953679.149999663</v>
      </c>
      <c r="L927" s="5" t="s">
        <v>258</v>
      </c>
      <c r="M927" s="133" t="s">
        <v>100</v>
      </c>
    </row>
    <row r="928" spans="2:13" x14ac:dyDescent="0.35">
      <c r="B928" s="4" t="s">
        <v>117</v>
      </c>
      <c r="C928" s="104" t="s">
        <v>155</v>
      </c>
      <c r="D928" s="105">
        <v>39232</v>
      </c>
      <c r="E928" s="105">
        <v>404</v>
      </c>
      <c r="F928" s="101">
        <v>114294.32</v>
      </c>
      <c r="G928" s="5" t="s">
        <v>129</v>
      </c>
      <c r="H928" s="105">
        <v>4098</v>
      </c>
      <c r="I928" s="105">
        <v>30717862453</v>
      </c>
      <c r="J928" s="5" t="s">
        <v>130</v>
      </c>
      <c r="K928" s="101">
        <f>+K927+Tabla6[[#This Row],[IMPORTE]]</f>
        <v>48067973.469999664</v>
      </c>
      <c r="L928" s="5" t="s">
        <v>258</v>
      </c>
      <c r="M928" s="133" t="s">
        <v>100</v>
      </c>
    </row>
    <row r="929" spans="2:13" x14ac:dyDescent="0.35">
      <c r="B929" s="4" t="s">
        <v>117</v>
      </c>
      <c r="C929" s="104" t="s">
        <v>155</v>
      </c>
      <c r="D929" s="105">
        <v>164731</v>
      </c>
      <c r="E929" s="105">
        <v>404</v>
      </c>
      <c r="F929" s="101">
        <v>127284.83</v>
      </c>
      <c r="G929" s="5" t="s">
        <v>129</v>
      </c>
      <c r="H929" s="105">
        <v>4098</v>
      </c>
      <c r="I929" s="105">
        <v>30717862453</v>
      </c>
      <c r="J929" s="5" t="s">
        <v>130</v>
      </c>
      <c r="K929" s="101">
        <f>+K928+Tabla6[[#This Row],[IMPORTE]]</f>
        <v>48195258.299999662</v>
      </c>
      <c r="L929" s="5" t="s">
        <v>258</v>
      </c>
      <c r="M929" s="133" t="s">
        <v>100</v>
      </c>
    </row>
    <row r="930" spans="2:13" x14ac:dyDescent="0.35">
      <c r="B930" s="4" t="s">
        <v>117</v>
      </c>
      <c r="C930" s="104" t="s">
        <v>155</v>
      </c>
      <c r="D930" s="105">
        <v>39711</v>
      </c>
      <c r="E930" s="105">
        <v>404</v>
      </c>
      <c r="F930" s="101">
        <v>140613.41</v>
      </c>
      <c r="G930" s="5" t="s">
        <v>129</v>
      </c>
      <c r="H930" s="105">
        <v>4098</v>
      </c>
      <c r="I930" s="105">
        <v>30717862453</v>
      </c>
      <c r="J930" s="5" t="s">
        <v>130</v>
      </c>
      <c r="K930" s="101">
        <f>+K929+Tabla6[[#This Row],[IMPORTE]]</f>
        <v>48335871.709999658</v>
      </c>
      <c r="L930" s="5" t="s">
        <v>258</v>
      </c>
      <c r="M930" s="133" t="s">
        <v>100</v>
      </c>
    </row>
    <row r="931" spans="2:13" x14ac:dyDescent="0.35">
      <c r="B931" s="4" t="s">
        <v>117</v>
      </c>
      <c r="C931" s="104" t="s">
        <v>155</v>
      </c>
      <c r="D931" s="105">
        <v>900407</v>
      </c>
      <c r="E931" s="105">
        <v>404</v>
      </c>
      <c r="F931" s="101">
        <v>156096.82</v>
      </c>
      <c r="G931" s="5" t="s">
        <v>129</v>
      </c>
      <c r="H931" s="105">
        <v>4098</v>
      </c>
      <c r="I931" s="105">
        <v>30717862453</v>
      </c>
      <c r="J931" s="5" t="s">
        <v>130</v>
      </c>
      <c r="K931" s="101">
        <f>+K930+Tabla6[[#This Row],[IMPORTE]]</f>
        <v>48491968.529999658</v>
      </c>
      <c r="L931" s="5" t="s">
        <v>258</v>
      </c>
      <c r="M931" s="133" t="s">
        <v>100</v>
      </c>
    </row>
    <row r="932" spans="2:13" x14ac:dyDescent="0.35">
      <c r="B932" s="4" t="s">
        <v>104</v>
      </c>
      <c r="C932" s="104" t="s">
        <v>155</v>
      </c>
      <c r="D932" s="105">
        <v>198506</v>
      </c>
      <c r="E932" s="105">
        <v>404</v>
      </c>
      <c r="F932" s="101">
        <v>192207.04</v>
      </c>
      <c r="G932" s="5" t="s">
        <v>106</v>
      </c>
      <c r="H932" s="105">
        <v>183</v>
      </c>
      <c r="I932" s="70" t="s">
        <v>107</v>
      </c>
      <c r="J932" s="5" t="s">
        <v>150</v>
      </c>
      <c r="K932" s="101">
        <f>+K931+Tabla6[[#This Row],[IMPORTE]]</f>
        <v>48684175.569999658</v>
      </c>
      <c r="L932" s="5" t="s">
        <v>259</v>
      </c>
      <c r="M932" s="133" t="s">
        <v>100</v>
      </c>
    </row>
    <row r="933" spans="2:13" x14ac:dyDescent="0.35">
      <c r="B933" s="4" t="s">
        <v>117</v>
      </c>
      <c r="C933" s="104" t="s">
        <v>155</v>
      </c>
      <c r="D933" s="105">
        <v>747850</v>
      </c>
      <c r="E933" s="105">
        <v>404</v>
      </c>
      <c r="F933" s="101">
        <v>215049.96</v>
      </c>
      <c r="G933" s="5" t="s">
        <v>129</v>
      </c>
      <c r="H933" s="105">
        <v>4098</v>
      </c>
      <c r="I933" s="105">
        <v>30717862453</v>
      </c>
      <c r="J933" s="5" t="s">
        <v>130</v>
      </c>
      <c r="K933" s="101">
        <f>+K932+Tabla6[[#This Row],[IMPORTE]]</f>
        <v>48899225.529999658</v>
      </c>
      <c r="L933" s="5" t="s">
        <v>258</v>
      </c>
      <c r="M933" s="133" t="s">
        <v>100</v>
      </c>
    </row>
    <row r="934" spans="2:13" x14ac:dyDescent="0.35">
      <c r="B934" s="4" t="s">
        <v>117</v>
      </c>
      <c r="C934" s="104" t="s">
        <v>155</v>
      </c>
      <c r="D934" s="105">
        <v>93503</v>
      </c>
      <c r="E934" s="105">
        <v>404</v>
      </c>
      <c r="F934" s="101">
        <v>215381.87</v>
      </c>
      <c r="G934" s="5" t="s">
        <v>129</v>
      </c>
      <c r="H934" s="105">
        <v>4098</v>
      </c>
      <c r="I934" s="105">
        <v>30717862453</v>
      </c>
      <c r="J934" s="5" t="s">
        <v>130</v>
      </c>
      <c r="K934" s="101">
        <f>+K933+Tabla6[[#This Row],[IMPORTE]]</f>
        <v>49114607.399999656</v>
      </c>
      <c r="L934" s="5" t="s">
        <v>258</v>
      </c>
      <c r="M934" s="133" t="s">
        <v>100</v>
      </c>
    </row>
    <row r="935" spans="2:13" x14ac:dyDescent="0.35">
      <c r="B935" s="4" t="s">
        <v>104</v>
      </c>
      <c r="C935" s="104" t="s">
        <v>155</v>
      </c>
      <c r="D935" s="105">
        <v>198505</v>
      </c>
      <c r="E935" s="105">
        <v>404</v>
      </c>
      <c r="F935" s="101">
        <v>309773.82</v>
      </c>
      <c r="G935" s="5" t="s">
        <v>106</v>
      </c>
      <c r="H935" s="105">
        <v>183</v>
      </c>
      <c r="I935" s="70" t="s">
        <v>107</v>
      </c>
      <c r="J935" s="5" t="s">
        <v>112</v>
      </c>
      <c r="K935" s="101">
        <f>+K934+Tabla6[[#This Row],[IMPORTE]]</f>
        <v>49424381.219999656</v>
      </c>
      <c r="L935" s="5" t="s">
        <v>259</v>
      </c>
      <c r="M935" s="133" t="s">
        <v>100</v>
      </c>
    </row>
    <row r="936" spans="2:13" x14ac:dyDescent="0.35">
      <c r="B936" s="4" t="s">
        <v>117</v>
      </c>
      <c r="C936" s="104" t="s">
        <v>155</v>
      </c>
      <c r="D936" s="105">
        <v>738179</v>
      </c>
      <c r="E936" s="105">
        <v>404</v>
      </c>
      <c r="F936" s="101">
        <v>345562.73</v>
      </c>
      <c r="G936" s="5" t="s">
        <v>129</v>
      </c>
      <c r="H936" s="105">
        <v>4098</v>
      </c>
      <c r="I936" s="105">
        <v>30717862453</v>
      </c>
      <c r="J936" s="5" t="s">
        <v>130</v>
      </c>
      <c r="K936" s="101">
        <f>+K935+Tabla6[[#This Row],[IMPORTE]]</f>
        <v>49769943.949999653</v>
      </c>
      <c r="L936" s="5" t="s">
        <v>258</v>
      </c>
      <c r="M936" s="133" t="s">
        <v>100</v>
      </c>
    </row>
    <row r="937" spans="2:13" x14ac:dyDescent="0.35">
      <c r="B937" s="4" t="s">
        <v>104</v>
      </c>
      <c r="C937" s="104" t="s">
        <v>155</v>
      </c>
      <c r="D937" s="105">
        <v>198511</v>
      </c>
      <c r="E937" s="105">
        <v>404</v>
      </c>
      <c r="F937" s="101">
        <v>469157.61</v>
      </c>
      <c r="G937" s="5" t="s">
        <v>106</v>
      </c>
      <c r="H937" s="105">
        <v>183</v>
      </c>
      <c r="I937" s="70" t="s">
        <v>107</v>
      </c>
      <c r="J937" s="5" t="s">
        <v>115</v>
      </c>
      <c r="K937" s="101">
        <f>+K936+Tabla6[[#This Row],[IMPORTE]]</f>
        <v>50239101.559999652</v>
      </c>
      <c r="L937" s="5" t="s">
        <v>259</v>
      </c>
      <c r="M937" s="133" t="s">
        <v>100</v>
      </c>
    </row>
    <row r="938" spans="2:13" x14ac:dyDescent="0.35">
      <c r="B938" s="4" t="s">
        <v>117</v>
      </c>
      <c r="C938" s="104" t="s">
        <v>155</v>
      </c>
      <c r="D938" s="105">
        <v>112</v>
      </c>
      <c r="E938" s="105">
        <v>811</v>
      </c>
      <c r="F938" s="101">
        <v>1884175.89</v>
      </c>
      <c r="G938" s="5" t="s">
        <v>118</v>
      </c>
      <c r="H938" s="105">
        <v>4151</v>
      </c>
      <c r="I938" s="70" t="s">
        <v>107</v>
      </c>
      <c r="J938" s="5" t="s">
        <v>119</v>
      </c>
      <c r="K938" s="101">
        <f>+K937+Tabla6[[#This Row],[IMPORTE]]</f>
        <v>52123277.449999653</v>
      </c>
      <c r="L938" s="5" t="s">
        <v>260</v>
      </c>
      <c r="M938" s="133" t="s">
        <v>100</v>
      </c>
    </row>
    <row r="939" spans="2:13" x14ac:dyDescent="0.35">
      <c r="B939" s="134" t="s">
        <v>120</v>
      </c>
      <c r="C939" s="113" t="s">
        <v>155</v>
      </c>
      <c r="D939" s="114">
        <v>12713029</v>
      </c>
      <c r="E939" s="114">
        <v>404</v>
      </c>
      <c r="F939" s="115">
        <v>-48000000</v>
      </c>
      <c r="G939" s="116" t="s">
        <v>144</v>
      </c>
      <c r="H939" s="114">
        <v>2018</v>
      </c>
      <c r="I939" s="128" t="s">
        <v>107</v>
      </c>
      <c r="J939" s="116" t="s">
        <v>127</v>
      </c>
      <c r="K939" s="115">
        <f>+K938+Tabla6[[#This Row],[IMPORTE]]</f>
        <v>4123277.4499996528</v>
      </c>
      <c r="L939" s="125" t="s">
        <v>188</v>
      </c>
      <c r="M939" s="118" t="s">
        <v>101</v>
      </c>
    </row>
    <row r="940" spans="2:13" x14ac:dyDescent="0.35">
      <c r="B940" s="136" t="s">
        <v>145</v>
      </c>
      <c r="C940" s="106" t="s">
        <v>155</v>
      </c>
      <c r="D940" s="107">
        <v>10530122</v>
      </c>
      <c r="E940" s="107">
        <v>404</v>
      </c>
      <c r="F940" s="108">
        <v>-835</v>
      </c>
      <c r="G940" s="109" t="s">
        <v>146</v>
      </c>
      <c r="H940" s="107">
        <v>531</v>
      </c>
      <c r="I940" s="110" t="s">
        <v>107</v>
      </c>
      <c r="J940" s="109" t="s">
        <v>127</v>
      </c>
      <c r="K940" s="108">
        <f>+K939+Tabla6[[#This Row],[IMPORTE]]</f>
        <v>4122442.4499996528</v>
      </c>
      <c r="L940" s="109" t="s">
        <v>165</v>
      </c>
      <c r="M940" s="111" t="s">
        <v>93</v>
      </c>
    </row>
    <row r="941" spans="2:13" x14ac:dyDescent="0.35">
      <c r="B941" s="136" t="s">
        <v>147</v>
      </c>
      <c r="C941" s="106" t="s">
        <v>155</v>
      </c>
      <c r="D941" s="107">
        <v>10530122</v>
      </c>
      <c r="E941" s="107">
        <v>404</v>
      </c>
      <c r="F941" s="108">
        <v>-175.35</v>
      </c>
      <c r="G941" s="109" t="s">
        <v>148</v>
      </c>
      <c r="H941" s="107">
        <v>531</v>
      </c>
      <c r="I941" s="110" t="s">
        <v>107</v>
      </c>
      <c r="J941" s="109" t="s">
        <v>127</v>
      </c>
      <c r="K941" s="108">
        <f>+K940+Tabla6[[#This Row],[IMPORTE]]</f>
        <v>4122267.0999996527</v>
      </c>
      <c r="L941" s="109" t="s">
        <v>165</v>
      </c>
      <c r="M941" s="111" t="s">
        <v>93</v>
      </c>
    </row>
    <row r="942" spans="2:13" x14ac:dyDescent="0.35">
      <c r="B942" s="4" t="s">
        <v>104</v>
      </c>
      <c r="C942" s="104" t="s">
        <v>156</v>
      </c>
      <c r="D942" s="105">
        <v>207104</v>
      </c>
      <c r="E942" s="105">
        <v>404</v>
      </c>
      <c r="F942" s="101">
        <v>22204.31</v>
      </c>
      <c r="G942" s="5" t="s">
        <v>106</v>
      </c>
      <c r="H942" s="105">
        <v>183</v>
      </c>
      <c r="I942" s="70" t="s">
        <v>107</v>
      </c>
      <c r="J942" s="5" t="s">
        <v>113</v>
      </c>
      <c r="K942" s="101">
        <f>+K941+Tabla6[[#This Row],[IMPORTE]]</f>
        <v>4144471.4099996528</v>
      </c>
      <c r="L942" s="5" t="s">
        <v>261</v>
      </c>
      <c r="M942" s="133" t="s">
        <v>100</v>
      </c>
    </row>
    <row r="943" spans="2:13" x14ac:dyDescent="0.35">
      <c r="B943" s="4" t="s">
        <v>117</v>
      </c>
      <c r="C943" s="104" t="s">
        <v>156</v>
      </c>
      <c r="D943" s="105">
        <v>271371</v>
      </c>
      <c r="E943" s="105">
        <v>404</v>
      </c>
      <c r="F943" s="101">
        <v>23439.56</v>
      </c>
      <c r="G943" s="5" t="s">
        <v>129</v>
      </c>
      <c r="H943" s="105">
        <v>4098</v>
      </c>
      <c r="I943" s="105">
        <v>30717862453</v>
      </c>
      <c r="J943" s="5" t="s">
        <v>130</v>
      </c>
      <c r="K943" s="101">
        <f>+K942+Tabla6[[#This Row],[IMPORTE]]</f>
        <v>4167910.9699996528</v>
      </c>
      <c r="L943" s="5" t="s">
        <v>262</v>
      </c>
      <c r="M943" s="133" t="s">
        <v>100</v>
      </c>
    </row>
    <row r="944" spans="2:13" x14ac:dyDescent="0.35">
      <c r="B944" s="4" t="s">
        <v>117</v>
      </c>
      <c r="C944" s="104" t="s">
        <v>156</v>
      </c>
      <c r="D944" s="105">
        <v>173563</v>
      </c>
      <c r="E944" s="105">
        <v>404</v>
      </c>
      <c r="F944" s="101">
        <v>25748.32</v>
      </c>
      <c r="G944" s="5" t="s">
        <v>129</v>
      </c>
      <c r="H944" s="105">
        <v>4098</v>
      </c>
      <c r="I944" s="105">
        <v>30717862453</v>
      </c>
      <c r="J944" s="5" t="s">
        <v>130</v>
      </c>
      <c r="K944" s="101">
        <f>+K943+Tabla6[[#This Row],[IMPORTE]]</f>
        <v>4193659.2899996527</v>
      </c>
      <c r="L944" s="5" t="s">
        <v>262</v>
      </c>
      <c r="M944" s="133" t="s">
        <v>100</v>
      </c>
    </row>
    <row r="945" spans="2:13" x14ac:dyDescent="0.35">
      <c r="B945" s="4" t="s">
        <v>117</v>
      </c>
      <c r="C945" s="104" t="s">
        <v>156</v>
      </c>
      <c r="D945" s="105">
        <v>217354</v>
      </c>
      <c r="E945" s="105">
        <v>404</v>
      </c>
      <c r="F945" s="101">
        <v>25748.32</v>
      </c>
      <c r="G945" s="5" t="s">
        <v>129</v>
      </c>
      <c r="H945" s="105">
        <v>4098</v>
      </c>
      <c r="I945" s="105">
        <v>30717862453</v>
      </c>
      <c r="J945" s="5" t="s">
        <v>130</v>
      </c>
      <c r="K945" s="101">
        <f>+K944+Tabla6[[#This Row],[IMPORTE]]</f>
        <v>4219407.609999653</v>
      </c>
      <c r="L945" s="5" t="s">
        <v>262</v>
      </c>
      <c r="M945" s="133" t="s">
        <v>100</v>
      </c>
    </row>
    <row r="946" spans="2:13" x14ac:dyDescent="0.35">
      <c r="B946" s="4" t="s">
        <v>117</v>
      </c>
      <c r="C946" s="104" t="s">
        <v>156</v>
      </c>
      <c r="D946" s="105">
        <v>806257</v>
      </c>
      <c r="E946" s="105">
        <v>404</v>
      </c>
      <c r="F946" s="101">
        <v>25748.32</v>
      </c>
      <c r="G946" s="5" t="s">
        <v>129</v>
      </c>
      <c r="H946" s="105">
        <v>4098</v>
      </c>
      <c r="I946" s="105">
        <v>30717862453</v>
      </c>
      <c r="J946" s="5" t="s">
        <v>130</v>
      </c>
      <c r="K946" s="101">
        <f>+K945+Tabla6[[#This Row],[IMPORTE]]</f>
        <v>4245155.9299996532</v>
      </c>
      <c r="L946" s="5" t="s">
        <v>262</v>
      </c>
      <c r="M946" s="133" t="s">
        <v>100</v>
      </c>
    </row>
    <row r="947" spans="2:13" x14ac:dyDescent="0.35">
      <c r="B947" s="4" t="s">
        <v>104</v>
      </c>
      <c r="C947" s="104" t="s">
        <v>156</v>
      </c>
      <c r="D947" s="105">
        <v>207105</v>
      </c>
      <c r="E947" s="105">
        <v>404</v>
      </c>
      <c r="F947" s="101">
        <v>26523.4</v>
      </c>
      <c r="G947" s="5" t="s">
        <v>106</v>
      </c>
      <c r="H947" s="105">
        <v>183</v>
      </c>
      <c r="I947" s="70" t="s">
        <v>107</v>
      </c>
      <c r="J947" s="5" t="s">
        <v>113</v>
      </c>
      <c r="K947" s="101">
        <f>+K946+Tabla6[[#This Row],[IMPORTE]]</f>
        <v>4271679.3299996536</v>
      </c>
      <c r="L947" s="5" t="s">
        <v>263</v>
      </c>
      <c r="M947" s="133" t="s">
        <v>100</v>
      </c>
    </row>
    <row r="948" spans="2:13" x14ac:dyDescent="0.35">
      <c r="B948" s="4" t="s">
        <v>117</v>
      </c>
      <c r="C948" s="104" t="s">
        <v>156</v>
      </c>
      <c r="D948" s="105">
        <v>194816</v>
      </c>
      <c r="E948" s="105">
        <v>404</v>
      </c>
      <c r="F948" s="101">
        <v>33795.199999999997</v>
      </c>
      <c r="G948" s="5" t="s">
        <v>129</v>
      </c>
      <c r="H948" s="105">
        <v>4098</v>
      </c>
      <c r="I948" s="105">
        <v>30717862453</v>
      </c>
      <c r="J948" s="5" t="s">
        <v>130</v>
      </c>
      <c r="K948" s="101">
        <f>+K947+Tabla6[[#This Row],[IMPORTE]]</f>
        <v>4305474.5299996538</v>
      </c>
      <c r="L948" s="5" t="s">
        <v>262</v>
      </c>
      <c r="M948" s="133" t="s">
        <v>100</v>
      </c>
    </row>
    <row r="949" spans="2:13" x14ac:dyDescent="0.35">
      <c r="B949" s="4" t="s">
        <v>104</v>
      </c>
      <c r="C949" s="104" t="s">
        <v>156</v>
      </c>
      <c r="D949" s="105">
        <v>207101</v>
      </c>
      <c r="E949" s="105">
        <v>404</v>
      </c>
      <c r="F949" s="101">
        <v>38056.199999999997</v>
      </c>
      <c r="G949" s="5" t="s">
        <v>106</v>
      </c>
      <c r="H949" s="105">
        <v>183</v>
      </c>
      <c r="I949" s="70" t="s">
        <v>107</v>
      </c>
      <c r="J949" s="5" t="s">
        <v>115</v>
      </c>
      <c r="K949" s="101">
        <f>+K948+Tabla6[[#This Row],[IMPORTE]]</f>
        <v>4343530.729999654</v>
      </c>
      <c r="L949" s="5" t="s">
        <v>264</v>
      </c>
      <c r="M949" s="133" t="s">
        <v>100</v>
      </c>
    </row>
    <row r="950" spans="2:13" x14ac:dyDescent="0.35">
      <c r="B950" s="4" t="s">
        <v>117</v>
      </c>
      <c r="C950" s="104" t="s">
        <v>156</v>
      </c>
      <c r="D950" s="105">
        <v>204673</v>
      </c>
      <c r="E950" s="105">
        <v>404</v>
      </c>
      <c r="F950" s="101">
        <v>45059.56</v>
      </c>
      <c r="G950" s="5" t="s">
        <v>129</v>
      </c>
      <c r="H950" s="105">
        <v>4098</v>
      </c>
      <c r="I950" s="105">
        <v>30717862453</v>
      </c>
      <c r="J950" s="5" t="s">
        <v>130</v>
      </c>
      <c r="K950" s="101">
        <f>+K949+Tabla6[[#This Row],[IMPORTE]]</f>
        <v>4388590.2899996536</v>
      </c>
      <c r="L950" s="5" t="s">
        <v>262</v>
      </c>
      <c r="M950" s="133" t="s">
        <v>100</v>
      </c>
    </row>
    <row r="951" spans="2:13" x14ac:dyDescent="0.35">
      <c r="B951" s="4" t="s">
        <v>117</v>
      </c>
      <c r="C951" s="104" t="s">
        <v>156</v>
      </c>
      <c r="D951" s="105">
        <v>901010</v>
      </c>
      <c r="E951" s="105">
        <v>404</v>
      </c>
      <c r="F951" s="101">
        <v>45059.56</v>
      </c>
      <c r="G951" s="5" t="s">
        <v>129</v>
      </c>
      <c r="H951" s="105">
        <v>4098</v>
      </c>
      <c r="I951" s="105">
        <v>30717862453</v>
      </c>
      <c r="J951" s="5" t="s">
        <v>130</v>
      </c>
      <c r="K951" s="101">
        <f>+K950+Tabla6[[#This Row],[IMPORTE]]</f>
        <v>4433649.8499996532</v>
      </c>
      <c r="L951" s="5" t="s">
        <v>262</v>
      </c>
      <c r="M951" s="133" t="s">
        <v>100</v>
      </c>
    </row>
    <row r="952" spans="2:13" x14ac:dyDescent="0.35">
      <c r="B952" s="4" t="s">
        <v>117</v>
      </c>
      <c r="C952" s="104" t="s">
        <v>156</v>
      </c>
      <c r="D952" s="105">
        <v>238135</v>
      </c>
      <c r="E952" s="105">
        <v>404</v>
      </c>
      <c r="F952" s="101">
        <v>45121.47</v>
      </c>
      <c r="G952" s="5" t="s">
        <v>129</v>
      </c>
      <c r="H952" s="105">
        <v>4098</v>
      </c>
      <c r="I952" s="105">
        <v>30717862453</v>
      </c>
      <c r="J952" s="5" t="s">
        <v>130</v>
      </c>
      <c r="K952" s="101">
        <f>+K951+Tabla6[[#This Row],[IMPORTE]]</f>
        <v>4478771.3199996529</v>
      </c>
      <c r="L952" s="5" t="s">
        <v>262</v>
      </c>
      <c r="M952" s="133" t="s">
        <v>100</v>
      </c>
    </row>
    <row r="953" spans="2:13" x14ac:dyDescent="0.35">
      <c r="B953" s="4" t="s">
        <v>104</v>
      </c>
      <c r="C953" s="104" t="s">
        <v>156</v>
      </c>
      <c r="D953" s="105">
        <v>207103</v>
      </c>
      <c r="E953" s="105">
        <v>404</v>
      </c>
      <c r="F953" s="101">
        <v>48877</v>
      </c>
      <c r="G953" s="5" t="s">
        <v>106</v>
      </c>
      <c r="H953" s="105">
        <v>183</v>
      </c>
      <c r="I953" s="70" t="s">
        <v>107</v>
      </c>
      <c r="J953" s="5" t="s">
        <v>137</v>
      </c>
      <c r="K953" s="101">
        <f>+K952+Tabla6[[#This Row],[IMPORTE]]</f>
        <v>4527648.3199996529</v>
      </c>
      <c r="L953" s="5" t="s">
        <v>261</v>
      </c>
      <c r="M953" s="133" t="s">
        <v>100</v>
      </c>
    </row>
    <row r="954" spans="2:13" x14ac:dyDescent="0.35">
      <c r="B954" s="4" t="s">
        <v>104</v>
      </c>
      <c r="C954" s="104" t="s">
        <v>156</v>
      </c>
      <c r="D954" s="105">
        <v>207097</v>
      </c>
      <c r="E954" s="105">
        <v>404</v>
      </c>
      <c r="F954" s="101">
        <v>50741.599999999999</v>
      </c>
      <c r="G954" s="5" t="s">
        <v>106</v>
      </c>
      <c r="H954" s="105">
        <v>183</v>
      </c>
      <c r="I954" s="70" t="s">
        <v>107</v>
      </c>
      <c r="J954" s="5" t="s">
        <v>116</v>
      </c>
      <c r="K954" s="101">
        <f>+K953+Tabla6[[#This Row],[IMPORTE]]</f>
        <v>4578389.9199996525</v>
      </c>
      <c r="L954" s="5" t="s">
        <v>264</v>
      </c>
      <c r="M954" s="133" t="s">
        <v>100</v>
      </c>
    </row>
    <row r="955" spans="2:13" x14ac:dyDescent="0.35">
      <c r="B955" s="4" t="s">
        <v>117</v>
      </c>
      <c r="C955" s="104" t="s">
        <v>156</v>
      </c>
      <c r="D955" s="105">
        <v>58131</v>
      </c>
      <c r="E955" s="105">
        <v>404</v>
      </c>
      <c r="F955" s="101">
        <v>63846.55</v>
      </c>
      <c r="G955" s="5" t="s">
        <v>129</v>
      </c>
      <c r="H955" s="105">
        <v>4098</v>
      </c>
      <c r="I955" s="105">
        <v>30717862453</v>
      </c>
      <c r="J955" s="5" t="s">
        <v>130</v>
      </c>
      <c r="K955" s="101">
        <f>+K954+Tabla6[[#This Row],[IMPORTE]]</f>
        <v>4642236.4699996524</v>
      </c>
      <c r="L955" s="5" t="s">
        <v>262</v>
      </c>
      <c r="M955" s="133" t="s">
        <v>100</v>
      </c>
    </row>
    <row r="956" spans="2:13" x14ac:dyDescent="0.35">
      <c r="B956" s="4" t="s">
        <v>104</v>
      </c>
      <c r="C956" s="104" t="s">
        <v>156</v>
      </c>
      <c r="D956" s="105">
        <v>207082</v>
      </c>
      <c r="E956" s="105">
        <v>404</v>
      </c>
      <c r="F956" s="101">
        <v>76593.22</v>
      </c>
      <c r="G956" s="5" t="s">
        <v>106</v>
      </c>
      <c r="H956" s="105">
        <v>183</v>
      </c>
      <c r="I956" s="70" t="s">
        <v>107</v>
      </c>
      <c r="J956" s="5" t="s">
        <v>111</v>
      </c>
      <c r="K956" s="101">
        <f>+K955+Tabla6[[#This Row],[IMPORTE]]</f>
        <v>4718829.6899996521</v>
      </c>
      <c r="L956" s="5" t="s">
        <v>261</v>
      </c>
      <c r="M956" s="133" t="s">
        <v>100</v>
      </c>
    </row>
    <row r="957" spans="2:13" x14ac:dyDescent="0.35">
      <c r="B957" s="4" t="s">
        <v>117</v>
      </c>
      <c r="C957" s="104" t="s">
        <v>156</v>
      </c>
      <c r="D957" s="105">
        <v>962128</v>
      </c>
      <c r="E957" s="105">
        <v>404</v>
      </c>
      <c r="F957" s="101">
        <v>79411.77</v>
      </c>
      <c r="G957" s="5" t="s">
        <v>129</v>
      </c>
      <c r="H957" s="105">
        <v>4098</v>
      </c>
      <c r="I957" s="105">
        <v>30717862453</v>
      </c>
      <c r="J957" s="5" t="s">
        <v>130</v>
      </c>
      <c r="K957" s="101">
        <f>+K956+Tabla6[[#This Row],[IMPORTE]]</f>
        <v>4798241.4599996516</v>
      </c>
      <c r="L957" s="5" t="s">
        <v>262</v>
      </c>
      <c r="M957" s="133" t="s">
        <v>100</v>
      </c>
    </row>
    <row r="958" spans="2:13" x14ac:dyDescent="0.35">
      <c r="B958" s="4" t="s">
        <v>117</v>
      </c>
      <c r="C958" s="104" t="s">
        <v>156</v>
      </c>
      <c r="D958" s="105">
        <v>162765</v>
      </c>
      <c r="E958" s="105">
        <v>404</v>
      </c>
      <c r="F958" s="101">
        <v>80280.960000000006</v>
      </c>
      <c r="G958" s="5" t="s">
        <v>129</v>
      </c>
      <c r="H958" s="105">
        <v>4098</v>
      </c>
      <c r="I958" s="105">
        <v>30717862453</v>
      </c>
      <c r="J958" s="5" t="s">
        <v>130</v>
      </c>
      <c r="K958" s="101">
        <f>+K957+Tabla6[[#This Row],[IMPORTE]]</f>
        <v>4878522.4199996516</v>
      </c>
      <c r="L958" s="5" t="s">
        <v>262</v>
      </c>
      <c r="M958" s="133" t="s">
        <v>100</v>
      </c>
    </row>
    <row r="959" spans="2:13" x14ac:dyDescent="0.35">
      <c r="B959" s="4" t="s">
        <v>117</v>
      </c>
      <c r="C959" s="104" t="s">
        <v>156</v>
      </c>
      <c r="D959" s="105">
        <v>960619</v>
      </c>
      <c r="E959" s="105">
        <v>404</v>
      </c>
      <c r="F959" s="101">
        <v>90119.12</v>
      </c>
      <c r="G959" s="5" t="s">
        <v>129</v>
      </c>
      <c r="H959" s="105">
        <v>4098</v>
      </c>
      <c r="I959" s="105">
        <v>30717862453</v>
      </c>
      <c r="J959" s="5" t="s">
        <v>130</v>
      </c>
      <c r="K959" s="101">
        <f>+K958+Tabla6[[#This Row],[IMPORTE]]</f>
        <v>4968641.5399996517</v>
      </c>
      <c r="L959" s="5" t="s">
        <v>262</v>
      </c>
      <c r="M959" s="133" t="s">
        <v>100</v>
      </c>
    </row>
    <row r="960" spans="2:13" x14ac:dyDescent="0.35">
      <c r="B960" s="4" t="s">
        <v>117</v>
      </c>
      <c r="C960" s="104" t="s">
        <v>156</v>
      </c>
      <c r="D960" s="105">
        <v>717944</v>
      </c>
      <c r="E960" s="105">
        <v>404</v>
      </c>
      <c r="F960" s="101">
        <v>96203.16</v>
      </c>
      <c r="G960" s="5" t="s">
        <v>129</v>
      </c>
      <c r="H960" s="105">
        <v>4098</v>
      </c>
      <c r="I960" s="105">
        <v>30717862453</v>
      </c>
      <c r="J960" s="5" t="s">
        <v>130</v>
      </c>
      <c r="K960" s="101">
        <f>+K959+Tabla6[[#This Row],[IMPORTE]]</f>
        <v>5064844.6999996519</v>
      </c>
      <c r="L960" s="5" t="s">
        <v>262</v>
      </c>
      <c r="M960" s="133" t="s">
        <v>100</v>
      </c>
    </row>
    <row r="961" spans="2:13" x14ac:dyDescent="0.35">
      <c r="B961" s="4" t="s">
        <v>117</v>
      </c>
      <c r="C961" s="104" t="s">
        <v>156</v>
      </c>
      <c r="D961" s="105">
        <v>234016</v>
      </c>
      <c r="E961" s="105">
        <v>404</v>
      </c>
      <c r="F961" s="101">
        <v>102491.99</v>
      </c>
      <c r="G961" s="5" t="s">
        <v>129</v>
      </c>
      <c r="H961" s="105">
        <v>4098</v>
      </c>
      <c r="I961" s="105">
        <v>30717862453</v>
      </c>
      <c r="J961" s="5" t="s">
        <v>130</v>
      </c>
      <c r="K961" s="101">
        <f>+K960+Tabla6[[#This Row],[IMPORTE]]</f>
        <v>5167336.6899996521</v>
      </c>
      <c r="L961" s="5" t="s">
        <v>262</v>
      </c>
      <c r="M961" s="133" t="s">
        <v>100</v>
      </c>
    </row>
    <row r="962" spans="2:13" x14ac:dyDescent="0.35">
      <c r="B962" s="4" t="s">
        <v>117</v>
      </c>
      <c r="C962" s="104" t="s">
        <v>156</v>
      </c>
      <c r="D962" s="105">
        <v>262328</v>
      </c>
      <c r="E962" s="105">
        <v>404</v>
      </c>
      <c r="F962" s="101">
        <v>102993.28</v>
      </c>
      <c r="G962" s="5" t="s">
        <v>129</v>
      </c>
      <c r="H962" s="105">
        <v>4098</v>
      </c>
      <c r="I962" s="105">
        <v>30717862453</v>
      </c>
      <c r="J962" s="5" t="s">
        <v>130</v>
      </c>
      <c r="K962" s="101">
        <f>+K961+Tabla6[[#This Row],[IMPORTE]]</f>
        <v>5270329.9699996524</v>
      </c>
      <c r="L962" s="5" t="s">
        <v>262</v>
      </c>
      <c r="M962" s="133" t="s">
        <v>100</v>
      </c>
    </row>
    <row r="963" spans="2:13" x14ac:dyDescent="0.35">
      <c r="B963" s="4" t="s">
        <v>117</v>
      </c>
      <c r="C963" s="104" t="s">
        <v>156</v>
      </c>
      <c r="D963" s="105">
        <v>596899</v>
      </c>
      <c r="E963" s="105">
        <v>404</v>
      </c>
      <c r="F963" s="101">
        <v>104758.43</v>
      </c>
      <c r="G963" s="5" t="s">
        <v>129</v>
      </c>
      <c r="H963" s="105">
        <v>4098</v>
      </c>
      <c r="I963" s="105">
        <v>30717862453</v>
      </c>
      <c r="J963" s="5" t="s">
        <v>130</v>
      </c>
      <c r="K963" s="101">
        <f>+K962+Tabla6[[#This Row],[IMPORTE]]</f>
        <v>5375088.3999996521</v>
      </c>
      <c r="L963" s="5" t="s">
        <v>262</v>
      </c>
      <c r="M963" s="133" t="s">
        <v>100</v>
      </c>
    </row>
    <row r="964" spans="2:13" x14ac:dyDescent="0.35">
      <c r="B964" s="4" t="s">
        <v>104</v>
      </c>
      <c r="C964" s="104" t="s">
        <v>156</v>
      </c>
      <c r="D964" s="105">
        <v>207083</v>
      </c>
      <c r="E964" s="105">
        <v>404</v>
      </c>
      <c r="F964" s="101">
        <v>109505.86</v>
      </c>
      <c r="G964" s="5" t="s">
        <v>106</v>
      </c>
      <c r="H964" s="105">
        <v>183</v>
      </c>
      <c r="I964" s="70" t="s">
        <v>107</v>
      </c>
      <c r="J964" s="5" t="s">
        <v>108</v>
      </c>
      <c r="K964" s="101">
        <f>+K963+Tabla6[[#This Row],[IMPORTE]]</f>
        <v>5484594.2599996524</v>
      </c>
      <c r="L964" s="5" t="s">
        <v>261</v>
      </c>
      <c r="M964" s="133" t="s">
        <v>100</v>
      </c>
    </row>
    <row r="965" spans="2:13" x14ac:dyDescent="0.35">
      <c r="B965" s="4" t="s">
        <v>104</v>
      </c>
      <c r="C965" s="104" t="s">
        <v>156</v>
      </c>
      <c r="D965" s="105">
        <v>207099</v>
      </c>
      <c r="E965" s="105">
        <v>404</v>
      </c>
      <c r="F965" s="101">
        <v>114168.6</v>
      </c>
      <c r="G965" s="5" t="s">
        <v>106</v>
      </c>
      <c r="H965" s="105">
        <v>183</v>
      </c>
      <c r="I965" s="70" t="s">
        <v>107</v>
      </c>
      <c r="J965" s="5" t="s">
        <v>110</v>
      </c>
      <c r="K965" s="101">
        <f>+K964+Tabla6[[#This Row],[IMPORTE]]</f>
        <v>5598762.859999652</v>
      </c>
      <c r="L965" s="5" t="s">
        <v>264</v>
      </c>
      <c r="M965" s="133" t="s">
        <v>100</v>
      </c>
    </row>
    <row r="966" spans="2:13" x14ac:dyDescent="0.35">
      <c r="B966" s="4" t="s">
        <v>104</v>
      </c>
      <c r="C966" s="104" t="s">
        <v>156</v>
      </c>
      <c r="D966" s="105">
        <v>207100</v>
      </c>
      <c r="E966" s="105">
        <v>404</v>
      </c>
      <c r="F966" s="101">
        <v>117945.3</v>
      </c>
      <c r="G966" s="5" t="s">
        <v>106</v>
      </c>
      <c r="H966" s="105">
        <v>183</v>
      </c>
      <c r="I966" s="70" t="s">
        <v>107</v>
      </c>
      <c r="J966" s="5" t="s">
        <v>110</v>
      </c>
      <c r="K966" s="101">
        <f>+K965+Tabla6[[#This Row],[IMPORTE]]</f>
        <v>5716708.1599996518</v>
      </c>
      <c r="L966" s="5" t="s">
        <v>261</v>
      </c>
      <c r="M966" s="133" t="s">
        <v>100</v>
      </c>
    </row>
    <row r="967" spans="2:13" x14ac:dyDescent="0.35">
      <c r="B967" s="4" t="s">
        <v>104</v>
      </c>
      <c r="C967" s="104" t="s">
        <v>156</v>
      </c>
      <c r="D967" s="105">
        <v>207098</v>
      </c>
      <c r="E967" s="105">
        <v>404</v>
      </c>
      <c r="F967" s="101">
        <v>147329.26</v>
      </c>
      <c r="G967" s="5" t="s">
        <v>106</v>
      </c>
      <c r="H967" s="105">
        <v>183</v>
      </c>
      <c r="I967" s="70" t="s">
        <v>107</v>
      </c>
      <c r="J967" s="5" t="s">
        <v>116</v>
      </c>
      <c r="K967" s="101">
        <f>+K966+Tabla6[[#This Row],[IMPORTE]]</f>
        <v>5864037.4199996516</v>
      </c>
      <c r="L967" s="5" t="s">
        <v>261</v>
      </c>
      <c r="M967" s="133" t="s">
        <v>100</v>
      </c>
    </row>
    <row r="968" spans="2:13" x14ac:dyDescent="0.35">
      <c r="B968" s="4" t="s">
        <v>117</v>
      </c>
      <c r="C968" s="104" t="s">
        <v>156</v>
      </c>
      <c r="D968" s="105">
        <v>668705</v>
      </c>
      <c r="E968" s="105">
        <v>404</v>
      </c>
      <c r="F968" s="101">
        <v>157269.21</v>
      </c>
      <c r="G968" s="5" t="s">
        <v>129</v>
      </c>
      <c r="H968" s="105">
        <v>4098</v>
      </c>
      <c r="I968" s="105">
        <v>30717862453</v>
      </c>
      <c r="J968" s="5" t="s">
        <v>130</v>
      </c>
      <c r="K968" s="101">
        <f>+K967+Tabla6[[#This Row],[IMPORTE]]</f>
        <v>6021306.6299996516</v>
      </c>
      <c r="L968" s="5" t="s">
        <v>262</v>
      </c>
      <c r="M968" s="133" t="s">
        <v>100</v>
      </c>
    </row>
    <row r="969" spans="2:13" x14ac:dyDescent="0.35">
      <c r="B969" s="4" t="s">
        <v>117</v>
      </c>
      <c r="C969" s="104" t="s">
        <v>156</v>
      </c>
      <c r="D969" s="105">
        <v>846986</v>
      </c>
      <c r="E969" s="105">
        <v>404</v>
      </c>
      <c r="F969" s="101">
        <v>181392.89</v>
      </c>
      <c r="G969" s="5" t="s">
        <v>129</v>
      </c>
      <c r="H969" s="105">
        <v>4098</v>
      </c>
      <c r="I969" s="105">
        <v>30717862453</v>
      </c>
      <c r="J969" s="5" t="s">
        <v>130</v>
      </c>
      <c r="K969" s="101">
        <f>+K968+Tabla6[[#This Row],[IMPORTE]]</f>
        <v>6202699.5199996512</v>
      </c>
      <c r="L969" s="5" t="s">
        <v>262</v>
      </c>
      <c r="M969" s="133" t="s">
        <v>100</v>
      </c>
    </row>
    <row r="970" spans="2:13" x14ac:dyDescent="0.35">
      <c r="B970" s="4" t="s">
        <v>117</v>
      </c>
      <c r="C970" s="104" t="s">
        <v>156</v>
      </c>
      <c r="D970" s="105">
        <v>724358</v>
      </c>
      <c r="E970" s="105">
        <v>404</v>
      </c>
      <c r="F970" s="101">
        <v>215049.96</v>
      </c>
      <c r="G970" s="5" t="s">
        <v>129</v>
      </c>
      <c r="H970" s="105">
        <v>4098</v>
      </c>
      <c r="I970" s="105">
        <v>30717862453</v>
      </c>
      <c r="J970" s="5" t="s">
        <v>130</v>
      </c>
      <c r="K970" s="101">
        <f>+K969+Tabla6[[#This Row],[IMPORTE]]</f>
        <v>6417749.4799996512</v>
      </c>
      <c r="L970" s="5" t="s">
        <v>262</v>
      </c>
      <c r="M970" s="133" t="s">
        <v>100</v>
      </c>
    </row>
    <row r="971" spans="2:13" x14ac:dyDescent="0.35">
      <c r="B971" s="4" t="s">
        <v>117</v>
      </c>
      <c r="C971" s="104" t="s">
        <v>156</v>
      </c>
      <c r="D971" s="105">
        <v>256749</v>
      </c>
      <c r="E971" s="105">
        <v>404</v>
      </c>
      <c r="F971" s="101">
        <v>277530.03000000003</v>
      </c>
      <c r="G971" s="5" t="s">
        <v>129</v>
      </c>
      <c r="H971" s="105">
        <v>4098</v>
      </c>
      <c r="I971" s="105">
        <v>30717862453</v>
      </c>
      <c r="J971" s="5" t="s">
        <v>130</v>
      </c>
      <c r="K971" s="101">
        <f>+K970+Tabla6[[#This Row],[IMPORTE]]</f>
        <v>6695279.5099996515</v>
      </c>
      <c r="L971" s="5" t="s">
        <v>262</v>
      </c>
      <c r="M971" s="133" t="s">
        <v>100</v>
      </c>
    </row>
    <row r="972" spans="2:13" x14ac:dyDescent="0.35">
      <c r="B972" s="4" t="s">
        <v>104</v>
      </c>
      <c r="C972" s="104" t="s">
        <v>156</v>
      </c>
      <c r="D972" s="105">
        <v>207102</v>
      </c>
      <c r="E972" s="105">
        <v>404</v>
      </c>
      <c r="F972" s="101">
        <v>346752.9</v>
      </c>
      <c r="G972" s="5" t="s">
        <v>106</v>
      </c>
      <c r="H972" s="105">
        <v>183</v>
      </c>
      <c r="I972" s="70" t="s">
        <v>107</v>
      </c>
      <c r="J972" s="5" t="s">
        <v>115</v>
      </c>
      <c r="K972" s="101">
        <f>+K971+Tabla6[[#This Row],[IMPORTE]]</f>
        <v>7042032.4099996518</v>
      </c>
      <c r="L972" s="5" t="s">
        <v>261</v>
      </c>
      <c r="M972" s="133" t="s">
        <v>100</v>
      </c>
    </row>
    <row r="973" spans="2:13" x14ac:dyDescent="0.35">
      <c r="B973" s="4" t="s">
        <v>117</v>
      </c>
      <c r="C973" s="104" t="s">
        <v>156</v>
      </c>
      <c r="D973" s="105">
        <v>168163</v>
      </c>
      <c r="E973" s="105">
        <v>404</v>
      </c>
      <c r="F973" s="101">
        <v>465630.96</v>
      </c>
      <c r="G973" s="5" t="s">
        <v>129</v>
      </c>
      <c r="H973" s="105">
        <v>4098</v>
      </c>
      <c r="I973" s="105">
        <v>30717862453</v>
      </c>
      <c r="J973" s="5" t="s">
        <v>130</v>
      </c>
      <c r="K973" s="101">
        <f>+K972+Tabla6[[#This Row],[IMPORTE]]</f>
        <v>7507663.3699996518</v>
      </c>
      <c r="L973" s="5" t="s">
        <v>262</v>
      </c>
      <c r="M973" s="133" t="s">
        <v>100</v>
      </c>
    </row>
    <row r="974" spans="2:13" x14ac:dyDescent="0.35">
      <c r="B974" s="4" t="s">
        <v>117</v>
      </c>
      <c r="C974" s="104" t="s">
        <v>156</v>
      </c>
      <c r="D974" s="105">
        <v>297543</v>
      </c>
      <c r="E974" s="105">
        <v>404</v>
      </c>
      <c r="F974" s="101">
        <v>643708</v>
      </c>
      <c r="G974" s="5" t="s">
        <v>129</v>
      </c>
      <c r="H974" s="105">
        <v>4098</v>
      </c>
      <c r="I974" s="105">
        <v>30717862453</v>
      </c>
      <c r="J974" s="5" t="s">
        <v>130</v>
      </c>
      <c r="K974" s="101">
        <f>+K973+Tabla6[[#This Row],[IMPORTE]]</f>
        <v>8151371.3699996518</v>
      </c>
      <c r="L974" s="5" t="s">
        <v>262</v>
      </c>
      <c r="M974" s="133" t="s">
        <v>100</v>
      </c>
    </row>
    <row r="975" spans="2:13" x14ac:dyDescent="0.35">
      <c r="B975" s="4" t="s">
        <v>117</v>
      </c>
      <c r="C975" s="104" t="s">
        <v>156</v>
      </c>
      <c r="D975" s="105">
        <v>112</v>
      </c>
      <c r="E975" s="105">
        <v>811</v>
      </c>
      <c r="F975" s="101">
        <v>2074707.83</v>
      </c>
      <c r="G975" s="5" t="s">
        <v>118</v>
      </c>
      <c r="H975" s="105">
        <v>4151</v>
      </c>
      <c r="I975" s="70" t="s">
        <v>107</v>
      </c>
      <c r="J975" s="5" t="s">
        <v>119</v>
      </c>
      <c r="K975" s="101">
        <f>+K974+Tabla6[[#This Row],[IMPORTE]]</f>
        <v>10226079.199999653</v>
      </c>
      <c r="L975" s="5" t="s">
        <v>265</v>
      </c>
      <c r="M975" s="133" t="s">
        <v>100</v>
      </c>
    </row>
    <row r="976" spans="2:13" x14ac:dyDescent="0.35">
      <c r="B976" s="4" t="s">
        <v>117</v>
      </c>
      <c r="C976" s="104" t="s">
        <v>157</v>
      </c>
      <c r="D976" s="105">
        <v>452109</v>
      </c>
      <c r="E976" s="105">
        <v>404</v>
      </c>
      <c r="F976" s="101">
        <v>16092.7</v>
      </c>
      <c r="G976" s="5" t="s">
        <v>129</v>
      </c>
      <c r="H976" s="105">
        <v>4098</v>
      </c>
      <c r="I976" s="105">
        <v>30717862453</v>
      </c>
      <c r="J976" s="5" t="s">
        <v>130</v>
      </c>
      <c r="K976" s="101">
        <f>+K975+Tabla6[[#This Row],[IMPORTE]]</f>
        <v>10242171.899999652</v>
      </c>
      <c r="L976" s="5" t="s">
        <v>266</v>
      </c>
      <c r="M976" s="133" t="s">
        <v>100</v>
      </c>
    </row>
    <row r="977" spans="2:13" x14ac:dyDescent="0.35">
      <c r="B977" s="4" t="s">
        <v>117</v>
      </c>
      <c r="C977" s="104" t="s">
        <v>157</v>
      </c>
      <c r="D977" s="105">
        <v>694279</v>
      </c>
      <c r="E977" s="105">
        <v>404</v>
      </c>
      <c r="F977" s="101">
        <v>23173.49</v>
      </c>
      <c r="G977" s="5" t="s">
        <v>129</v>
      </c>
      <c r="H977" s="105">
        <v>4098</v>
      </c>
      <c r="I977" s="105">
        <v>30717862453</v>
      </c>
      <c r="J977" s="5" t="s">
        <v>130</v>
      </c>
      <c r="K977" s="101">
        <f>+K976+Tabla6[[#This Row],[IMPORTE]]</f>
        <v>10265345.389999652</v>
      </c>
      <c r="L977" s="5" t="s">
        <v>266</v>
      </c>
      <c r="M977" s="133" t="s">
        <v>100</v>
      </c>
    </row>
    <row r="978" spans="2:13" x14ac:dyDescent="0.35">
      <c r="B978" s="4" t="s">
        <v>117</v>
      </c>
      <c r="C978" s="104" t="s">
        <v>157</v>
      </c>
      <c r="D978" s="105">
        <v>961053</v>
      </c>
      <c r="E978" s="105">
        <v>404</v>
      </c>
      <c r="F978" s="101">
        <v>23173.49</v>
      </c>
      <c r="G978" s="5" t="s">
        <v>129</v>
      </c>
      <c r="H978" s="105">
        <v>4098</v>
      </c>
      <c r="I978" s="105">
        <v>30717862453</v>
      </c>
      <c r="J978" s="5" t="s">
        <v>130</v>
      </c>
      <c r="K978" s="101">
        <f>+K977+Tabla6[[#This Row],[IMPORTE]]</f>
        <v>10288518.879999653</v>
      </c>
      <c r="L978" s="5" t="s">
        <v>266</v>
      </c>
      <c r="M978" s="133" t="s">
        <v>100</v>
      </c>
    </row>
    <row r="979" spans="2:13" x14ac:dyDescent="0.35">
      <c r="B979" s="4" t="s">
        <v>117</v>
      </c>
      <c r="C979" s="104" t="s">
        <v>157</v>
      </c>
      <c r="D979" s="105">
        <v>69065</v>
      </c>
      <c r="E979" s="105">
        <v>404</v>
      </c>
      <c r="F979" s="101">
        <v>25696.19</v>
      </c>
      <c r="G979" s="5" t="s">
        <v>129</v>
      </c>
      <c r="H979" s="105">
        <v>4098</v>
      </c>
      <c r="I979" s="105">
        <v>30717862453</v>
      </c>
      <c r="J979" s="5" t="s">
        <v>130</v>
      </c>
      <c r="K979" s="101">
        <f>+K978+Tabla6[[#This Row],[IMPORTE]]</f>
        <v>10314215.069999652</v>
      </c>
      <c r="L979" s="5" t="s">
        <v>266</v>
      </c>
      <c r="M979" s="133" t="s">
        <v>100</v>
      </c>
    </row>
    <row r="980" spans="2:13" x14ac:dyDescent="0.35">
      <c r="B980" s="4" t="s">
        <v>104</v>
      </c>
      <c r="C980" s="104" t="s">
        <v>157</v>
      </c>
      <c r="D980" s="105">
        <v>217246</v>
      </c>
      <c r="E980" s="105">
        <v>404</v>
      </c>
      <c r="F980" s="101">
        <v>37162.15</v>
      </c>
      <c r="G980" s="5" t="s">
        <v>106</v>
      </c>
      <c r="H980" s="105">
        <v>183</v>
      </c>
      <c r="I980" s="70" t="s">
        <v>107</v>
      </c>
      <c r="J980" s="5" t="s">
        <v>108</v>
      </c>
      <c r="K980" s="101">
        <f>+K979+Tabla6[[#This Row],[IMPORTE]]</f>
        <v>10351377.219999652</v>
      </c>
      <c r="L980" s="5" t="s">
        <v>267</v>
      </c>
      <c r="M980" s="133" t="s">
        <v>100</v>
      </c>
    </row>
    <row r="981" spans="2:13" x14ac:dyDescent="0.35">
      <c r="B981" s="4" t="s">
        <v>104</v>
      </c>
      <c r="C981" s="104" t="s">
        <v>157</v>
      </c>
      <c r="D981" s="105">
        <v>217266</v>
      </c>
      <c r="E981" s="105">
        <v>404</v>
      </c>
      <c r="F981" s="101">
        <v>38056.199999999997</v>
      </c>
      <c r="G981" s="5" t="s">
        <v>106</v>
      </c>
      <c r="H981" s="105">
        <v>183</v>
      </c>
      <c r="I981" s="70" t="s">
        <v>107</v>
      </c>
      <c r="J981" s="5" t="s">
        <v>110</v>
      </c>
      <c r="K981" s="101">
        <f>+K980+Tabla6[[#This Row],[IMPORTE]]</f>
        <v>10389433.419999652</v>
      </c>
      <c r="L981" s="5" t="s">
        <v>268</v>
      </c>
      <c r="M981" s="133" t="s">
        <v>100</v>
      </c>
    </row>
    <row r="982" spans="2:13" x14ac:dyDescent="0.35">
      <c r="B982" s="4" t="s">
        <v>104</v>
      </c>
      <c r="C982" s="104" t="s">
        <v>157</v>
      </c>
      <c r="D982" s="105">
        <v>217267</v>
      </c>
      <c r="E982" s="105">
        <v>404</v>
      </c>
      <c r="F982" s="101">
        <v>38056.199999999997</v>
      </c>
      <c r="G982" s="5" t="s">
        <v>106</v>
      </c>
      <c r="H982" s="105">
        <v>183</v>
      </c>
      <c r="I982" s="70" t="s">
        <v>107</v>
      </c>
      <c r="J982" s="5" t="s">
        <v>115</v>
      </c>
      <c r="K982" s="101">
        <f>+K981+Tabla6[[#This Row],[IMPORTE]]</f>
        <v>10427489.619999651</v>
      </c>
      <c r="L982" s="5" t="s">
        <v>268</v>
      </c>
      <c r="M982" s="133" t="s">
        <v>100</v>
      </c>
    </row>
    <row r="983" spans="2:13" x14ac:dyDescent="0.35">
      <c r="B983" s="4" t="s">
        <v>117</v>
      </c>
      <c r="C983" s="104" t="s">
        <v>157</v>
      </c>
      <c r="D983" s="105">
        <v>8855</v>
      </c>
      <c r="E983" s="105">
        <v>404</v>
      </c>
      <c r="F983" s="101">
        <v>38622.480000000003</v>
      </c>
      <c r="G983" s="5" t="s">
        <v>129</v>
      </c>
      <c r="H983" s="105">
        <v>4098</v>
      </c>
      <c r="I983" s="105">
        <v>30717862453</v>
      </c>
      <c r="J983" s="5" t="s">
        <v>130</v>
      </c>
      <c r="K983" s="101">
        <f>+K982+Tabla6[[#This Row],[IMPORTE]]</f>
        <v>10466112.099999651</v>
      </c>
      <c r="L983" s="5" t="s">
        <v>266</v>
      </c>
      <c r="M983" s="133" t="s">
        <v>100</v>
      </c>
    </row>
    <row r="984" spans="2:13" x14ac:dyDescent="0.35">
      <c r="B984" s="4" t="s">
        <v>117</v>
      </c>
      <c r="C984" s="104" t="s">
        <v>157</v>
      </c>
      <c r="D984" s="105">
        <v>239769</v>
      </c>
      <c r="E984" s="105">
        <v>404</v>
      </c>
      <c r="F984" s="101">
        <v>38622.480000000003</v>
      </c>
      <c r="G984" s="5" t="s">
        <v>129</v>
      </c>
      <c r="H984" s="105">
        <v>4098</v>
      </c>
      <c r="I984" s="105">
        <v>30717862453</v>
      </c>
      <c r="J984" s="5" t="s">
        <v>130</v>
      </c>
      <c r="K984" s="101">
        <f>+K983+Tabla6[[#This Row],[IMPORTE]]</f>
        <v>10504734.579999652</v>
      </c>
      <c r="L984" s="5" t="s">
        <v>266</v>
      </c>
      <c r="M984" s="133" t="s">
        <v>100</v>
      </c>
    </row>
    <row r="985" spans="2:13" x14ac:dyDescent="0.35">
      <c r="B985" s="4" t="s">
        <v>117</v>
      </c>
      <c r="C985" s="104" t="s">
        <v>157</v>
      </c>
      <c r="D985" s="105">
        <v>483474</v>
      </c>
      <c r="E985" s="105">
        <v>404</v>
      </c>
      <c r="F985" s="101">
        <v>38622.480000000003</v>
      </c>
      <c r="G985" s="5" t="s">
        <v>129</v>
      </c>
      <c r="H985" s="105">
        <v>4098</v>
      </c>
      <c r="I985" s="105">
        <v>30717862453</v>
      </c>
      <c r="J985" s="5" t="s">
        <v>130</v>
      </c>
      <c r="K985" s="101">
        <f>+K984+Tabla6[[#This Row],[IMPORTE]]</f>
        <v>10543357.059999652</v>
      </c>
      <c r="L985" s="5" t="s">
        <v>266</v>
      </c>
      <c r="M985" s="133" t="s">
        <v>100</v>
      </c>
    </row>
    <row r="986" spans="2:13" x14ac:dyDescent="0.35">
      <c r="B986" s="4" t="s">
        <v>117</v>
      </c>
      <c r="C986" s="104" t="s">
        <v>157</v>
      </c>
      <c r="D986" s="105">
        <v>701582</v>
      </c>
      <c r="E986" s="105">
        <v>404</v>
      </c>
      <c r="F986" s="101">
        <v>38622.480000000003</v>
      </c>
      <c r="G986" s="5" t="s">
        <v>129</v>
      </c>
      <c r="H986" s="105">
        <v>4098</v>
      </c>
      <c r="I986" s="105">
        <v>30717862453</v>
      </c>
      <c r="J986" s="5" t="s">
        <v>130</v>
      </c>
      <c r="K986" s="101">
        <f>+K985+Tabla6[[#This Row],[IMPORTE]]</f>
        <v>10581979.539999653</v>
      </c>
      <c r="L986" s="5" t="s">
        <v>266</v>
      </c>
      <c r="M986" s="133" t="s">
        <v>100</v>
      </c>
    </row>
    <row r="987" spans="2:13" x14ac:dyDescent="0.35">
      <c r="B987" s="4" t="s">
        <v>117</v>
      </c>
      <c r="C987" s="104" t="s">
        <v>157</v>
      </c>
      <c r="D987" s="105">
        <v>914118</v>
      </c>
      <c r="E987" s="105">
        <v>404</v>
      </c>
      <c r="F987" s="101">
        <v>38622.480000000003</v>
      </c>
      <c r="G987" s="5" t="s">
        <v>129</v>
      </c>
      <c r="H987" s="105">
        <v>4098</v>
      </c>
      <c r="I987" s="105">
        <v>30717862453</v>
      </c>
      <c r="J987" s="5" t="s">
        <v>130</v>
      </c>
      <c r="K987" s="101">
        <f>+K986+Tabla6[[#This Row],[IMPORTE]]</f>
        <v>10620602.019999653</v>
      </c>
      <c r="L987" s="5" t="s">
        <v>266</v>
      </c>
      <c r="M987" s="133" t="s">
        <v>100</v>
      </c>
    </row>
    <row r="988" spans="2:13" x14ac:dyDescent="0.35">
      <c r="B988" s="4" t="s">
        <v>104</v>
      </c>
      <c r="C988" s="104" t="s">
        <v>157</v>
      </c>
      <c r="D988" s="105">
        <v>217270</v>
      </c>
      <c r="E988" s="105">
        <v>404</v>
      </c>
      <c r="F988" s="101">
        <v>48537.82</v>
      </c>
      <c r="G988" s="5" t="s">
        <v>106</v>
      </c>
      <c r="H988" s="105">
        <v>183</v>
      </c>
      <c r="I988" s="70" t="s">
        <v>107</v>
      </c>
      <c r="J988" s="5" t="s">
        <v>109</v>
      </c>
      <c r="K988" s="101">
        <f>+K987+Tabla6[[#This Row],[IMPORTE]]</f>
        <v>10669139.839999653</v>
      </c>
      <c r="L988" s="5" t="s">
        <v>267</v>
      </c>
      <c r="M988" s="133" t="s">
        <v>100</v>
      </c>
    </row>
    <row r="989" spans="2:13" x14ac:dyDescent="0.35">
      <c r="B989" s="4" t="s">
        <v>117</v>
      </c>
      <c r="C989" s="104" t="s">
        <v>157</v>
      </c>
      <c r="D989" s="105">
        <v>962836</v>
      </c>
      <c r="E989" s="105">
        <v>404</v>
      </c>
      <c r="F989" s="101">
        <v>51496.639999999999</v>
      </c>
      <c r="G989" s="5" t="s">
        <v>129</v>
      </c>
      <c r="H989" s="105">
        <v>4098</v>
      </c>
      <c r="I989" s="105">
        <v>30717862453</v>
      </c>
      <c r="J989" s="5" t="s">
        <v>130</v>
      </c>
      <c r="K989" s="101">
        <f>+K988+Tabla6[[#This Row],[IMPORTE]]</f>
        <v>10720636.479999654</v>
      </c>
      <c r="L989" s="5" t="s">
        <v>266</v>
      </c>
      <c r="M989" s="133" t="s">
        <v>100</v>
      </c>
    </row>
    <row r="990" spans="2:13" x14ac:dyDescent="0.35">
      <c r="B990" s="4" t="s">
        <v>104</v>
      </c>
      <c r="C990" s="104" t="s">
        <v>157</v>
      </c>
      <c r="D990" s="105">
        <v>217271</v>
      </c>
      <c r="E990" s="105">
        <v>404</v>
      </c>
      <c r="F990" s="101">
        <v>62997.65</v>
      </c>
      <c r="G990" s="5" t="s">
        <v>106</v>
      </c>
      <c r="H990" s="105">
        <v>183</v>
      </c>
      <c r="I990" s="70" t="s">
        <v>107</v>
      </c>
      <c r="J990" s="5" t="s">
        <v>113</v>
      </c>
      <c r="K990" s="101">
        <f>+K989+Tabla6[[#This Row],[IMPORTE]]</f>
        <v>10783634.129999654</v>
      </c>
      <c r="L990" s="5" t="s">
        <v>268</v>
      </c>
      <c r="M990" s="133" t="s">
        <v>100</v>
      </c>
    </row>
    <row r="991" spans="2:13" x14ac:dyDescent="0.35">
      <c r="B991" s="4" t="s">
        <v>104</v>
      </c>
      <c r="C991" s="104" t="s">
        <v>157</v>
      </c>
      <c r="D991" s="105">
        <v>217265</v>
      </c>
      <c r="E991" s="105">
        <v>404</v>
      </c>
      <c r="F991" s="101">
        <v>65608.94</v>
      </c>
      <c r="G991" s="5" t="s">
        <v>106</v>
      </c>
      <c r="H991" s="105">
        <v>183</v>
      </c>
      <c r="I991" s="70" t="s">
        <v>107</v>
      </c>
      <c r="J991" s="5" t="s">
        <v>116</v>
      </c>
      <c r="K991" s="101">
        <f>+K990+Tabla6[[#This Row],[IMPORTE]]</f>
        <v>10849243.069999654</v>
      </c>
      <c r="L991" s="5" t="s">
        <v>267</v>
      </c>
      <c r="M991" s="133" t="s">
        <v>100</v>
      </c>
    </row>
    <row r="992" spans="2:13" x14ac:dyDescent="0.35">
      <c r="B992" s="4" t="s">
        <v>104</v>
      </c>
      <c r="C992" s="104" t="s">
        <v>157</v>
      </c>
      <c r="D992" s="105">
        <v>217269</v>
      </c>
      <c r="E992" s="105">
        <v>404</v>
      </c>
      <c r="F992" s="101">
        <v>68501.16</v>
      </c>
      <c r="G992" s="5" t="s">
        <v>106</v>
      </c>
      <c r="H992" s="105">
        <v>183</v>
      </c>
      <c r="I992" s="70" t="s">
        <v>107</v>
      </c>
      <c r="J992" s="5" t="s">
        <v>109</v>
      </c>
      <c r="K992" s="101">
        <f>+K991+Tabla6[[#This Row],[IMPORTE]]</f>
        <v>10917744.229999654</v>
      </c>
      <c r="L992" s="5" t="s">
        <v>268</v>
      </c>
      <c r="M992" s="133" t="s">
        <v>100</v>
      </c>
    </row>
    <row r="993" spans="2:13" x14ac:dyDescent="0.35">
      <c r="B993" s="4" t="s">
        <v>117</v>
      </c>
      <c r="C993" s="104" t="s">
        <v>157</v>
      </c>
      <c r="D993" s="105">
        <v>220449</v>
      </c>
      <c r="E993" s="105">
        <v>404</v>
      </c>
      <c r="F993" s="101">
        <v>120913.45</v>
      </c>
      <c r="G993" s="5" t="s">
        <v>129</v>
      </c>
      <c r="H993" s="105">
        <v>4098</v>
      </c>
      <c r="I993" s="105">
        <v>30717862453</v>
      </c>
      <c r="J993" s="5" t="s">
        <v>130</v>
      </c>
      <c r="K993" s="101">
        <f>+K992+Tabla6[[#This Row],[IMPORTE]]</f>
        <v>11038657.679999653</v>
      </c>
      <c r="L993" s="5" t="s">
        <v>266</v>
      </c>
      <c r="M993" s="133" t="s">
        <v>100</v>
      </c>
    </row>
    <row r="994" spans="2:13" x14ac:dyDescent="0.35">
      <c r="B994" s="4" t="s">
        <v>104</v>
      </c>
      <c r="C994" s="104" t="s">
        <v>157</v>
      </c>
      <c r="D994" s="105">
        <v>217263</v>
      </c>
      <c r="E994" s="105">
        <v>404</v>
      </c>
      <c r="F994" s="101">
        <v>190281</v>
      </c>
      <c r="G994" s="5" t="s">
        <v>106</v>
      </c>
      <c r="H994" s="105">
        <v>183</v>
      </c>
      <c r="I994" s="70" t="s">
        <v>107</v>
      </c>
      <c r="J994" s="5" t="s">
        <v>112</v>
      </c>
      <c r="K994" s="101">
        <f>+K993+Tabla6[[#This Row],[IMPORTE]]</f>
        <v>11228938.679999653</v>
      </c>
      <c r="L994" s="5" t="s">
        <v>269</v>
      </c>
      <c r="M994" s="133" t="s">
        <v>100</v>
      </c>
    </row>
    <row r="995" spans="2:13" x14ac:dyDescent="0.35">
      <c r="B995" s="4" t="s">
        <v>104</v>
      </c>
      <c r="C995" s="104" t="s">
        <v>157</v>
      </c>
      <c r="D995" s="105">
        <v>217273</v>
      </c>
      <c r="E995" s="105">
        <v>404</v>
      </c>
      <c r="F995" s="101">
        <v>190281</v>
      </c>
      <c r="G995" s="5" t="s">
        <v>106</v>
      </c>
      <c r="H995" s="105">
        <v>183</v>
      </c>
      <c r="I995" s="70" t="s">
        <v>107</v>
      </c>
      <c r="J995" s="5" t="s">
        <v>113</v>
      </c>
      <c r="K995" s="101">
        <f>+K994+Tabla6[[#This Row],[IMPORTE]]</f>
        <v>11419219.679999653</v>
      </c>
      <c r="L995" s="5" t="s">
        <v>268</v>
      </c>
      <c r="M995" s="133" t="s">
        <v>100</v>
      </c>
    </row>
    <row r="996" spans="2:13" x14ac:dyDescent="0.35">
      <c r="B996" s="4" t="s">
        <v>104</v>
      </c>
      <c r="C996" s="104" t="s">
        <v>157</v>
      </c>
      <c r="D996" s="105">
        <v>217272</v>
      </c>
      <c r="E996" s="105">
        <v>404</v>
      </c>
      <c r="F996" s="101">
        <v>212890.23</v>
      </c>
      <c r="G996" s="5" t="s">
        <v>106</v>
      </c>
      <c r="H996" s="105">
        <v>183</v>
      </c>
      <c r="I996" s="70" t="s">
        <v>107</v>
      </c>
      <c r="J996" s="5" t="s">
        <v>113</v>
      </c>
      <c r="K996" s="101">
        <f>+K995+Tabla6[[#This Row],[IMPORTE]]</f>
        <v>11632109.909999654</v>
      </c>
      <c r="L996" s="5" t="s">
        <v>267</v>
      </c>
      <c r="M996" s="133" t="s">
        <v>100</v>
      </c>
    </row>
    <row r="997" spans="2:13" x14ac:dyDescent="0.35">
      <c r="B997" s="4" t="s">
        <v>117</v>
      </c>
      <c r="C997" s="104" t="s">
        <v>157</v>
      </c>
      <c r="D997" s="105">
        <v>827907</v>
      </c>
      <c r="E997" s="105">
        <v>404</v>
      </c>
      <c r="F997" s="101">
        <v>259674.6</v>
      </c>
      <c r="G997" s="5" t="s">
        <v>129</v>
      </c>
      <c r="H997" s="105">
        <v>4098</v>
      </c>
      <c r="I997" s="105">
        <v>30717862453</v>
      </c>
      <c r="J997" s="5" t="s">
        <v>130</v>
      </c>
      <c r="K997" s="101">
        <f>+K996+Tabla6[[#This Row],[IMPORTE]]</f>
        <v>11891784.509999653</v>
      </c>
      <c r="L997" s="5" t="s">
        <v>266</v>
      </c>
      <c r="M997" s="133" t="s">
        <v>100</v>
      </c>
    </row>
    <row r="998" spans="2:13" x14ac:dyDescent="0.35">
      <c r="B998" s="4" t="s">
        <v>117</v>
      </c>
      <c r="C998" s="104" t="s">
        <v>157</v>
      </c>
      <c r="D998" s="105">
        <v>267800</v>
      </c>
      <c r="E998" s="105">
        <v>404</v>
      </c>
      <c r="F998" s="101">
        <v>298680.51</v>
      </c>
      <c r="G998" s="5" t="s">
        <v>129</v>
      </c>
      <c r="H998" s="105">
        <v>4098</v>
      </c>
      <c r="I998" s="105">
        <v>30717862453</v>
      </c>
      <c r="J998" s="5" t="s">
        <v>130</v>
      </c>
      <c r="K998" s="101">
        <f>+K997+Tabla6[[#This Row],[IMPORTE]]</f>
        <v>12190465.019999653</v>
      </c>
      <c r="L998" s="5" t="s">
        <v>266</v>
      </c>
      <c r="M998" s="133" t="s">
        <v>100</v>
      </c>
    </row>
    <row r="999" spans="2:13" x14ac:dyDescent="0.35">
      <c r="B999" s="4" t="s">
        <v>117</v>
      </c>
      <c r="C999" s="104" t="s">
        <v>157</v>
      </c>
      <c r="D999" s="105">
        <v>127475</v>
      </c>
      <c r="E999" s="105">
        <v>404</v>
      </c>
      <c r="F999" s="101">
        <v>356598.2</v>
      </c>
      <c r="G999" s="5" t="s">
        <v>129</v>
      </c>
      <c r="H999" s="105">
        <v>4098</v>
      </c>
      <c r="I999" s="105">
        <v>30717862453</v>
      </c>
      <c r="J999" s="5" t="s">
        <v>130</v>
      </c>
      <c r="K999" s="101">
        <f>+K998+Tabla6[[#This Row],[IMPORTE]]</f>
        <v>12547063.219999652</v>
      </c>
      <c r="L999" s="5" t="s">
        <v>266</v>
      </c>
      <c r="M999" s="133" t="s">
        <v>100</v>
      </c>
    </row>
    <row r="1000" spans="2:13" x14ac:dyDescent="0.35">
      <c r="B1000" s="4" t="s">
        <v>104</v>
      </c>
      <c r="C1000" s="104" t="s">
        <v>157</v>
      </c>
      <c r="D1000" s="105">
        <v>217264</v>
      </c>
      <c r="E1000" s="105">
        <v>404</v>
      </c>
      <c r="F1000" s="101">
        <v>572628.17000000004</v>
      </c>
      <c r="G1000" s="5" t="s">
        <v>106</v>
      </c>
      <c r="H1000" s="105">
        <v>183</v>
      </c>
      <c r="I1000" s="70" t="s">
        <v>107</v>
      </c>
      <c r="J1000" s="5" t="s">
        <v>112</v>
      </c>
      <c r="K1000" s="101">
        <f>+K999+Tabla6[[#This Row],[IMPORTE]]</f>
        <v>13119691.389999652</v>
      </c>
      <c r="L1000" s="5" t="s">
        <v>267</v>
      </c>
      <c r="M1000" s="133" t="s">
        <v>100</v>
      </c>
    </row>
    <row r="1001" spans="2:13" x14ac:dyDescent="0.35">
      <c r="B1001" s="4" t="s">
        <v>117</v>
      </c>
      <c r="C1001" s="104" t="s">
        <v>157</v>
      </c>
      <c r="D1001" s="105">
        <v>113</v>
      </c>
      <c r="E1001" s="105">
        <v>811</v>
      </c>
      <c r="F1001" s="101">
        <v>1291622.51</v>
      </c>
      <c r="G1001" s="5" t="s">
        <v>118</v>
      </c>
      <c r="H1001" s="105">
        <v>4151</v>
      </c>
      <c r="I1001" s="70" t="s">
        <v>107</v>
      </c>
      <c r="J1001" s="5" t="s">
        <v>119</v>
      </c>
      <c r="K1001" s="101">
        <f>+K1000+Tabla6[[#This Row],[IMPORTE]]</f>
        <v>14411313.899999652</v>
      </c>
      <c r="L1001" s="5" t="s">
        <v>270</v>
      </c>
      <c r="M1001" s="133" t="s">
        <v>100</v>
      </c>
    </row>
    <row r="1002" spans="2:13" x14ac:dyDescent="0.35">
      <c r="B1002" s="4" t="s">
        <v>104</v>
      </c>
      <c r="C1002" s="104" t="s">
        <v>157</v>
      </c>
      <c r="D1002" s="105">
        <v>217268</v>
      </c>
      <c r="E1002" s="105">
        <v>404</v>
      </c>
      <c r="F1002" s="101">
        <v>1956728.87</v>
      </c>
      <c r="G1002" s="5" t="s">
        <v>106</v>
      </c>
      <c r="H1002" s="105">
        <v>183</v>
      </c>
      <c r="I1002" s="70" t="s">
        <v>107</v>
      </c>
      <c r="J1002" s="5" t="s">
        <v>158</v>
      </c>
      <c r="K1002" s="101">
        <f>+K1001+Tabla6[[#This Row],[IMPORTE]]</f>
        <v>16368042.769999653</v>
      </c>
      <c r="L1002" s="5" t="s">
        <v>271</v>
      </c>
      <c r="M1002" s="133" t="s">
        <v>100</v>
      </c>
    </row>
    <row r="1003" spans="2:13" x14ac:dyDescent="0.35">
      <c r="B1003" s="4" t="s">
        <v>117</v>
      </c>
      <c r="C1003" s="104" t="s">
        <v>159</v>
      </c>
      <c r="D1003" s="105">
        <v>141544</v>
      </c>
      <c r="E1003" s="105">
        <v>404</v>
      </c>
      <c r="F1003" s="101">
        <v>25337.78</v>
      </c>
      <c r="G1003" s="5" t="s">
        <v>129</v>
      </c>
      <c r="H1003" s="105">
        <v>4098</v>
      </c>
      <c r="I1003" s="105">
        <v>30717862453</v>
      </c>
      <c r="J1003" s="5" t="s">
        <v>130</v>
      </c>
      <c r="K1003" s="101">
        <f>+K1002+Tabla6[[#This Row],[IMPORTE]]</f>
        <v>16393380.549999652</v>
      </c>
      <c r="L1003" s="5" t="s">
        <v>272</v>
      </c>
      <c r="M1003" s="133" t="s">
        <v>100</v>
      </c>
    </row>
    <row r="1004" spans="2:13" x14ac:dyDescent="0.35">
      <c r="B1004" s="4" t="s">
        <v>104</v>
      </c>
      <c r="C1004" s="104" t="s">
        <v>159</v>
      </c>
      <c r="D1004" s="105">
        <v>275295</v>
      </c>
      <c r="E1004" s="105">
        <v>404</v>
      </c>
      <c r="F1004" s="101">
        <v>27147.89</v>
      </c>
      <c r="G1004" s="5" t="s">
        <v>106</v>
      </c>
      <c r="H1004" s="105">
        <v>183</v>
      </c>
      <c r="I1004" s="70" t="s">
        <v>107</v>
      </c>
      <c r="J1004" s="5" t="s">
        <v>109</v>
      </c>
      <c r="K1004" s="101">
        <f>+K1003+Tabla6[[#This Row],[IMPORTE]]</f>
        <v>16420528.439999653</v>
      </c>
      <c r="L1004" s="5" t="s">
        <v>273</v>
      </c>
      <c r="M1004" s="133" t="s">
        <v>100</v>
      </c>
    </row>
    <row r="1005" spans="2:13" x14ac:dyDescent="0.35">
      <c r="B1005" s="4" t="s">
        <v>117</v>
      </c>
      <c r="C1005" s="104" t="s">
        <v>159</v>
      </c>
      <c r="D1005" s="105">
        <v>229900</v>
      </c>
      <c r="E1005" s="105">
        <v>404</v>
      </c>
      <c r="F1005" s="101">
        <v>30339.42</v>
      </c>
      <c r="G1005" s="5" t="s">
        <v>129</v>
      </c>
      <c r="H1005" s="105">
        <v>4098</v>
      </c>
      <c r="I1005" s="105">
        <v>30717862453</v>
      </c>
      <c r="J1005" s="5" t="s">
        <v>130</v>
      </c>
      <c r="K1005" s="101">
        <f>+K1004+Tabla6[[#This Row],[IMPORTE]]</f>
        <v>16450867.859999653</v>
      </c>
      <c r="L1005" s="5" t="s">
        <v>272</v>
      </c>
      <c r="M1005" s="133" t="s">
        <v>100</v>
      </c>
    </row>
    <row r="1006" spans="2:13" x14ac:dyDescent="0.35">
      <c r="B1006" s="4" t="s">
        <v>117</v>
      </c>
      <c r="C1006" s="104" t="s">
        <v>159</v>
      </c>
      <c r="D1006" s="105">
        <v>923748</v>
      </c>
      <c r="E1006" s="105">
        <v>404</v>
      </c>
      <c r="F1006" s="101">
        <v>32255.54</v>
      </c>
      <c r="G1006" s="5" t="s">
        <v>129</v>
      </c>
      <c r="H1006" s="105">
        <v>4098</v>
      </c>
      <c r="I1006" s="105">
        <v>30717862453</v>
      </c>
      <c r="J1006" s="5" t="s">
        <v>130</v>
      </c>
      <c r="K1006" s="101">
        <f>+K1005+Tabla6[[#This Row],[IMPORTE]]</f>
        <v>16483123.399999652</v>
      </c>
      <c r="L1006" s="5" t="s">
        <v>272</v>
      </c>
      <c r="M1006" s="133" t="s">
        <v>100</v>
      </c>
    </row>
    <row r="1007" spans="2:13" x14ac:dyDescent="0.35">
      <c r="B1007" s="4" t="s">
        <v>117</v>
      </c>
      <c r="C1007" s="104" t="s">
        <v>159</v>
      </c>
      <c r="D1007" s="105">
        <v>301592</v>
      </c>
      <c r="E1007" s="105">
        <v>404</v>
      </c>
      <c r="F1007" s="101">
        <v>34464.400000000001</v>
      </c>
      <c r="G1007" s="5" t="s">
        <v>129</v>
      </c>
      <c r="H1007" s="105">
        <v>4098</v>
      </c>
      <c r="I1007" s="105">
        <v>30717862453</v>
      </c>
      <c r="J1007" s="5" t="s">
        <v>130</v>
      </c>
      <c r="K1007" s="101">
        <f>+K1006+Tabla6[[#This Row],[IMPORTE]]</f>
        <v>16517587.799999652</v>
      </c>
      <c r="L1007" s="5" t="s">
        <v>272</v>
      </c>
      <c r="M1007" s="133" t="s">
        <v>100</v>
      </c>
    </row>
    <row r="1008" spans="2:13" x14ac:dyDescent="0.35">
      <c r="B1008" s="4" t="s">
        <v>117</v>
      </c>
      <c r="C1008" s="104" t="s">
        <v>159</v>
      </c>
      <c r="D1008" s="105">
        <v>931941</v>
      </c>
      <c r="E1008" s="105">
        <v>404</v>
      </c>
      <c r="F1008" s="101">
        <v>45059.56</v>
      </c>
      <c r="G1008" s="5" t="s">
        <v>129</v>
      </c>
      <c r="H1008" s="105">
        <v>4098</v>
      </c>
      <c r="I1008" s="105">
        <v>30717862453</v>
      </c>
      <c r="J1008" s="5" t="s">
        <v>130</v>
      </c>
      <c r="K1008" s="101">
        <f>+K1007+Tabla6[[#This Row],[IMPORTE]]</f>
        <v>16562647.359999653</v>
      </c>
      <c r="L1008" s="5" t="s">
        <v>272</v>
      </c>
      <c r="M1008" s="133" t="s">
        <v>100</v>
      </c>
    </row>
    <row r="1009" spans="2:13" x14ac:dyDescent="0.35">
      <c r="B1009" s="4" t="s">
        <v>117</v>
      </c>
      <c r="C1009" s="104" t="s">
        <v>159</v>
      </c>
      <c r="D1009" s="105">
        <v>633688</v>
      </c>
      <c r="E1009" s="105">
        <v>404</v>
      </c>
      <c r="F1009" s="101">
        <v>64370.8</v>
      </c>
      <c r="G1009" s="5" t="s">
        <v>129</v>
      </c>
      <c r="H1009" s="105">
        <v>4098</v>
      </c>
      <c r="I1009" s="105">
        <v>30717862453</v>
      </c>
      <c r="J1009" s="5" t="s">
        <v>130</v>
      </c>
      <c r="K1009" s="101">
        <f>+K1008+Tabla6[[#This Row],[IMPORTE]]</f>
        <v>16627018.159999654</v>
      </c>
      <c r="L1009" s="5" t="s">
        <v>272</v>
      </c>
      <c r="M1009" s="133" t="s">
        <v>100</v>
      </c>
    </row>
    <row r="1010" spans="2:13" x14ac:dyDescent="0.35">
      <c r="B1010" s="4" t="s">
        <v>104</v>
      </c>
      <c r="C1010" s="104" t="s">
        <v>159</v>
      </c>
      <c r="D1010" s="105">
        <v>275290</v>
      </c>
      <c r="E1010" s="105">
        <v>404</v>
      </c>
      <c r="F1010" s="101">
        <v>76112.399999999994</v>
      </c>
      <c r="G1010" s="5" t="s">
        <v>106</v>
      </c>
      <c r="H1010" s="105">
        <v>183</v>
      </c>
      <c r="I1010" s="70" t="s">
        <v>107</v>
      </c>
      <c r="J1010" s="5" t="s">
        <v>116</v>
      </c>
      <c r="K1010" s="101">
        <f>+K1009+Tabla6[[#This Row],[IMPORTE]]</f>
        <v>16703130.559999654</v>
      </c>
      <c r="L1010" s="5" t="s">
        <v>274</v>
      </c>
      <c r="M1010" s="133" t="s">
        <v>100</v>
      </c>
    </row>
    <row r="1011" spans="2:13" x14ac:dyDescent="0.35">
      <c r="B1011" s="4" t="s">
        <v>104</v>
      </c>
      <c r="C1011" s="104" t="s">
        <v>159</v>
      </c>
      <c r="D1011" s="105">
        <v>275294</v>
      </c>
      <c r="E1011" s="105">
        <v>404</v>
      </c>
      <c r="F1011" s="101">
        <v>76112.399999999994</v>
      </c>
      <c r="G1011" s="5" t="s">
        <v>106</v>
      </c>
      <c r="H1011" s="105">
        <v>183</v>
      </c>
      <c r="I1011" s="70" t="s">
        <v>107</v>
      </c>
      <c r="J1011" s="5" t="s">
        <v>109</v>
      </c>
      <c r="K1011" s="101">
        <f>+K1010+Tabla6[[#This Row],[IMPORTE]]</f>
        <v>16779242.959999654</v>
      </c>
      <c r="L1011" s="5" t="s">
        <v>274</v>
      </c>
      <c r="M1011" s="133" t="s">
        <v>100</v>
      </c>
    </row>
    <row r="1012" spans="2:13" x14ac:dyDescent="0.35">
      <c r="B1012" s="4" t="s">
        <v>104</v>
      </c>
      <c r="C1012" s="104" t="s">
        <v>159</v>
      </c>
      <c r="D1012" s="105">
        <v>275289</v>
      </c>
      <c r="E1012" s="105">
        <v>404</v>
      </c>
      <c r="F1012" s="101">
        <v>108201.91</v>
      </c>
      <c r="G1012" s="5" t="s">
        <v>106</v>
      </c>
      <c r="H1012" s="105">
        <v>183</v>
      </c>
      <c r="I1012" s="70" t="s">
        <v>107</v>
      </c>
      <c r="J1012" s="5" t="s">
        <v>150</v>
      </c>
      <c r="K1012" s="101">
        <f>+K1011+Tabla6[[#This Row],[IMPORTE]]</f>
        <v>16887444.869999655</v>
      </c>
      <c r="L1012" s="5" t="s">
        <v>274</v>
      </c>
      <c r="M1012" s="133" t="s">
        <v>100</v>
      </c>
    </row>
    <row r="1013" spans="2:13" x14ac:dyDescent="0.35">
      <c r="B1013" s="4" t="s">
        <v>104</v>
      </c>
      <c r="C1013" s="104" t="s">
        <v>159</v>
      </c>
      <c r="D1013" s="105">
        <v>275287</v>
      </c>
      <c r="E1013" s="105">
        <v>404</v>
      </c>
      <c r="F1013" s="101">
        <v>114168.6</v>
      </c>
      <c r="G1013" s="5" t="s">
        <v>106</v>
      </c>
      <c r="H1013" s="105">
        <v>183</v>
      </c>
      <c r="I1013" s="70" t="s">
        <v>107</v>
      </c>
      <c r="J1013" s="5" t="s">
        <v>112</v>
      </c>
      <c r="K1013" s="101">
        <f>+K1012+Tabla6[[#This Row],[IMPORTE]]</f>
        <v>17001613.469999656</v>
      </c>
      <c r="L1013" s="5" t="s">
        <v>274</v>
      </c>
      <c r="M1013" s="133" t="s">
        <v>100</v>
      </c>
    </row>
    <row r="1014" spans="2:13" x14ac:dyDescent="0.35">
      <c r="B1014" s="4" t="s">
        <v>117</v>
      </c>
      <c r="C1014" s="104" t="s">
        <v>159</v>
      </c>
      <c r="D1014" s="105">
        <v>654306</v>
      </c>
      <c r="E1014" s="105">
        <v>404</v>
      </c>
      <c r="F1014" s="101">
        <v>118845.28</v>
      </c>
      <c r="G1014" s="5" t="s">
        <v>129</v>
      </c>
      <c r="H1014" s="105">
        <v>4098</v>
      </c>
      <c r="I1014" s="105">
        <v>30717862453</v>
      </c>
      <c r="J1014" s="5" t="s">
        <v>130</v>
      </c>
      <c r="K1014" s="101">
        <f>+K1013+Tabla6[[#This Row],[IMPORTE]]</f>
        <v>17120458.749999657</v>
      </c>
      <c r="L1014" s="5" t="s">
        <v>272</v>
      </c>
      <c r="M1014" s="133" t="s">
        <v>100</v>
      </c>
    </row>
    <row r="1015" spans="2:13" x14ac:dyDescent="0.35">
      <c r="B1015" s="4" t="s">
        <v>104</v>
      </c>
      <c r="C1015" s="104" t="s">
        <v>159</v>
      </c>
      <c r="D1015" s="105">
        <v>275291</v>
      </c>
      <c r="E1015" s="105">
        <v>404</v>
      </c>
      <c r="F1015" s="101">
        <v>139281.28</v>
      </c>
      <c r="G1015" s="5" t="s">
        <v>106</v>
      </c>
      <c r="H1015" s="105">
        <v>183</v>
      </c>
      <c r="I1015" s="70" t="s">
        <v>107</v>
      </c>
      <c r="J1015" s="5" t="s">
        <v>116</v>
      </c>
      <c r="K1015" s="101">
        <f>+K1014+Tabla6[[#This Row],[IMPORTE]]</f>
        <v>17259740.029999658</v>
      </c>
      <c r="L1015" s="5" t="s">
        <v>274</v>
      </c>
      <c r="M1015" s="133" t="s">
        <v>100</v>
      </c>
    </row>
    <row r="1016" spans="2:13" x14ac:dyDescent="0.35">
      <c r="B1016" s="4" t="s">
        <v>117</v>
      </c>
      <c r="C1016" s="104" t="s">
        <v>159</v>
      </c>
      <c r="D1016" s="105">
        <v>289001</v>
      </c>
      <c r="E1016" s="105">
        <v>404</v>
      </c>
      <c r="F1016" s="101">
        <v>155579.48000000001</v>
      </c>
      <c r="G1016" s="5" t="s">
        <v>129</v>
      </c>
      <c r="H1016" s="105">
        <v>4098</v>
      </c>
      <c r="I1016" s="105">
        <v>30717862453</v>
      </c>
      <c r="J1016" s="5" t="s">
        <v>130</v>
      </c>
      <c r="K1016" s="101">
        <f>+K1015+Tabla6[[#This Row],[IMPORTE]]</f>
        <v>17415319.509999659</v>
      </c>
      <c r="L1016" s="5" t="s">
        <v>272</v>
      </c>
      <c r="M1016" s="133" t="s">
        <v>100</v>
      </c>
    </row>
    <row r="1017" spans="2:13" x14ac:dyDescent="0.35">
      <c r="B1017" s="4" t="s">
        <v>104</v>
      </c>
      <c r="C1017" s="104" t="s">
        <v>159</v>
      </c>
      <c r="D1017" s="105">
        <v>275253</v>
      </c>
      <c r="E1017" s="105">
        <v>404</v>
      </c>
      <c r="F1017" s="101">
        <v>216486.65</v>
      </c>
      <c r="G1017" s="5" t="s">
        <v>106</v>
      </c>
      <c r="H1017" s="105">
        <v>183</v>
      </c>
      <c r="I1017" s="70" t="s">
        <v>107</v>
      </c>
      <c r="J1017" s="5" t="s">
        <v>111</v>
      </c>
      <c r="K1017" s="101">
        <f>+K1016+Tabla6[[#This Row],[IMPORTE]]</f>
        <v>17631806.159999657</v>
      </c>
      <c r="L1017" s="5" t="s">
        <v>274</v>
      </c>
      <c r="M1017" s="133" t="s">
        <v>100</v>
      </c>
    </row>
    <row r="1018" spans="2:13" x14ac:dyDescent="0.35">
      <c r="B1018" s="4" t="s">
        <v>104</v>
      </c>
      <c r="C1018" s="104" t="s">
        <v>159</v>
      </c>
      <c r="D1018" s="105">
        <v>275297</v>
      </c>
      <c r="E1018" s="105">
        <v>404</v>
      </c>
      <c r="F1018" s="101">
        <v>217362.72</v>
      </c>
      <c r="G1018" s="5" t="s">
        <v>106</v>
      </c>
      <c r="H1018" s="105">
        <v>183</v>
      </c>
      <c r="I1018" s="70" t="s">
        <v>107</v>
      </c>
      <c r="J1018" s="5" t="s">
        <v>113</v>
      </c>
      <c r="K1018" s="101">
        <f>+K1017+Tabla6[[#This Row],[IMPORTE]]</f>
        <v>17849168.879999656</v>
      </c>
      <c r="L1018" s="5" t="s">
        <v>274</v>
      </c>
      <c r="M1018" s="133" t="s">
        <v>100</v>
      </c>
    </row>
    <row r="1019" spans="2:13" x14ac:dyDescent="0.35">
      <c r="B1019" s="4" t="s">
        <v>104</v>
      </c>
      <c r="C1019" s="104" t="s">
        <v>159</v>
      </c>
      <c r="D1019" s="105">
        <v>275293</v>
      </c>
      <c r="E1019" s="105">
        <v>404</v>
      </c>
      <c r="F1019" s="101">
        <v>230095.96</v>
      </c>
      <c r="G1019" s="5" t="s">
        <v>106</v>
      </c>
      <c r="H1019" s="105">
        <v>183</v>
      </c>
      <c r="I1019" s="70" t="s">
        <v>107</v>
      </c>
      <c r="J1019" s="5" t="s">
        <v>115</v>
      </c>
      <c r="K1019" s="101">
        <f>+K1018+Tabla6[[#This Row],[IMPORTE]]</f>
        <v>18079264.839999657</v>
      </c>
      <c r="L1019" s="5" t="s">
        <v>274</v>
      </c>
      <c r="M1019" s="133" t="s">
        <v>100</v>
      </c>
    </row>
    <row r="1020" spans="2:13" x14ac:dyDescent="0.35">
      <c r="B1020" s="4" t="s">
        <v>104</v>
      </c>
      <c r="C1020" s="104" t="s">
        <v>159</v>
      </c>
      <c r="D1020" s="105">
        <v>275288</v>
      </c>
      <c r="E1020" s="105">
        <v>404</v>
      </c>
      <c r="F1020" s="101">
        <v>247993.92</v>
      </c>
      <c r="G1020" s="5" t="s">
        <v>106</v>
      </c>
      <c r="H1020" s="105">
        <v>183</v>
      </c>
      <c r="I1020" s="70" t="s">
        <v>107</v>
      </c>
      <c r="J1020" s="5" t="s">
        <v>112</v>
      </c>
      <c r="K1020" s="101">
        <f>+K1019+Tabla6[[#This Row],[IMPORTE]]</f>
        <v>18327258.759999659</v>
      </c>
      <c r="L1020" s="5" t="s">
        <v>274</v>
      </c>
      <c r="M1020" s="133" t="s">
        <v>100</v>
      </c>
    </row>
    <row r="1021" spans="2:13" x14ac:dyDescent="0.35">
      <c r="B1021" s="4" t="s">
        <v>117</v>
      </c>
      <c r="C1021" s="104" t="s">
        <v>159</v>
      </c>
      <c r="D1021" s="105">
        <v>707758</v>
      </c>
      <c r="E1021" s="105">
        <v>404</v>
      </c>
      <c r="F1021" s="101">
        <v>256613.42</v>
      </c>
      <c r="G1021" s="5" t="s">
        <v>129</v>
      </c>
      <c r="H1021" s="105">
        <v>4098</v>
      </c>
      <c r="I1021" s="105">
        <v>30717862453</v>
      </c>
      <c r="J1021" s="5" t="s">
        <v>130</v>
      </c>
      <c r="K1021" s="101">
        <f>+K1020+Tabla6[[#This Row],[IMPORTE]]</f>
        <v>18583872.179999661</v>
      </c>
      <c r="L1021" s="5" t="s">
        <v>272</v>
      </c>
      <c r="M1021" s="133" t="s">
        <v>100</v>
      </c>
    </row>
    <row r="1022" spans="2:13" x14ac:dyDescent="0.35">
      <c r="B1022" s="4" t="s">
        <v>104</v>
      </c>
      <c r="C1022" s="104" t="s">
        <v>159</v>
      </c>
      <c r="D1022" s="105">
        <v>275296</v>
      </c>
      <c r="E1022" s="105">
        <v>404</v>
      </c>
      <c r="F1022" s="101">
        <v>313380.13</v>
      </c>
      <c r="G1022" s="5" t="s">
        <v>106</v>
      </c>
      <c r="H1022" s="105">
        <v>183</v>
      </c>
      <c r="I1022" s="70" t="s">
        <v>107</v>
      </c>
      <c r="J1022" s="5" t="s">
        <v>113</v>
      </c>
      <c r="K1022" s="101">
        <f>+K1021+Tabla6[[#This Row],[IMPORTE]]</f>
        <v>18897252.30999966</v>
      </c>
      <c r="L1022" s="5" t="s">
        <v>274</v>
      </c>
      <c r="M1022" s="133" t="s">
        <v>100</v>
      </c>
    </row>
    <row r="1023" spans="2:13" x14ac:dyDescent="0.35">
      <c r="B1023" s="4" t="s">
        <v>117</v>
      </c>
      <c r="C1023" s="104" t="s">
        <v>159</v>
      </c>
      <c r="D1023" s="105">
        <v>619846</v>
      </c>
      <c r="E1023" s="105">
        <v>404</v>
      </c>
      <c r="F1023" s="101">
        <v>323676.48</v>
      </c>
      <c r="G1023" s="5" t="s">
        <v>129</v>
      </c>
      <c r="H1023" s="105">
        <v>4098</v>
      </c>
      <c r="I1023" s="105">
        <v>30717862453</v>
      </c>
      <c r="J1023" s="5" t="s">
        <v>130</v>
      </c>
      <c r="K1023" s="101">
        <f>+K1022+Tabla6[[#This Row],[IMPORTE]]</f>
        <v>19220928.78999966</v>
      </c>
      <c r="L1023" s="5" t="s">
        <v>272</v>
      </c>
      <c r="M1023" s="133" t="s">
        <v>100</v>
      </c>
    </row>
    <row r="1024" spans="2:13" x14ac:dyDescent="0.35">
      <c r="B1024" s="4" t="s">
        <v>117</v>
      </c>
      <c r="C1024" s="104" t="s">
        <v>159</v>
      </c>
      <c r="D1024" s="105">
        <v>7171</v>
      </c>
      <c r="E1024" s="105">
        <v>404</v>
      </c>
      <c r="F1024" s="101">
        <v>445907.46</v>
      </c>
      <c r="G1024" s="5" t="s">
        <v>129</v>
      </c>
      <c r="H1024" s="105">
        <v>4098</v>
      </c>
      <c r="I1024" s="105">
        <v>30717862453</v>
      </c>
      <c r="J1024" s="5" t="s">
        <v>130</v>
      </c>
      <c r="K1024" s="101">
        <f>+K1023+Tabla6[[#This Row],[IMPORTE]]</f>
        <v>19666836.249999661</v>
      </c>
      <c r="L1024" s="5" t="s">
        <v>272</v>
      </c>
      <c r="M1024" s="133" t="s">
        <v>100</v>
      </c>
    </row>
    <row r="1025" spans="2:13" x14ac:dyDescent="0.35">
      <c r="B1025" s="4" t="s">
        <v>104</v>
      </c>
      <c r="C1025" s="104" t="s">
        <v>159</v>
      </c>
      <c r="D1025" s="105">
        <v>275292</v>
      </c>
      <c r="E1025" s="105">
        <v>404</v>
      </c>
      <c r="F1025" s="101">
        <v>461850.05</v>
      </c>
      <c r="G1025" s="5" t="s">
        <v>106</v>
      </c>
      <c r="H1025" s="105">
        <v>183</v>
      </c>
      <c r="I1025" s="70" t="s">
        <v>107</v>
      </c>
      <c r="J1025" s="5" t="s">
        <v>110</v>
      </c>
      <c r="K1025" s="101">
        <f>+K1024+Tabla6[[#This Row],[IMPORTE]]</f>
        <v>20128686.299999662</v>
      </c>
      <c r="L1025" s="5" t="s">
        <v>274</v>
      </c>
      <c r="M1025" s="133" t="s">
        <v>100</v>
      </c>
    </row>
    <row r="1026" spans="2:13" x14ac:dyDescent="0.35">
      <c r="B1026" s="4" t="s">
        <v>104</v>
      </c>
      <c r="C1026" s="104" t="s">
        <v>159</v>
      </c>
      <c r="D1026" s="105">
        <v>275254</v>
      </c>
      <c r="E1026" s="105">
        <v>404</v>
      </c>
      <c r="F1026" s="101">
        <v>598325.48</v>
      </c>
      <c r="G1026" s="5" t="s">
        <v>106</v>
      </c>
      <c r="H1026" s="105">
        <v>183</v>
      </c>
      <c r="I1026" s="70" t="s">
        <v>107</v>
      </c>
      <c r="J1026" s="5" t="s">
        <v>108</v>
      </c>
      <c r="K1026" s="101">
        <f>+K1025+Tabla6[[#This Row],[IMPORTE]]</f>
        <v>20727011.779999662</v>
      </c>
      <c r="L1026" s="5" t="s">
        <v>274</v>
      </c>
      <c r="M1026" s="133" t="s">
        <v>100</v>
      </c>
    </row>
    <row r="1027" spans="2:13" x14ac:dyDescent="0.35">
      <c r="B1027" s="4" t="s">
        <v>117</v>
      </c>
      <c r="C1027" s="104" t="s">
        <v>159</v>
      </c>
      <c r="D1027" s="105">
        <v>985048</v>
      </c>
      <c r="E1027" s="105">
        <v>404</v>
      </c>
      <c r="F1027" s="101">
        <v>803397.1</v>
      </c>
      <c r="G1027" s="5" t="s">
        <v>129</v>
      </c>
      <c r="H1027" s="105">
        <v>4098</v>
      </c>
      <c r="I1027" s="105">
        <v>30717862453</v>
      </c>
      <c r="J1027" s="5" t="s">
        <v>130</v>
      </c>
      <c r="K1027" s="101">
        <f>+K1026+Tabla6[[#This Row],[IMPORTE]]</f>
        <v>21530408.879999664</v>
      </c>
      <c r="L1027" s="5" t="s">
        <v>272</v>
      </c>
      <c r="M1027" s="133" t="s">
        <v>100</v>
      </c>
    </row>
    <row r="1028" spans="2:13" x14ac:dyDescent="0.35">
      <c r="B1028" s="4" t="s">
        <v>117</v>
      </c>
      <c r="C1028" s="104" t="s">
        <v>159</v>
      </c>
      <c r="D1028" s="105">
        <v>131</v>
      </c>
      <c r="E1028" s="105">
        <v>811</v>
      </c>
      <c r="F1028" s="101">
        <v>995033.77</v>
      </c>
      <c r="G1028" s="5" t="s">
        <v>118</v>
      </c>
      <c r="H1028" s="105">
        <v>4151</v>
      </c>
      <c r="I1028" s="70" t="s">
        <v>107</v>
      </c>
      <c r="J1028" s="5" t="s">
        <v>119</v>
      </c>
      <c r="K1028" s="101">
        <f>+K1027+Tabla6[[#This Row],[IMPORTE]]</f>
        <v>22525442.649999663</v>
      </c>
      <c r="L1028" s="5" t="s">
        <v>275</v>
      </c>
      <c r="M1028" s="133" t="s">
        <v>100</v>
      </c>
    </row>
    <row r="1029" spans="2:13" x14ac:dyDescent="0.35">
      <c r="B1029" s="4" t="s">
        <v>117</v>
      </c>
      <c r="C1029" s="104" t="s">
        <v>160</v>
      </c>
      <c r="D1029" s="105">
        <v>744674</v>
      </c>
      <c r="E1029" s="105">
        <v>404</v>
      </c>
      <c r="F1029" s="101">
        <v>14250.32</v>
      </c>
      <c r="G1029" s="5" t="s">
        <v>129</v>
      </c>
      <c r="H1029" s="105">
        <v>4098</v>
      </c>
      <c r="I1029" s="105">
        <v>30717862453</v>
      </c>
      <c r="J1029" s="5" t="s">
        <v>130</v>
      </c>
      <c r="K1029" s="101">
        <f>+K1028+Tabla6[[#This Row],[IMPORTE]]</f>
        <v>22539692.969999664</v>
      </c>
      <c r="L1029" s="5" t="s">
        <v>276</v>
      </c>
      <c r="M1029" s="133" t="s">
        <v>100</v>
      </c>
    </row>
    <row r="1030" spans="2:13" x14ac:dyDescent="0.35">
      <c r="B1030" s="4" t="s">
        <v>104</v>
      </c>
      <c r="C1030" s="104" t="s">
        <v>160</v>
      </c>
      <c r="D1030" s="105">
        <v>202752</v>
      </c>
      <c r="E1030" s="105">
        <v>404</v>
      </c>
      <c r="F1030" s="101">
        <v>15373.49</v>
      </c>
      <c r="G1030" s="5" t="s">
        <v>106</v>
      </c>
      <c r="H1030" s="105">
        <v>183</v>
      </c>
      <c r="I1030" s="70" t="s">
        <v>107</v>
      </c>
      <c r="J1030" s="5" t="s">
        <v>113</v>
      </c>
      <c r="K1030" s="101">
        <f>+K1029+Tabla6[[#This Row],[IMPORTE]]</f>
        <v>22555066.459999662</v>
      </c>
      <c r="L1030" s="5" t="s">
        <v>277</v>
      </c>
      <c r="M1030" s="133" t="s">
        <v>100</v>
      </c>
    </row>
    <row r="1031" spans="2:13" x14ac:dyDescent="0.35">
      <c r="B1031" s="4" t="s">
        <v>117</v>
      </c>
      <c r="C1031" s="104" t="s">
        <v>160</v>
      </c>
      <c r="D1031" s="105">
        <v>397502</v>
      </c>
      <c r="E1031" s="105">
        <v>404</v>
      </c>
      <c r="F1031" s="101">
        <v>23173.49</v>
      </c>
      <c r="G1031" s="5" t="s">
        <v>129</v>
      </c>
      <c r="H1031" s="105">
        <v>4098</v>
      </c>
      <c r="I1031" s="105">
        <v>30717862453</v>
      </c>
      <c r="J1031" s="5" t="s">
        <v>130</v>
      </c>
      <c r="K1031" s="101">
        <f>+K1030+Tabla6[[#This Row],[IMPORTE]]</f>
        <v>22578239.94999966</v>
      </c>
      <c r="L1031" s="5" t="s">
        <v>276</v>
      </c>
      <c r="M1031" s="133" t="s">
        <v>100</v>
      </c>
    </row>
    <row r="1032" spans="2:13" x14ac:dyDescent="0.35">
      <c r="B1032" s="4" t="s">
        <v>117</v>
      </c>
      <c r="C1032" s="104" t="s">
        <v>160</v>
      </c>
      <c r="D1032" s="105">
        <v>475929</v>
      </c>
      <c r="E1032" s="105">
        <v>404</v>
      </c>
      <c r="F1032" s="101">
        <v>23173.49</v>
      </c>
      <c r="G1032" s="5" t="s">
        <v>129</v>
      </c>
      <c r="H1032" s="105">
        <v>4098</v>
      </c>
      <c r="I1032" s="105">
        <v>30717862453</v>
      </c>
      <c r="J1032" s="5" t="s">
        <v>130</v>
      </c>
      <c r="K1032" s="101">
        <f>+K1031+Tabla6[[#This Row],[IMPORTE]]</f>
        <v>22601413.439999659</v>
      </c>
      <c r="L1032" s="5" t="s">
        <v>276</v>
      </c>
      <c r="M1032" s="133" t="s">
        <v>100</v>
      </c>
    </row>
    <row r="1033" spans="2:13" x14ac:dyDescent="0.35">
      <c r="B1033" s="4" t="s">
        <v>117</v>
      </c>
      <c r="C1033" s="104" t="s">
        <v>160</v>
      </c>
      <c r="D1033" s="105">
        <v>713938</v>
      </c>
      <c r="E1033" s="105">
        <v>404</v>
      </c>
      <c r="F1033" s="101">
        <v>23173.49</v>
      </c>
      <c r="G1033" s="5" t="s">
        <v>129</v>
      </c>
      <c r="H1033" s="105">
        <v>4098</v>
      </c>
      <c r="I1033" s="105">
        <v>30717862453</v>
      </c>
      <c r="J1033" s="5" t="s">
        <v>130</v>
      </c>
      <c r="K1033" s="101">
        <f>+K1032+Tabla6[[#This Row],[IMPORTE]]</f>
        <v>22624586.929999657</v>
      </c>
      <c r="L1033" s="5" t="s">
        <v>276</v>
      </c>
      <c r="M1033" s="133" t="s">
        <v>100</v>
      </c>
    </row>
    <row r="1034" spans="2:13" x14ac:dyDescent="0.35">
      <c r="B1034" s="4" t="s">
        <v>104</v>
      </c>
      <c r="C1034" s="104" t="s">
        <v>160</v>
      </c>
      <c r="D1034" s="105">
        <v>202721</v>
      </c>
      <c r="E1034" s="105">
        <v>404</v>
      </c>
      <c r="F1034" s="101">
        <v>33801.75</v>
      </c>
      <c r="G1034" s="5" t="s">
        <v>106</v>
      </c>
      <c r="H1034" s="105">
        <v>183</v>
      </c>
      <c r="I1034" s="70" t="s">
        <v>107</v>
      </c>
      <c r="J1034" s="5" t="s">
        <v>161</v>
      </c>
      <c r="K1034" s="101">
        <f>+K1033+Tabla6[[#This Row],[IMPORTE]]</f>
        <v>22658388.679999657</v>
      </c>
      <c r="L1034" s="5" t="s">
        <v>277</v>
      </c>
      <c r="M1034" s="133" t="s">
        <v>100</v>
      </c>
    </row>
    <row r="1035" spans="2:13" x14ac:dyDescent="0.35">
      <c r="B1035" s="4" t="s">
        <v>117</v>
      </c>
      <c r="C1035" s="104" t="s">
        <v>160</v>
      </c>
      <c r="D1035" s="105">
        <v>210161</v>
      </c>
      <c r="E1035" s="105">
        <v>404</v>
      </c>
      <c r="F1035" s="101">
        <v>36097.839999999997</v>
      </c>
      <c r="G1035" s="5" t="s">
        <v>129</v>
      </c>
      <c r="H1035" s="105">
        <v>4098</v>
      </c>
      <c r="I1035" s="105">
        <v>30717862453</v>
      </c>
      <c r="J1035" s="5" t="s">
        <v>130</v>
      </c>
      <c r="K1035" s="101">
        <f>+K1034+Tabla6[[#This Row],[IMPORTE]]</f>
        <v>22694486.519999657</v>
      </c>
      <c r="L1035" s="5" t="s">
        <v>276</v>
      </c>
      <c r="M1035" s="133" t="s">
        <v>100</v>
      </c>
    </row>
    <row r="1036" spans="2:13" x14ac:dyDescent="0.35">
      <c r="B1036" s="4" t="s">
        <v>104</v>
      </c>
      <c r="C1036" s="104" t="s">
        <v>160</v>
      </c>
      <c r="D1036" s="105">
        <v>202750</v>
      </c>
      <c r="E1036" s="105">
        <v>404</v>
      </c>
      <c r="F1036" s="101">
        <v>38056.199999999997</v>
      </c>
      <c r="G1036" s="5" t="s">
        <v>106</v>
      </c>
      <c r="H1036" s="105">
        <v>183</v>
      </c>
      <c r="I1036" s="70" t="s">
        <v>107</v>
      </c>
      <c r="J1036" s="5" t="s">
        <v>109</v>
      </c>
      <c r="K1036" s="101">
        <f>+K1035+Tabla6[[#This Row],[IMPORTE]]</f>
        <v>22732542.719999656</v>
      </c>
      <c r="L1036" s="5" t="s">
        <v>277</v>
      </c>
      <c r="M1036" s="133" t="s">
        <v>100</v>
      </c>
    </row>
    <row r="1037" spans="2:13" x14ac:dyDescent="0.35">
      <c r="B1037" s="4" t="s">
        <v>104</v>
      </c>
      <c r="C1037" s="104" t="s">
        <v>160</v>
      </c>
      <c r="D1037" s="105">
        <v>202751</v>
      </c>
      <c r="E1037" s="105">
        <v>404</v>
      </c>
      <c r="F1037" s="101">
        <v>38056.199999999997</v>
      </c>
      <c r="G1037" s="5" t="s">
        <v>106</v>
      </c>
      <c r="H1037" s="105">
        <v>183</v>
      </c>
      <c r="I1037" s="70" t="s">
        <v>107</v>
      </c>
      <c r="J1037" s="5" t="s">
        <v>113</v>
      </c>
      <c r="K1037" s="101">
        <f>+K1036+Tabla6[[#This Row],[IMPORTE]]</f>
        <v>22770598.919999655</v>
      </c>
      <c r="L1037" s="5" t="s">
        <v>277</v>
      </c>
      <c r="M1037" s="133" t="s">
        <v>100</v>
      </c>
    </row>
    <row r="1038" spans="2:13" x14ac:dyDescent="0.35">
      <c r="B1038" s="4" t="s">
        <v>104</v>
      </c>
      <c r="C1038" s="104" t="s">
        <v>160</v>
      </c>
      <c r="D1038" s="105">
        <v>202722</v>
      </c>
      <c r="E1038" s="105">
        <v>404</v>
      </c>
      <c r="F1038" s="101">
        <v>45662.720000000001</v>
      </c>
      <c r="G1038" s="5" t="s">
        <v>106</v>
      </c>
      <c r="H1038" s="105">
        <v>183</v>
      </c>
      <c r="I1038" s="70" t="s">
        <v>107</v>
      </c>
      <c r="J1038" s="5" t="s">
        <v>108</v>
      </c>
      <c r="K1038" s="101">
        <f>+K1037+Tabla6[[#This Row],[IMPORTE]]</f>
        <v>22816261.639999654</v>
      </c>
      <c r="L1038" s="5" t="s">
        <v>277</v>
      </c>
      <c r="M1038" s="133" t="s">
        <v>100</v>
      </c>
    </row>
    <row r="1039" spans="2:13" x14ac:dyDescent="0.35">
      <c r="B1039" s="4" t="s">
        <v>117</v>
      </c>
      <c r="C1039" s="104" t="s">
        <v>160</v>
      </c>
      <c r="D1039" s="105">
        <v>457240</v>
      </c>
      <c r="E1039" s="105">
        <v>404</v>
      </c>
      <c r="F1039" s="101">
        <v>46264.65</v>
      </c>
      <c r="G1039" s="5" t="s">
        <v>129</v>
      </c>
      <c r="H1039" s="105">
        <v>4098</v>
      </c>
      <c r="I1039" s="105">
        <v>30717862453</v>
      </c>
      <c r="J1039" s="5" t="s">
        <v>130</v>
      </c>
      <c r="K1039" s="101">
        <f>+K1038+Tabla6[[#This Row],[IMPORTE]]</f>
        <v>22862526.289999653</v>
      </c>
      <c r="L1039" s="5" t="s">
        <v>276</v>
      </c>
      <c r="M1039" s="133" t="s">
        <v>100</v>
      </c>
    </row>
    <row r="1040" spans="2:13" x14ac:dyDescent="0.35">
      <c r="B1040" s="4" t="s">
        <v>104</v>
      </c>
      <c r="C1040" s="104" t="s">
        <v>160</v>
      </c>
      <c r="D1040" s="105">
        <v>202744</v>
      </c>
      <c r="E1040" s="105">
        <v>404</v>
      </c>
      <c r="F1040" s="101">
        <v>57084.3</v>
      </c>
      <c r="G1040" s="5" t="s">
        <v>106</v>
      </c>
      <c r="H1040" s="105">
        <v>183</v>
      </c>
      <c r="I1040" s="70" t="s">
        <v>107</v>
      </c>
      <c r="J1040" s="5" t="s">
        <v>116</v>
      </c>
      <c r="K1040" s="101">
        <f>+K1039+Tabla6[[#This Row],[IMPORTE]]</f>
        <v>22919610.589999653</v>
      </c>
      <c r="L1040" s="5" t="s">
        <v>277</v>
      </c>
      <c r="M1040" s="133" t="s">
        <v>100</v>
      </c>
    </row>
    <row r="1041" spans="2:13" x14ac:dyDescent="0.35">
      <c r="B1041" s="4" t="s">
        <v>117</v>
      </c>
      <c r="C1041" s="104" t="s">
        <v>160</v>
      </c>
      <c r="D1041" s="105">
        <v>681360</v>
      </c>
      <c r="E1041" s="105">
        <v>404</v>
      </c>
      <c r="F1041" s="101">
        <v>77244.960000000006</v>
      </c>
      <c r="G1041" s="5" t="s">
        <v>129</v>
      </c>
      <c r="H1041" s="105">
        <v>4098</v>
      </c>
      <c r="I1041" s="105">
        <v>30717862453</v>
      </c>
      <c r="J1041" s="5" t="s">
        <v>130</v>
      </c>
      <c r="K1041" s="101">
        <f>+K1040+Tabla6[[#This Row],[IMPORTE]]</f>
        <v>22996855.549999654</v>
      </c>
      <c r="L1041" s="5" t="s">
        <v>276</v>
      </c>
      <c r="M1041" s="133" t="s">
        <v>100</v>
      </c>
    </row>
    <row r="1042" spans="2:13" x14ac:dyDescent="0.35">
      <c r="B1042" s="4" t="s">
        <v>104</v>
      </c>
      <c r="C1042" s="104" t="s">
        <v>160</v>
      </c>
      <c r="D1042" s="105">
        <v>202720</v>
      </c>
      <c r="E1042" s="105">
        <v>404</v>
      </c>
      <c r="F1042" s="101">
        <v>82958.14</v>
      </c>
      <c r="G1042" s="5" t="s">
        <v>106</v>
      </c>
      <c r="H1042" s="105">
        <v>183</v>
      </c>
      <c r="I1042" s="70" t="s">
        <v>107</v>
      </c>
      <c r="J1042" s="5" t="s">
        <v>111</v>
      </c>
      <c r="K1042" s="101">
        <f>+K1041+Tabla6[[#This Row],[IMPORTE]]</f>
        <v>23079813.689999655</v>
      </c>
      <c r="L1042" s="5" t="s">
        <v>277</v>
      </c>
      <c r="M1042" s="133" t="s">
        <v>100</v>
      </c>
    </row>
    <row r="1043" spans="2:13" x14ac:dyDescent="0.35">
      <c r="B1043" s="4" t="s">
        <v>104</v>
      </c>
      <c r="C1043" s="104" t="s">
        <v>160</v>
      </c>
      <c r="D1043" s="105">
        <v>202745</v>
      </c>
      <c r="E1043" s="105">
        <v>404</v>
      </c>
      <c r="F1043" s="101">
        <v>120681.89</v>
      </c>
      <c r="G1043" s="5" t="s">
        <v>106</v>
      </c>
      <c r="H1043" s="105">
        <v>183</v>
      </c>
      <c r="I1043" s="70" t="s">
        <v>107</v>
      </c>
      <c r="J1043" s="5" t="s">
        <v>116</v>
      </c>
      <c r="K1043" s="101">
        <f>+K1042+Tabla6[[#This Row],[IMPORTE]]</f>
        <v>23200495.579999655</v>
      </c>
      <c r="L1043" s="5" t="s">
        <v>277</v>
      </c>
      <c r="M1043" s="133" t="s">
        <v>100</v>
      </c>
    </row>
    <row r="1044" spans="2:13" x14ac:dyDescent="0.35">
      <c r="B1044" s="4" t="s">
        <v>104</v>
      </c>
      <c r="C1044" s="104" t="s">
        <v>160</v>
      </c>
      <c r="D1044" s="105">
        <v>202743</v>
      </c>
      <c r="E1044" s="105">
        <v>404</v>
      </c>
      <c r="F1044" s="101">
        <v>127878.16</v>
      </c>
      <c r="G1044" s="5" t="s">
        <v>106</v>
      </c>
      <c r="H1044" s="105">
        <v>183</v>
      </c>
      <c r="I1044" s="70" t="s">
        <v>107</v>
      </c>
      <c r="J1044" s="5" t="s">
        <v>112</v>
      </c>
      <c r="K1044" s="101">
        <f>+K1043+Tabla6[[#This Row],[IMPORTE]]</f>
        <v>23328373.739999656</v>
      </c>
      <c r="L1044" s="5" t="s">
        <v>277</v>
      </c>
      <c r="M1044" s="133" t="s">
        <v>100</v>
      </c>
    </row>
    <row r="1045" spans="2:13" x14ac:dyDescent="0.35">
      <c r="B1045" s="4" t="s">
        <v>104</v>
      </c>
      <c r="C1045" s="104" t="s">
        <v>160</v>
      </c>
      <c r="D1045" s="105">
        <v>202749</v>
      </c>
      <c r="E1045" s="105">
        <v>404</v>
      </c>
      <c r="F1045" s="101">
        <v>190529.85</v>
      </c>
      <c r="G1045" s="5" t="s">
        <v>106</v>
      </c>
      <c r="H1045" s="105">
        <v>183</v>
      </c>
      <c r="I1045" s="70" t="s">
        <v>107</v>
      </c>
      <c r="J1045" s="5" t="s">
        <v>115</v>
      </c>
      <c r="K1045" s="101">
        <f>+K1044+Tabla6[[#This Row],[IMPORTE]]</f>
        <v>23518903.589999657</v>
      </c>
      <c r="L1045" s="5" t="s">
        <v>277</v>
      </c>
      <c r="M1045" s="133" t="s">
        <v>100</v>
      </c>
    </row>
    <row r="1046" spans="2:13" x14ac:dyDescent="0.35">
      <c r="B1046" s="4" t="s">
        <v>117</v>
      </c>
      <c r="C1046" s="104" t="s">
        <v>160</v>
      </c>
      <c r="D1046" s="105">
        <v>366493</v>
      </c>
      <c r="E1046" s="105">
        <v>404</v>
      </c>
      <c r="F1046" s="101">
        <v>196164.83</v>
      </c>
      <c r="G1046" s="5" t="s">
        <v>129</v>
      </c>
      <c r="H1046" s="105">
        <v>4098</v>
      </c>
      <c r="I1046" s="105">
        <v>30717862453</v>
      </c>
      <c r="J1046" s="5" t="s">
        <v>130</v>
      </c>
      <c r="K1046" s="101">
        <f>+K1045+Tabla6[[#This Row],[IMPORTE]]</f>
        <v>23715068.419999655</v>
      </c>
      <c r="L1046" s="5" t="s">
        <v>276</v>
      </c>
      <c r="M1046" s="133" t="s">
        <v>100</v>
      </c>
    </row>
    <row r="1047" spans="2:13" x14ac:dyDescent="0.35">
      <c r="B1047" s="4" t="s">
        <v>104</v>
      </c>
      <c r="C1047" s="104" t="s">
        <v>160</v>
      </c>
      <c r="D1047" s="105">
        <v>202746</v>
      </c>
      <c r="E1047" s="105">
        <v>404</v>
      </c>
      <c r="F1047" s="101">
        <v>213445.61</v>
      </c>
      <c r="G1047" s="5" t="s">
        <v>106</v>
      </c>
      <c r="H1047" s="105">
        <v>183</v>
      </c>
      <c r="I1047" s="70" t="s">
        <v>107</v>
      </c>
      <c r="J1047" s="5" t="s">
        <v>116</v>
      </c>
      <c r="K1047" s="101">
        <f>+K1046+Tabla6[[#This Row],[IMPORTE]]</f>
        <v>23928514.029999655</v>
      </c>
      <c r="L1047" s="5" t="s">
        <v>278</v>
      </c>
      <c r="M1047" s="133" t="s">
        <v>100</v>
      </c>
    </row>
    <row r="1048" spans="2:13" x14ac:dyDescent="0.35">
      <c r="B1048" s="4" t="s">
        <v>117</v>
      </c>
      <c r="C1048" s="104" t="s">
        <v>160</v>
      </c>
      <c r="D1048" s="105">
        <v>301438</v>
      </c>
      <c r="E1048" s="105">
        <v>404</v>
      </c>
      <c r="F1048" s="101">
        <v>279226.21000000002</v>
      </c>
      <c r="G1048" s="5" t="s">
        <v>129</v>
      </c>
      <c r="H1048" s="105">
        <v>4098</v>
      </c>
      <c r="I1048" s="105">
        <v>30717862453</v>
      </c>
      <c r="J1048" s="5" t="s">
        <v>130</v>
      </c>
      <c r="K1048" s="101">
        <f>+K1047+Tabla6[[#This Row],[IMPORTE]]</f>
        <v>24207740.239999656</v>
      </c>
      <c r="L1048" s="5" t="s">
        <v>276</v>
      </c>
      <c r="M1048" s="133" t="s">
        <v>100</v>
      </c>
    </row>
    <row r="1049" spans="2:13" x14ac:dyDescent="0.35">
      <c r="B1049" s="4" t="s">
        <v>104</v>
      </c>
      <c r="C1049" s="104" t="s">
        <v>160</v>
      </c>
      <c r="D1049" s="105">
        <v>202748</v>
      </c>
      <c r="E1049" s="105">
        <v>404</v>
      </c>
      <c r="F1049" s="101">
        <v>349600.68</v>
      </c>
      <c r="G1049" s="5" t="s">
        <v>106</v>
      </c>
      <c r="H1049" s="105">
        <v>183</v>
      </c>
      <c r="I1049" s="70" t="s">
        <v>107</v>
      </c>
      <c r="J1049" s="5" t="s">
        <v>115</v>
      </c>
      <c r="K1049" s="101">
        <f>+K1048+Tabla6[[#This Row],[IMPORTE]]</f>
        <v>24557340.919999655</v>
      </c>
      <c r="L1049" s="5" t="s">
        <v>277</v>
      </c>
      <c r="M1049" s="133" t="s">
        <v>100</v>
      </c>
    </row>
    <row r="1050" spans="2:13" x14ac:dyDescent="0.35">
      <c r="B1050" s="4" t="s">
        <v>104</v>
      </c>
      <c r="C1050" s="104" t="s">
        <v>160</v>
      </c>
      <c r="D1050" s="105">
        <v>202747</v>
      </c>
      <c r="E1050" s="105">
        <v>404</v>
      </c>
      <c r="F1050" s="101">
        <v>510995.51</v>
      </c>
      <c r="G1050" s="5" t="s">
        <v>106</v>
      </c>
      <c r="H1050" s="105">
        <v>183</v>
      </c>
      <c r="I1050" s="70" t="s">
        <v>107</v>
      </c>
      <c r="J1050" s="5" t="s">
        <v>110</v>
      </c>
      <c r="K1050" s="101">
        <f>+K1049+Tabla6[[#This Row],[IMPORTE]]</f>
        <v>25068336.429999657</v>
      </c>
      <c r="L1050" s="5" t="s">
        <v>277</v>
      </c>
      <c r="M1050" s="133" t="s">
        <v>100</v>
      </c>
    </row>
    <row r="1051" spans="2:13" x14ac:dyDescent="0.35">
      <c r="B1051" s="4" t="s">
        <v>117</v>
      </c>
      <c r="C1051" s="104" t="s">
        <v>160</v>
      </c>
      <c r="D1051" s="105">
        <v>112</v>
      </c>
      <c r="E1051" s="105">
        <v>811</v>
      </c>
      <c r="F1051" s="101">
        <v>907000.83</v>
      </c>
      <c r="G1051" s="5" t="s">
        <v>118</v>
      </c>
      <c r="H1051" s="105">
        <v>4151</v>
      </c>
      <c r="I1051" s="70" t="s">
        <v>107</v>
      </c>
      <c r="J1051" s="5" t="s">
        <v>119</v>
      </c>
      <c r="K1051" s="101">
        <f>+K1050+Tabla6[[#This Row],[IMPORTE]]</f>
        <v>25975337.259999655</v>
      </c>
      <c r="L1051" s="5" t="s">
        <v>279</v>
      </c>
      <c r="M1051" s="133" t="s">
        <v>100</v>
      </c>
    </row>
    <row r="1052" spans="2:13" x14ac:dyDescent="0.35">
      <c r="B1052" s="134" t="s">
        <v>120</v>
      </c>
      <c r="C1052" s="113" t="s">
        <v>160</v>
      </c>
      <c r="D1052" s="114">
        <v>13220210</v>
      </c>
      <c r="E1052" s="114">
        <v>404</v>
      </c>
      <c r="F1052" s="115">
        <v>5000000</v>
      </c>
      <c r="G1052" s="116" t="s">
        <v>121</v>
      </c>
      <c r="H1052" s="114">
        <v>2018</v>
      </c>
      <c r="I1052" s="114">
        <v>30999147077</v>
      </c>
      <c r="J1052" s="116" t="s">
        <v>122</v>
      </c>
      <c r="K1052" s="115">
        <f>+K1051+Tabla6[[#This Row],[IMPORTE]]</f>
        <v>30975337.259999655</v>
      </c>
      <c r="L1052" s="125" t="s">
        <v>190</v>
      </c>
      <c r="M1052" s="118" t="s">
        <v>101</v>
      </c>
    </row>
    <row r="1053" spans="2:13" x14ac:dyDescent="0.35">
      <c r="B1053" s="134" t="s">
        <v>120</v>
      </c>
      <c r="C1053" s="113" t="s">
        <v>160</v>
      </c>
      <c r="D1053" s="114">
        <v>13210207</v>
      </c>
      <c r="E1053" s="114">
        <v>404</v>
      </c>
      <c r="F1053" s="115">
        <v>148500000</v>
      </c>
      <c r="G1053" s="116" t="s">
        <v>121</v>
      </c>
      <c r="H1053" s="114">
        <v>2018</v>
      </c>
      <c r="I1053" s="114">
        <v>30999147077</v>
      </c>
      <c r="J1053" s="116" t="s">
        <v>122</v>
      </c>
      <c r="K1053" s="115">
        <f>+K1052+Tabla6[[#This Row],[IMPORTE]]</f>
        <v>179475337.25999966</v>
      </c>
      <c r="L1053" s="125" t="s">
        <v>191</v>
      </c>
      <c r="M1053" s="118" t="s">
        <v>101</v>
      </c>
    </row>
    <row r="1054" spans="2:13" x14ac:dyDescent="0.35">
      <c r="B1054" s="4" t="s">
        <v>117</v>
      </c>
      <c r="C1054" s="104" t="s">
        <v>162</v>
      </c>
      <c r="D1054" s="105">
        <v>358676</v>
      </c>
      <c r="E1054" s="105">
        <v>404</v>
      </c>
      <c r="F1054" s="101">
        <v>19060.189999999999</v>
      </c>
      <c r="G1054" s="5" t="s">
        <v>129</v>
      </c>
      <c r="H1054" s="105">
        <v>4098</v>
      </c>
      <c r="I1054" s="105">
        <v>30717862453</v>
      </c>
      <c r="J1054" s="5" t="s">
        <v>130</v>
      </c>
      <c r="K1054" s="101">
        <f>+K1053+Tabla6[[#This Row],[IMPORTE]]</f>
        <v>179494397.44999966</v>
      </c>
      <c r="L1054" s="5" t="s">
        <v>280</v>
      </c>
      <c r="M1054" s="133" t="s">
        <v>100</v>
      </c>
    </row>
    <row r="1055" spans="2:13" x14ac:dyDescent="0.35">
      <c r="B1055" s="4" t="s">
        <v>117</v>
      </c>
      <c r="C1055" s="104" t="s">
        <v>162</v>
      </c>
      <c r="D1055" s="105">
        <v>646784</v>
      </c>
      <c r="E1055" s="105">
        <v>404</v>
      </c>
      <c r="F1055" s="101">
        <v>23173.49</v>
      </c>
      <c r="G1055" s="5" t="s">
        <v>129</v>
      </c>
      <c r="H1055" s="105">
        <v>4098</v>
      </c>
      <c r="I1055" s="105">
        <v>30717862453</v>
      </c>
      <c r="J1055" s="5" t="s">
        <v>130</v>
      </c>
      <c r="K1055" s="101">
        <f>+K1054+Tabla6[[#This Row],[IMPORTE]]</f>
        <v>179517570.93999967</v>
      </c>
      <c r="L1055" s="5" t="s">
        <v>280</v>
      </c>
      <c r="M1055" s="133" t="s">
        <v>100</v>
      </c>
    </row>
    <row r="1056" spans="2:13" x14ac:dyDescent="0.35">
      <c r="B1056" s="4" t="s">
        <v>117</v>
      </c>
      <c r="C1056" s="104" t="s">
        <v>162</v>
      </c>
      <c r="D1056" s="105">
        <v>119330</v>
      </c>
      <c r="E1056" s="105">
        <v>404</v>
      </c>
      <c r="F1056" s="101">
        <v>31806.31</v>
      </c>
      <c r="G1056" s="5" t="s">
        <v>129</v>
      </c>
      <c r="H1056" s="105">
        <v>4098</v>
      </c>
      <c r="I1056" s="105">
        <v>30717862453</v>
      </c>
      <c r="J1056" s="5" t="s">
        <v>130</v>
      </c>
      <c r="K1056" s="101">
        <f>+K1055+Tabla6[[#This Row],[IMPORTE]]</f>
        <v>179549377.24999967</v>
      </c>
      <c r="L1056" s="5" t="s">
        <v>280</v>
      </c>
      <c r="M1056" s="133" t="s">
        <v>100</v>
      </c>
    </row>
    <row r="1057" spans="2:13" x14ac:dyDescent="0.35">
      <c r="B1057" s="4" t="s">
        <v>104</v>
      </c>
      <c r="C1057" s="104" t="s">
        <v>162</v>
      </c>
      <c r="D1057" s="105">
        <v>200059</v>
      </c>
      <c r="E1057" s="105">
        <v>404</v>
      </c>
      <c r="F1057" s="101">
        <v>32285.61</v>
      </c>
      <c r="G1057" s="5" t="s">
        <v>106</v>
      </c>
      <c r="H1057" s="105">
        <v>183</v>
      </c>
      <c r="I1057" s="70" t="s">
        <v>107</v>
      </c>
      <c r="J1057" s="5" t="s">
        <v>111</v>
      </c>
      <c r="K1057" s="101">
        <f>+K1056+Tabla6[[#This Row],[IMPORTE]]</f>
        <v>179581662.85999969</v>
      </c>
      <c r="L1057" s="5" t="s">
        <v>281</v>
      </c>
      <c r="M1057" s="133" t="s">
        <v>100</v>
      </c>
    </row>
    <row r="1058" spans="2:13" x14ac:dyDescent="0.35">
      <c r="B1058" s="4" t="s">
        <v>117</v>
      </c>
      <c r="C1058" s="104" t="s">
        <v>162</v>
      </c>
      <c r="D1058" s="105">
        <v>445807</v>
      </c>
      <c r="E1058" s="105">
        <v>404</v>
      </c>
      <c r="F1058" s="101">
        <v>38622.480000000003</v>
      </c>
      <c r="G1058" s="5" t="s">
        <v>129</v>
      </c>
      <c r="H1058" s="105">
        <v>4098</v>
      </c>
      <c r="I1058" s="105">
        <v>30717862453</v>
      </c>
      <c r="J1058" s="5" t="s">
        <v>130</v>
      </c>
      <c r="K1058" s="101">
        <f>+K1057+Tabla6[[#This Row],[IMPORTE]]</f>
        <v>179620285.33999968</v>
      </c>
      <c r="L1058" s="5" t="s">
        <v>280</v>
      </c>
      <c r="M1058" s="133" t="s">
        <v>100</v>
      </c>
    </row>
    <row r="1059" spans="2:13" x14ac:dyDescent="0.35">
      <c r="B1059" s="4" t="s">
        <v>117</v>
      </c>
      <c r="C1059" s="104" t="s">
        <v>162</v>
      </c>
      <c r="D1059" s="105">
        <v>362813</v>
      </c>
      <c r="E1059" s="105">
        <v>404</v>
      </c>
      <c r="F1059" s="101">
        <v>41984.63</v>
      </c>
      <c r="G1059" s="5" t="s">
        <v>129</v>
      </c>
      <c r="H1059" s="105">
        <v>4098</v>
      </c>
      <c r="I1059" s="105">
        <v>30717862453</v>
      </c>
      <c r="J1059" s="5" t="s">
        <v>130</v>
      </c>
      <c r="K1059" s="101">
        <f>+K1058+Tabla6[[#This Row],[IMPORTE]]</f>
        <v>179662269.96999967</v>
      </c>
      <c r="L1059" s="5" t="s">
        <v>280</v>
      </c>
      <c r="M1059" s="133" t="s">
        <v>100</v>
      </c>
    </row>
    <row r="1060" spans="2:13" x14ac:dyDescent="0.35">
      <c r="B1060" s="4" t="s">
        <v>117</v>
      </c>
      <c r="C1060" s="104" t="s">
        <v>162</v>
      </c>
      <c r="D1060" s="105">
        <v>987544</v>
      </c>
      <c r="E1060" s="105">
        <v>404</v>
      </c>
      <c r="F1060" s="101">
        <v>43981.19</v>
      </c>
      <c r="G1060" s="5" t="s">
        <v>129</v>
      </c>
      <c r="H1060" s="105">
        <v>4098</v>
      </c>
      <c r="I1060" s="105">
        <v>30717862453</v>
      </c>
      <c r="J1060" s="5" t="s">
        <v>130</v>
      </c>
      <c r="K1060" s="101">
        <f>+K1059+Tabla6[[#This Row],[IMPORTE]]</f>
        <v>179706251.15999967</v>
      </c>
      <c r="L1060" s="5" t="s">
        <v>280</v>
      </c>
      <c r="M1060" s="133" t="s">
        <v>100</v>
      </c>
    </row>
    <row r="1061" spans="2:13" x14ac:dyDescent="0.35">
      <c r="B1061" s="4" t="s">
        <v>117</v>
      </c>
      <c r="C1061" s="104" t="s">
        <v>162</v>
      </c>
      <c r="D1061" s="105">
        <v>589672</v>
      </c>
      <c r="E1061" s="105">
        <v>404</v>
      </c>
      <c r="F1061" s="101">
        <v>70807.88</v>
      </c>
      <c r="G1061" s="5" t="s">
        <v>129</v>
      </c>
      <c r="H1061" s="105">
        <v>4098</v>
      </c>
      <c r="I1061" s="105">
        <v>30717862453</v>
      </c>
      <c r="J1061" s="5" t="s">
        <v>130</v>
      </c>
      <c r="K1061" s="101">
        <f>+K1060+Tabla6[[#This Row],[IMPORTE]]</f>
        <v>179777059.03999966</v>
      </c>
      <c r="L1061" s="5" t="s">
        <v>280</v>
      </c>
      <c r="M1061" s="133" t="s">
        <v>100</v>
      </c>
    </row>
    <row r="1062" spans="2:13" x14ac:dyDescent="0.35">
      <c r="B1062" s="4" t="s">
        <v>117</v>
      </c>
      <c r="C1062" s="104" t="s">
        <v>162</v>
      </c>
      <c r="D1062" s="105">
        <v>790159</v>
      </c>
      <c r="E1062" s="105">
        <v>404</v>
      </c>
      <c r="F1062" s="101">
        <v>77244.960000000006</v>
      </c>
      <c r="G1062" s="5" t="s">
        <v>129</v>
      </c>
      <c r="H1062" s="105">
        <v>4098</v>
      </c>
      <c r="I1062" s="105">
        <v>30717862453</v>
      </c>
      <c r="J1062" s="5" t="s">
        <v>130</v>
      </c>
      <c r="K1062" s="101">
        <f>+K1061+Tabla6[[#This Row],[IMPORTE]]</f>
        <v>179854303.99999967</v>
      </c>
      <c r="L1062" s="5" t="s">
        <v>280</v>
      </c>
      <c r="M1062" s="133" t="s">
        <v>100</v>
      </c>
    </row>
    <row r="1063" spans="2:13" x14ac:dyDescent="0.35">
      <c r="B1063" s="4" t="s">
        <v>117</v>
      </c>
      <c r="C1063" s="104" t="s">
        <v>162</v>
      </c>
      <c r="D1063" s="105">
        <v>741617</v>
      </c>
      <c r="E1063" s="105">
        <v>404</v>
      </c>
      <c r="F1063" s="101">
        <v>81183.44</v>
      </c>
      <c r="G1063" s="5" t="s">
        <v>129</v>
      </c>
      <c r="H1063" s="105">
        <v>4098</v>
      </c>
      <c r="I1063" s="105">
        <v>30717862453</v>
      </c>
      <c r="J1063" s="5" t="s">
        <v>130</v>
      </c>
      <c r="K1063" s="101">
        <f>+K1062+Tabla6[[#This Row],[IMPORTE]]</f>
        <v>179935487.43999967</v>
      </c>
      <c r="L1063" s="5" t="s">
        <v>280</v>
      </c>
      <c r="M1063" s="133" t="s">
        <v>100</v>
      </c>
    </row>
    <row r="1064" spans="2:13" x14ac:dyDescent="0.35">
      <c r="B1064" s="4" t="s">
        <v>104</v>
      </c>
      <c r="C1064" s="104" t="s">
        <v>162</v>
      </c>
      <c r="D1064" s="105">
        <v>200081</v>
      </c>
      <c r="E1064" s="105">
        <v>404</v>
      </c>
      <c r="F1064" s="101">
        <v>84672.79</v>
      </c>
      <c r="G1064" s="5" t="s">
        <v>106</v>
      </c>
      <c r="H1064" s="105">
        <v>183</v>
      </c>
      <c r="I1064" s="70" t="s">
        <v>107</v>
      </c>
      <c r="J1064" s="5" t="s">
        <v>116</v>
      </c>
      <c r="K1064" s="101">
        <f>+K1063+Tabla6[[#This Row],[IMPORTE]]</f>
        <v>180020160.22999966</v>
      </c>
      <c r="L1064" s="5" t="s">
        <v>281</v>
      </c>
      <c r="M1064" s="133" t="s">
        <v>100</v>
      </c>
    </row>
    <row r="1065" spans="2:13" x14ac:dyDescent="0.35">
      <c r="B1065" s="4" t="s">
        <v>117</v>
      </c>
      <c r="C1065" s="104" t="s">
        <v>162</v>
      </c>
      <c r="D1065" s="105">
        <v>116</v>
      </c>
      <c r="E1065" s="105">
        <v>811</v>
      </c>
      <c r="F1065" s="101">
        <v>88819.9</v>
      </c>
      <c r="G1065" s="5" t="s">
        <v>118</v>
      </c>
      <c r="H1065" s="105">
        <v>4151</v>
      </c>
      <c r="I1065" s="70" t="s">
        <v>107</v>
      </c>
      <c r="J1065" s="5" t="s">
        <v>119</v>
      </c>
      <c r="K1065" s="101">
        <f>+K1064+Tabla6[[#This Row],[IMPORTE]]</f>
        <v>180108980.12999967</v>
      </c>
      <c r="L1065" s="5" t="s">
        <v>282</v>
      </c>
      <c r="M1065" s="133" t="s">
        <v>100</v>
      </c>
    </row>
    <row r="1066" spans="2:13" x14ac:dyDescent="0.35">
      <c r="B1066" s="4" t="s">
        <v>104</v>
      </c>
      <c r="C1066" s="104" t="s">
        <v>162</v>
      </c>
      <c r="D1066" s="105">
        <v>200089</v>
      </c>
      <c r="E1066" s="105">
        <v>404</v>
      </c>
      <c r="F1066" s="101">
        <v>95140.5</v>
      </c>
      <c r="G1066" s="5" t="s">
        <v>106</v>
      </c>
      <c r="H1066" s="105">
        <v>183</v>
      </c>
      <c r="I1066" s="70" t="s">
        <v>107</v>
      </c>
      <c r="J1066" s="5" t="s">
        <v>113</v>
      </c>
      <c r="K1066" s="101">
        <f>+K1065+Tabla6[[#This Row],[IMPORTE]]</f>
        <v>180204120.62999967</v>
      </c>
      <c r="L1066" s="5" t="s">
        <v>283</v>
      </c>
      <c r="M1066" s="133" t="s">
        <v>100</v>
      </c>
    </row>
    <row r="1067" spans="2:13" x14ac:dyDescent="0.35">
      <c r="B1067" s="4" t="s">
        <v>104</v>
      </c>
      <c r="C1067" s="104" t="s">
        <v>162</v>
      </c>
      <c r="D1067" s="105">
        <v>200082</v>
      </c>
      <c r="E1067" s="105">
        <v>404</v>
      </c>
      <c r="F1067" s="101">
        <v>99417.04</v>
      </c>
      <c r="G1067" s="5" t="s">
        <v>106</v>
      </c>
      <c r="H1067" s="105">
        <v>183</v>
      </c>
      <c r="I1067" s="70" t="s">
        <v>107</v>
      </c>
      <c r="J1067" s="5" t="s">
        <v>116</v>
      </c>
      <c r="K1067" s="101">
        <f>+K1066+Tabla6[[#This Row],[IMPORTE]]</f>
        <v>180303537.66999966</v>
      </c>
      <c r="L1067" s="5" t="s">
        <v>281</v>
      </c>
      <c r="M1067" s="133" t="s">
        <v>100</v>
      </c>
    </row>
    <row r="1068" spans="2:13" x14ac:dyDescent="0.35">
      <c r="B1068" s="4" t="s">
        <v>117</v>
      </c>
      <c r="C1068" s="104" t="s">
        <v>162</v>
      </c>
      <c r="D1068" s="105">
        <v>441669</v>
      </c>
      <c r="E1068" s="105">
        <v>404</v>
      </c>
      <c r="F1068" s="101">
        <v>109223.1</v>
      </c>
      <c r="G1068" s="5" t="s">
        <v>129</v>
      </c>
      <c r="H1068" s="105">
        <v>4098</v>
      </c>
      <c r="I1068" s="105">
        <v>30717862453</v>
      </c>
      <c r="J1068" s="5" t="s">
        <v>130</v>
      </c>
      <c r="K1068" s="101">
        <f>+K1067+Tabla6[[#This Row],[IMPORTE]]</f>
        <v>180412760.76999965</v>
      </c>
      <c r="L1068" s="5" t="s">
        <v>280</v>
      </c>
      <c r="M1068" s="133" t="s">
        <v>100</v>
      </c>
    </row>
    <row r="1069" spans="2:13" x14ac:dyDescent="0.35">
      <c r="B1069" s="4" t="s">
        <v>104</v>
      </c>
      <c r="C1069" s="104" t="s">
        <v>162</v>
      </c>
      <c r="D1069" s="105">
        <v>200083</v>
      </c>
      <c r="E1069" s="105">
        <v>404</v>
      </c>
      <c r="F1069" s="101">
        <v>124909.35</v>
      </c>
      <c r="G1069" s="5" t="s">
        <v>106</v>
      </c>
      <c r="H1069" s="105">
        <v>183</v>
      </c>
      <c r="I1069" s="70" t="s">
        <v>107</v>
      </c>
      <c r="J1069" s="5" t="s">
        <v>110</v>
      </c>
      <c r="K1069" s="101">
        <f>+K1068+Tabla6[[#This Row],[IMPORTE]]</f>
        <v>180537670.11999965</v>
      </c>
      <c r="L1069" s="5" t="s">
        <v>281</v>
      </c>
      <c r="M1069" s="133" t="s">
        <v>100</v>
      </c>
    </row>
    <row r="1070" spans="2:13" x14ac:dyDescent="0.35">
      <c r="B1070" s="4" t="s">
        <v>104</v>
      </c>
      <c r="C1070" s="104" t="s">
        <v>162</v>
      </c>
      <c r="D1070" s="105">
        <v>200086</v>
      </c>
      <c r="E1070" s="105">
        <v>404</v>
      </c>
      <c r="F1070" s="101">
        <v>133196.70000000001</v>
      </c>
      <c r="G1070" s="5" t="s">
        <v>106</v>
      </c>
      <c r="H1070" s="105">
        <v>183</v>
      </c>
      <c r="I1070" s="70" t="s">
        <v>107</v>
      </c>
      <c r="J1070" s="5" t="s">
        <v>109</v>
      </c>
      <c r="K1070" s="101">
        <f>+K1069+Tabla6[[#This Row],[IMPORTE]]</f>
        <v>180670866.81999964</v>
      </c>
      <c r="L1070" s="5" t="s">
        <v>281</v>
      </c>
      <c r="M1070" s="133" t="s">
        <v>100</v>
      </c>
    </row>
    <row r="1071" spans="2:13" x14ac:dyDescent="0.35">
      <c r="B1071" s="4" t="s">
        <v>104</v>
      </c>
      <c r="C1071" s="104" t="s">
        <v>162</v>
      </c>
      <c r="D1071" s="105">
        <v>200079</v>
      </c>
      <c r="E1071" s="105">
        <v>404</v>
      </c>
      <c r="F1071" s="101">
        <v>152224.79999999999</v>
      </c>
      <c r="G1071" s="5" t="s">
        <v>106</v>
      </c>
      <c r="H1071" s="105">
        <v>183</v>
      </c>
      <c r="I1071" s="70" t="s">
        <v>107</v>
      </c>
      <c r="J1071" s="5" t="s">
        <v>112</v>
      </c>
      <c r="K1071" s="101">
        <f>+K1070+Tabla6[[#This Row],[IMPORTE]]</f>
        <v>180823091.61999965</v>
      </c>
      <c r="L1071" s="5" t="s">
        <v>281</v>
      </c>
      <c r="M1071" s="133" t="s">
        <v>100</v>
      </c>
    </row>
    <row r="1072" spans="2:13" x14ac:dyDescent="0.35">
      <c r="B1072" s="4" t="s">
        <v>104</v>
      </c>
      <c r="C1072" s="104" t="s">
        <v>162</v>
      </c>
      <c r="D1072" s="105">
        <v>200087</v>
      </c>
      <c r="E1072" s="105">
        <v>404</v>
      </c>
      <c r="F1072" s="101">
        <v>183085.14</v>
      </c>
      <c r="G1072" s="5" t="s">
        <v>106</v>
      </c>
      <c r="H1072" s="105">
        <v>183</v>
      </c>
      <c r="I1072" s="70" t="s">
        <v>107</v>
      </c>
      <c r="J1072" s="5" t="s">
        <v>109</v>
      </c>
      <c r="K1072" s="101">
        <f>+K1071+Tabla6[[#This Row],[IMPORTE]]</f>
        <v>181006176.75999963</v>
      </c>
      <c r="L1072" s="5" t="s">
        <v>281</v>
      </c>
      <c r="M1072" s="133" t="s">
        <v>100</v>
      </c>
    </row>
    <row r="1073" spans="2:13" x14ac:dyDescent="0.35">
      <c r="B1073" s="4" t="s">
        <v>104</v>
      </c>
      <c r="C1073" s="104" t="s">
        <v>162</v>
      </c>
      <c r="D1073" s="105">
        <v>200088</v>
      </c>
      <c r="E1073" s="105">
        <v>404</v>
      </c>
      <c r="F1073" s="101">
        <v>209609.19</v>
      </c>
      <c r="G1073" s="5" t="s">
        <v>106</v>
      </c>
      <c r="H1073" s="105">
        <v>183</v>
      </c>
      <c r="I1073" s="70" t="s">
        <v>107</v>
      </c>
      <c r="J1073" s="5" t="s">
        <v>113</v>
      </c>
      <c r="K1073" s="101">
        <f>+K1072+Tabla6[[#This Row],[IMPORTE]]</f>
        <v>181215785.94999963</v>
      </c>
      <c r="L1073" s="5" t="s">
        <v>281</v>
      </c>
      <c r="M1073" s="133" t="s">
        <v>100</v>
      </c>
    </row>
    <row r="1074" spans="2:13" x14ac:dyDescent="0.35">
      <c r="B1074" s="4" t="s">
        <v>104</v>
      </c>
      <c r="C1074" s="104" t="s">
        <v>162</v>
      </c>
      <c r="D1074" s="105">
        <v>200080</v>
      </c>
      <c r="E1074" s="105">
        <v>404</v>
      </c>
      <c r="F1074" s="101">
        <v>218681.24</v>
      </c>
      <c r="G1074" s="5" t="s">
        <v>106</v>
      </c>
      <c r="H1074" s="105">
        <v>183</v>
      </c>
      <c r="I1074" s="70" t="s">
        <v>107</v>
      </c>
      <c r="J1074" s="5" t="s">
        <v>112</v>
      </c>
      <c r="K1074" s="101">
        <f>+K1073+Tabla6[[#This Row],[IMPORTE]]</f>
        <v>181434467.18999964</v>
      </c>
      <c r="L1074" s="5" t="s">
        <v>281</v>
      </c>
      <c r="M1074" s="133" t="s">
        <v>100</v>
      </c>
    </row>
    <row r="1075" spans="2:13" x14ac:dyDescent="0.35">
      <c r="B1075" s="4" t="s">
        <v>104</v>
      </c>
      <c r="C1075" s="104" t="s">
        <v>162</v>
      </c>
      <c r="D1075" s="105">
        <v>200060</v>
      </c>
      <c r="E1075" s="105">
        <v>404</v>
      </c>
      <c r="F1075" s="101">
        <v>249517.89</v>
      </c>
      <c r="G1075" s="5" t="s">
        <v>106</v>
      </c>
      <c r="H1075" s="105">
        <v>183</v>
      </c>
      <c r="I1075" s="70" t="s">
        <v>107</v>
      </c>
      <c r="J1075" s="5" t="s">
        <v>108</v>
      </c>
      <c r="K1075" s="101">
        <f>+K1074+Tabla6[[#This Row],[IMPORTE]]</f>
        <v>181683985.07999963</v>
      </c>
      <c r="L1075" s="5" t="s">
        <v>281</v>
      </c>
      <c r="M1075" s="133" t="s">
        <v>100</v>
      </c>
    </row>
    <row r="1076" spans="2:13" x14ac:dyDescent="0.35">
      <c r="B1076" s="4" t="s">
        <v>117</v>
      </c>
      <c r="C1076" s="104" t="s">
        <v>162</v>
      </c>
      <c r="D1076" s="105">
        <v>982779</v>
      </c>
      <c r="E1076" s="105">
        <v>404</v>
      </c>
      <c r="F1076" s="101">
        <v>300857.46999999997</v>
      </c>
      <c r="G1076" s="5" t="s">
        <v>129</v>
      </c>
      <c r="H1076" s="105">
        <v>4098</v>
      </c>
      <c r="I1076" s="105">
        <v>30717862453</v>
      </c>
      <c r="J1076" s="5" t="s">
        <v>130</v>
      </c>
      <c r="K1076" s="101">
        <f>+K1075+Tabla6[[#This Row],[IMPORTE]]</f>
        <v>181984842.54999962</v>
      </c>
      <c r="L1076" s="5" t="s">
        <v>280</v>
      </c>
      <c r="M1076" s="133" t="s">
        <v>100</v>
      </c>
    </row>
    <row r="1077" spans="2:13" x14ac:dyDescent="0.35">
      <c r="B1077" s="4" t="s">
        <v>104</v>
      </c>
      <c r="C1077" s="104" t="s">
        <v>162</v>
      </c>
      <c r="D1077" s="105">
        <v>200084</v>
      </c>
      <c r="E1077" s="105">
        <v>404</v>
      </c>
      <c r="F1077" s="101">
        <v>660171.36</v>
      </c>
      <c r="G1077" s="5" t="s">
        <v>106</v>
      </c>
      <c r="H1077" s="105">
        <v>183</v>
      </c>
      <c r="I1077" s="70" t="s">
        <v>107</v>
      </c>
      <c r="J1077" s="5" t="s">
        <v>115</v>
      </c>
      <c r="K1077" s="101">
        <f>+K1076+Tabla6[[#This Row],[IMPORTE]]</f>
        <v>182645013.90999964</v>
      </c>
      <c r="L1077" s="5" t="s">
        <v>281</v>
      </c>
      <c r="M1077" s="133" t="s">
        <v>100</v>
      </c>
    </row>
    <row r="1078" spans="2:13" x14ac:dyDescent="0.35">
      <c r="B1078" s="4" t="s">
        <v>104</v>
      </c>
      <c r="C1078" s="104" t="s">
        <v>162</v>
      </c>
      <c r="D1078" s="105">
        <v>200085</v>
      </c>
      <c r="E1078" s="105">
        <v>404</v>
      </c>
      <c r="F1078" s="101">
        <v>1388328.09</v>
      </c>
      <c r="G1078" s="5" t="s">
        <v>106</v>
      </c>
      <c r="H1078" s="105">
        <v>183</v>
      </c>
      <c r="I1078" s="70" t="s">
        <v>107</v>
      </c>
      <c r="J1078" s="5" t="s">
        <v>115</v>
      </c>
      <c r="K1078" s="101">
        <f>+K1077+Tabla6[[#This Row],[IMPORTE]]</f>
        <v>184033341.99999964</v>
      </c>
      <c r="L1078" s="5" t="s">
        <v>281</v>
      </c>
      <c r="M1078" s="133" t="s">
        <v>100</v>
      </c>
    </row>
    <row r="1079" spans="2:13" x14ac:dyDescent="0.35">
      <c r="B1079" s="4" t="s">
        <v>124</v>
      </c>
      <c r="C1079" s="104" t="s">
        <v>162</v>
      </c>
      <c r="D1079" s="70" t="s">
        <v>125</v>
      </c>
      <c r="E1079" s="105">
        <v>404</v>
      </c>
      <c r="F1079" s="101">
        <v>-177007507.59999999</v>
      </c>
      <c r="G1079" s="5" t="s">
        <v>126</v>
      </c>
      <c r="H1079" s="105">
        <v>1693</v>
      </c>
      <c r="I1079" s="70" t="s">
        <v>107</v>
      </c>
      <c r="J1079" s="5" t="s">
        <v>127</v>
      </c>
      <c r="K1079" s="101">
        <f>+K1078+Tabla6[[#This Row],[IMPORTE]]</f>
        <v>7025834.3999996483</v>
      </c>
      <c r="L1079" s="5" t="s">
        <v>284</v>
      </c>
      <c r="M1079" s="133" t="s">
        <v>100</v>
      </c>
    </row>
    <row r="1080" spans="2:13" x14ac:dyDescent="0.35">
      <c r="B1080" s="4" t="s">
        <v>117</v>
      </c>
      <c r="C1080" s="104" t="s">
        <v>163</v>
      </c>
      <c r="D1080" s="105">
        <v>709054</v>
      </c>
      <c r="E1080" s="105">
        <v>404</v>
      </c>
      <c r="F1080" s="101">
        <v>17637.599999999999</v>
      </c>
      <c r="G1080" s="5" t="s">
        <v>129</v>
      </c>
      <c r="H1080" s="105">
        <v>4098</v>
      </c>
      <c r="I1080" s="105">
        <v>30717862453</v>
      </c>
      <c r="J1080" s="5" t="s">
        <v>130</v>
      </c>
      <c r="K1080" s="101">
        <f>+K1079+Tabla6[[#This Row],[IMPORTE]]</f>
        <v>7043471.999999648</v>
      </c>
      <c r="L1080" s="5" t="s">
        <v>285</v>
      </c>
      <c r="M1080" s="133" t="s">
        <v>100</v>
      </c>
    </row>
    <row r="1081" spans="2:13" x14ac:dyDescent="0.35">
      <c r="B1081" s="4" t="s">
        <v>104</v>
      </c>
      <c r="C1081" s="104" t="s">
        <v>163</v>
      </c>
      <c r="D1081" s="105">
        <v>197868</v>
      </c>
      <c r="E1081" s="105">
        <v>404</v>
      </c>
      <c r="F1081" s="101">
        <v>23116.86</v>
      </c>
      <c r="G1081" s="5" t="s">
        <v>106</v>
      </c>
      <c r="H1081" s="105">
        <v>183</v>
      </c>
      <c r="I1081" s="70" t="s">
        <v>107</v>
      </c>
      <c r="J1081" s="5" t="s">
        <v>110</v>
      </c>
      <c r="K1081" s="101">
        <f>+K1080+Tabla6[[#This Row],[IMPORTE]]</f>
        <v>7066588.8599996483</v>
      </c>
      <c r="L1081" s="5" t="s">
        <v>286</v>
      </c>
      <c r="M1081" s="133" t="s">
        <v>100</v>
      </c>
    </row>
    <row r="1082" spans="2:13" x14ac:dyDescent="0.35">
      <c r="B1082" s="4" t="s">
        <v>117</v>
      </c>
      <c r="C1082" s="104" t="s">
        <v>163</v>
      </c>
      <c r="D1082" s="105">
        <v>889315</v>
      </c>
      <c r="E1082" s="105">
        <v>404</v>
      </c>
      <c r="F1082" s="101">
        <v>23173.49</v>
      </c>
      <c r="G1082" s="5" t="s">
        <v>129</v>
      </c>
      <c r="H1082" s="105">
        <v>4098</v>
      </c>
      <c r="I1082" s="105">
        <v>30717862453</v>
      </c>
      <c r="J1082" s="5" t="s">
        <v>130</v>
      </c>
      <c r="K1082" s="101">
        <f>+K1081+Tabla6[[#This Row],[IMPORTE]]</f>
        <v>7089762.3499996485</v>
      </c>
      <c r="L1082" s="5" t="s">
        <v>285</v>
      </c>
      <c r="M1082" s="133" t="s">
        <v>100</v>
      </c>
    </row>
    <row r="1083" spans="2:13" x14ac:dyDescent="0.35">
      <c r="B1083" s="4" t="s">
        <v>117</v>
      </c>
      <c r="C1083" s="104" t="s">
        <v>163</v>
      </c>
      <c r="D1083" s="105">
        <v>962453</v>
      </c>
      <c r="E1083" s="105">
        <v>404</v>
      </c>
      <c r="F1083" s="101">
        <v>23173.49</v>
      </c>
      <c r="G1083" s="5" t="s">
        <v>129</v>
      </c>
      <c r="H1083" s="105">
        <v>4098</v>
      </c>
      <c r="I1083" s="105">
        <v>30717862453</v>
      </c>
      <c r="J1083" s="5" t="s">
        <v>130</v>
      </c>
      <c r="K1083" s="101">
        <f>+K1082+Tabla6[[#This Row],[IMPORTE]]</f>
        <v>7112935.8399996487</v>
      </c>
      <c r="L1083" s="5" t="s">
        <v>285</v>
      </c>
      <c r="M1083" s="133" t="s">
        <v>100</v>
      </c>
    </row>
    <row r="1084" spans="2:13" x14ac:dyDescent="0.35">
      <c r="B1084" s="4" t="s">
        <v>104</v>
      </c>
      <c r="C1084" s="104" t="s">
        <v>163</v>
      </c>
      <c r="D1084" s="105">
        <v>197866</v>
      </c>
      <c r="E1084" s="105">
        <v>404</v>
      </c>
      <c r="F1084" s="101">
        <v>28395.32</v>
      </c>
      <c r="G1084" s="5" t="s">
        <v>106</v>
      </c>
      <c r="H1084" s="105">
        <v>183</v>
      </c>
      <c r="I1084" s="70" t="s">
        <v>107</v>
      </c>
      <c r="J1084" s="5" t="s">
        <v>116</v>
      </c>
      <c r="K1084" s="101">
        <f>+K1083+Tabla6[[#This Row],[IMPORTE]]</f>
        <v>7141331.159999649</v>
      </c>
      <c r="L1084" s="5" t="s">
        <v>287</v>
      </c>
      <c r="M1084" s="133" t="s">
        <v>100</v>
      </c>
    </row>
    <row r="1085" spans="2:13" x14ac:dyDescent="0.35">
      <c r="B1085" s="4" t="s">
        <v>104</v>
      </c>
      <c r="C1085" s="104" t="s">
        <v>163</v>
      </c>
      <c r="D1085" s="105">
        <v>197872</v>
      </c>
      <c r="E1085" s="105">
        <v>404</v>
      </c>
      <c r="F1085" s="101">
        <v>30694.44</v>
      </c>
      <c r="G1085" s="5" t="s">
        <v>106</v>
      </c>
      <c r="H1085" s="105">
        <v>183</v>
      </c>
      <c r="I1085" s="70" t="s">
        <v>107</v>
      </c>
      <c r="J1085" s="5" t="s">
        <v>109</v>
      </c>
      <c r="K1085" s="101">
        <f>+K1084+Tabla6[[#This Row],[IMPORTE]]</f>
        <v>7172025.5999996495</v>
      </c>
      <c r="L1085" s="5" t="s">
        <v>286</v>
      </c>
      <c r="M1085" s="133" t="s">
        <v>100</v>
      </c>
    </row>
    <row r="1086" spans="2:13" x14ac:dyDescent="0.35">
      <c r="B1086" s="4" t="s">
        <v>117</v>
      </c>
      <c r="C1086" s="104" t="s">
        <v>163</v>
      </c>
      <c r="D1086" s="105">
        <v>838415</v>
      </c>
      <c r="E1086" s="105">
        <v>404</v>
      </c>
      <c r="F1086" s="101">
        <v>34580.15</v>
      </c>
      <c r="G1086" s="5" t="s">
        <v>129</v>
      </c>
      <c r="H1086" s="105">
        <v>4098</v>
      </c>
      <c r="I1086" s="105">
        <v>30717862453</v>
      </c>
      <c r="J1086" s="5" t="s">
        <v>130</v>
      </c>
      <c r="K1086" s="101">
        <f>+K1085+Tabla6[[#This Row],[IMPORTE]]</f>
        <v>7206605.7499996498</v>
      </c>
      <c r="L1086" s="5" t="s">
        <v>285</v>
      </c>
      <c r="M1086" s="133" t="s">
        <v>100</v>
      </c>
    </row>
    <row r="1087" spans="2:13" x14ac:dyDescent="0.35">
      <c r="B1087" s="4" t="s">
        <v>104</v>
      </c>
      <c r="C1087" s="104" t="s">
        <v>163</v>
      </c>
      <c r="D1087" s="105">
        <v>197871</v>
      </c>
      <c r="E1087" s="105">
        <v>404</v>
      </c>
      <c r="F1087" s="101">
        <v>38056.199999999997</v>
      </c>
      <c r="G1087" s="5" t="s">
        <v>106</v>
      </c>
      <c r="H1087" s="105">
        <v>183</v>
      </c>
      <c r="I1087" s="70" t="s">
        <v>107</v>
      </c>
      <c r="J1087" s="5" t="s">
        <v>109</v>
      </c>
      <c r="K1087" s="101">
        <f>+K1086+Tabla6[[#This Row],[IMPORTE]]</f>
        <v>7244661.94999965</v>
      </c>
      <c r="L1087" s="5" t="s">
        <v>286</v>
      </c>
      <c r="M1087" s="133" t="s">
        <v>100</v>
      </c>
    </row>
    <row r="1088" spans="2:13" x14ac:dyDescent="0.35">
      <c r="B1088" s="4" t="s">
        <v>117</v>
      </c>
      <c r="C1088" s="104" t="s">
        <v>163</v>
      </c>
      <c r="D1088" s="105">
        <v>112858</v>
      </c>
      <c r="E1088" s="105">
        <v>404</v>
      </c>
      <c r="F1088" s="101">
        <v>40170.5</v>
      </c>
      <c r="G1088" s="5" t="s">
        <v>129</v>
      </c>
      <c r="H1088" s="105">
        <v>4098</v>
      </c>
      <c r="I1088" s="105">
        <v>30717862453</v>
      </c>
      <c r="J1088" s="5" t="s">
        <v>130</v>
      </c>
      <c r="K1088" s="101">
        <f>+K1087+Tabla6[[#This Row],[IMPORTE]]</f>
        <v>7284832.44999965</v>
      </c>
      <c r="L1088" s="5" t="s">
        <v>285</v>
      </c>
      <c r="M1088" s="133" t="s">
        <v>100</v>
      </c>
    </row>
    <row r="1089" spans="2:13" x14ac:dyDescent="0.35">
      <c r="B1089" s="4" t="s">
        <v>117</v>
      </c>
      <c r="C1089" s="104" t="s">
        <v>163</v>
      </c>
      <c r="D1089" s="105">
        <v>504572</v>
      </c>
      <c r="E1089" s="105">
        <v>404</v>
      </c>
      <c r="F1089" s="101">
        <v>49628.05</v>
      </c>
      <c r="G1089" s="5" t="s">
        <v>129</v>
      </c>
      <c r="H1089" s="105">
        <v>4098</v>
      </c>
      <c r="I1089" s="105">
        <v>30717862453</v>
      </c>
      <c r="J1089" s="5" t="s">
        <v>130</v>
      </c>
      <c r="K1089" s="101">
        <f>+K1088+Tabla6[[#This Row],[IMPORTE]]</f>
        <v>7334460.4999996498</v>
      </c>
      <c r="L1089" s="5" t="s">
        <v>285</v>
      </c>
      <c r="M1089" s="133" t="s">
        <v>100</v>
      </c>
    </row>
    <row r="1090" spans="2:13" x14ac:dyDescent="0.35">
      <c r="B1090" s="4" t="s">
        <v>117</v>
      </c>
      <c r="C1090" s="104" t="s">
        <v>163</v>
      </c>
      <c r="D1090" s="105">
        <v>100237</v>
      </c>
      <c r="E1090" s="105">
        <v>404</v>
      </c>
      <c r="F1090" s="101">
        <v>74857</v>
      </c>
      <c r="G1090" s="5" t="s">
        <v>129</v>
      </c>
      <c r="H1090" s="105">
        <v>4098</v>
      </c>
      <c r="I1090" s="105">
        <v>30717862453</v>
      </c>
      <c r="J1090" s="5" t="s">
        <v>130</v>
      </c>
      <c r="K1090" s="101">
        <f>+K1089+Tabla6[[#This Row],[IMPORTE]]</f>
        <v>7409317.4999996498</v>
      </c>
      <c r="L1090" s="5" t="s">
        <v>285</v>
      </c>
      <c r="M1090" s="133" t="s">
        <v>100</v>
      </c>
    </row>
    <row r="1091" spans="2:13" x14ac:dyDescent="0.35">
      <c r="B1091" s="4" t="s">
        <v>104</v>
      </c>
      <c r="C1091" s="104" t="s">
        <v>163</v>
      </c>
      <c r="D1091" s="105">
        <v>197867</v>
      </c>
      <c r="E1091" s="105">
        <v>404</v>
      </c>
      <c r="F1091" s="101">
        <v>76112.399999999994</v>
      </c>
      <c r="G1091" s="5" t="s">
        <v>106</v>
      </c>
      <c r="H1091" s="105">
        <v>183</v>
      </c>
      <c r="I1091" s="70" t="s">
        <v>107</v>
      </c>
      <c r="J1091" s="5" t="s">
        <v>110</v>
      </c>
      <c r="K1091" s="101">
        <f>+K1090+Tabla6[[#This Row],[IMPORTE]]</f>
        <v>7485429.8999996502</v>
      </c>
      <c r="L1091" s="5" t="s">
        <v>286</v>
      </c>
      <c r="M1091" s="133" t="s">
        <v>100</v>
      </c>
    </row>
    <row r="1092" spans="2:13" x14ac:dyDescent="0.35">
      <c r="B1092" s="4" t="s">
        <v>117</v>
      </c>
      <c r="C1092" s="104" t="s">
        <v>163</v>
      </c>
      <c r="D1092" s="105">
        <v>483531</v>
      </c>
      <c r="E1092" s="105">
        <v>404</v>
      </c>
      <c r="F1092" s="101">
        <v>89874.25</v>
      </c>
      <c r="G1092" s="5" t="s">
        <v>129</v>
      </c>
      <c r="H1092" s="105">
        <v>4098</v>
      </c>
      <c r="I1092" s="105">
        <v>30717862453</v>
      </c>
      <c r="J1092" s="5" t="s">
        <v>130</v>
      </c>
      <c r="K1092" s="101">
        <f>+K1091+Tabla6[[#This Row],[IMPORTE]]</f>
        <v>7575304.1499996502</v>
      </c>
      <c r="L1092" s="5" t="s">
        <v>285</v>
      </c>
      <c r="M1092" s="133" t="s">
        <v>100</v>
      </c>
    </row>
    <row r="1093" spans="2:13" x14ac:dyDescent="0.35">
      <c r="B1093" s="4" t="s">
        <v>117</v>
      </c>
      <c r="C1093" s="104" t="s">
        <v>163</v>
      </c>
      <c r="D1093" s="105">
        <v>464649</v>
      </c>
      <c r="E1093" s="105">
        <v>404</v>
      </c>
      <c r="F1093" s="101">
        <v>93174.36</v>
      </c>
      <c r="G1093" s="5" t="s">
        <v>129</v>
      </c>
      <c r="H1093" s="105">
        <v>4098</v>
      </c>
      <c r="I1093" s="105">
        <v>30717862453</v>
      </c>
      <c r="J1093" s="5" t="s">
        <v>130</v>
      </c>
      <c r="K1093" s="101">
        <f>+K1092+Tabla6[[#This Row],[IMPORTE]]</f>
        <v>7668478.5099996505</v>
      </c>
      <c r="L1093" s="5" t="s">
        <v>285</v>
      </c>
      <c r="M1093" s="133" t="s">
        <v>100</v>
      </c>
    </row>
    <row r="1094" spans="2:13" x14ac:dyDescent="0.35">
      <c r="B1094" s="4" t="s">
        <v>104</v>
      </c>
      <c r="C1094" s="104" t="s">
        <v>163</v>
      </c>
      <c r="D1094" s="105">
        <v>197841</v>
      </c>
      <c r="E1094" s="105">
        <v>404</v>
      </c>
      <c r="F1094" s="101">
        <v>98010.14</v>
      </c>
      <c r="G1094" s="5" t="s">
        <v>106</v>
      </c>
      <c r="H1094" s="105">
        <v>183</v>
      </c>
      <c r="I1094" s="70" t="s">
        <v>107</v>
      </c>
      <c r="J1094" s="5" t="s">
        <v>108</v>
      </c>
      <c r="K1094" s="101">
        <f>+K1093+Tabla6[[#This Row],[IMPORTE]]</f>
        <v>7766488.6499996502</v>
      </c>
      <c r="L1094" s="5" t="s">
        <v>286</v>
      </c>
      <c r="M1094" s="133" t="s">
        <v>100</v>
      </c>
    </row>
    <row r="1095" spans="2:13" x14ac:dyDescent="0.35">
      <c r="B1095" s="4" t="s">
        <v>117</v>
      </c>
      <c r="C1095" s="104" t="s">
        <v>163</v>
      </c>
      <c r="D1095" s="105">
        <v>515891</v>
      </c>
      <c r="E1095" s="105">
        <v>404</v>
      </c>
      <c r="F1095" s="101">
        <v>105297.39</v>
      </c>
      <c r="G1095" s="5" t="s">
        <v>129</v>
      </c>
      <c r="H1095" s="105">
        <v>4098</v>
      </c>
      <c r="I1095" s="105">
        <v>30717862453</v>
      </c>
      <c r="J1095" s="5" t="s">
        <v>130</v>
      </c>
      <c r="K1095" s="101">
        <f>+K1094+Tabla6[[#This Row],[IMPORTE]]</f>
        <v>7871786.0399996499</v>
      </c>
      <c r="L1095" s="5" t="s">
        <v>285</v>
      </c>
      <c r="M1095" s="133" t="s">
        <v>100</v>
      </c>
    </row>
    <row r="1096" spans="2:13" x14ac:dyDescent="0.35">
      <c r="B1096" s="4" t="s">
        <v>117</v>
      </c>
      <c r="C1096" s="104" t="s">
        <v>163</v>
      </c>
      <c r="D1096" s="105">
        <v>291187</v>
      </c>
      <c r="E1096" s="105">
        <v>404</v>
      </c>
      <c r="F1096" s="101">
        <v>107061.52</v>
      </c>
      <c r="G1096" s="5" t="s">
        <v>129</v>
      </c>
      <c r="H1096" s="105">
        <v>4098</v>
      </c>
      <c r="I1096" s="105">
        <v>30717862453</v>
      </c>
      <c r="J1096" s="5" t="s">
        <v>130</v>
      </c>
      <c r="K1096" s="101">
        <f>+K1095+Tabla6[[#This Row],[IMPORTE]]</f>
        <v>7978847.5599996494</v>
      </c>
      <c r="L1096" s="5" t="s">
        <v>285</v>
      </c>
      <c r="M1096" s="133" t="s">
        <v>100</v>
      </c>
    </row>
    <row r="1097" spans="2:13" x14ac:dyDescent="0.35">
      <c r="B1097" s="4" t="s">
        <v>117</v>
      </c>
      <c r="C1097" s="104" t="s">
        <v>163</v>
      </c>
      <c r="D1097" s="105">
        <v>109</v>
      </c>
      <c r="E1097" s="105">
        <v>811</v>
      </c>
      <c r="F1097" s="101">
        <v>139040.93</v>
      </c>
      <c r="G1097" s="5" t="s">
        <v>118</v>
      </c>
      <c r="H1097" s="105">
        <v>4151</v>
      </c>
      <c r="I1097" s="70" t="s">
        <v>107</v>
      </c>
      <c r="J1097" s="5" t="s">
        <v>119</v>
      </c>
      <c r="K1097" s="101">
        <f>+K1096+Tabla6[[#This Row],[IMPORTE]]</f>
        <v>8117888.4899996491</v>
      </c>
      <c r="L1097" s="5" t="s">
        <v>288</v>
      </c>
      <c r="M1097" s="133" t="s">
        <v>100</v>
      </c>
    </row>
    <row r="1098" spans="2:13" x14ac:dyDescent="0.35">
      <c r="B1098" s="4" t="s">
        <v>117</v>
      </c>
      <c r="C1098" s="104" t="s">
        <v>163</v>
      </c>
      <c r="D1098" s="105">
        <v>754098</v>
      </c>
      <c r="E1098" s="105">
        <v>404</v>
      </c>
      <c r="F1098" s="101">
        <v>141870.96</v>
      </c>
      <c r="G1098" s="5" t="s">
        <v>129</v>
      </c>
      <c r="H1098" s="105">
        <v>4098</v>
      </c>
      <c r="I1098" s="105">
        <v>30717862453</v>
      </c>
      <c r="J1098" s="5" t="s">
        <v>130</v>
      </c>
      <c r="K1098" s="101">
        <f>+K1097+Tabla6[[#This Row],[IMPORTE]]</f>
        <v>8259759.4499996491</v>
      </c>
      <c r="L1098" s="5" t="s">
        <v>285</v>
      </c>
      <c r="M1098" s="133" t="s">
        <v>100</v>
      </c>
    </row>
    <row r="1099" spans="2:13" x14ac:dyDescent="0.35">
      <c r="B1099" s="4" t="s">
        <v>104</v>
      </c>
      <c r="C1099" s="104" t="s">
        <v>163</v>
      </c>
      <c r="D1099" s="105">
        <v>197864</v>
      </c>
      <c r="E1099" s="105">
        <v>404</v>
      </c>
      <c r="F1099" s="101">
        <v>148501.65</v>
      </c>
      <c r="G1099" s="5" t="s">
        <v>106</v>
      </c>
      <c r="H1099" s="105">
        <v>183</v>
      </c>
      <c r="I1099" s="70" t="s">
        <v>107</v>
      </c>
      <c r="J1099" s="5" t="s">
        <v>112</v>
      </c>
      <c r="K1099" s="101">
        <f>+K1098+Tabla6[[#This Row],[IMPORTE]]</f>
        <v>8408261.0999996495</v>
      </c>
      <c r="L1099" s="5" t="s">
        <v>286</v>
      </c>
      <c r="M1099" s="133" t="s">
        <v>100</v>
      </c>
    </row>
    <row r="1100" spans="2:13" x14ac:dyDescent="0.35">
      <c r="B1100" s="4" t="s">
        <v>104</v>
      </c>
      <c r="C1100" s="104" t="s">
        <v>163</v>
      </c>
      <c r="D1100" s="105">
        <v>197840</v>
      </c>
      <c r="E1100" s="105">
        <v>404</v>
      </c>
      <c r="F1100" s="101">
        <v>190618.86</v>
      </c>
      <c r="G1100" s="5" t="s">
        <v>106</v>
      </c>
      <c r="H1100" s="105">
        <v>183</v>
      </c>
      <c r="I1100" s="70" t="s">
        <v>107</v>
      </c>
      <c r="J1100" s="5" t="s">
        <v>111</v>
      </c>
      <c r="K1100" s="101">
        <f>+K1099+Tabla6[[#This Row],[IMPORTE]]</f>
        <v>8598879.9599996489</v>
      </c>
      <c r="L1100" s="5" t="s">
        <v>286</v>
      </c>
      <c r="M1100" s="133" t="s">
        <v>100</v>
      </c>
    </row>
    <row r="1101" spans="2:13" x14ac:dyDescent="0.35">
      <c r="B1101" s="4" t="s">
        <v>104</v>
      </c>
      <c r="C1101" s="104" t="s">
        <v>163</v>
      </c>
      <c r="D1101" s="105">
        <v>197869</v>
      </c>
      <c r="E1101" s="105">
        <v>404</v>
      </c>
      <c r="F1101" s="101">
        <v>206772.02</v>
      </c>
      <c r="G1101" s="5" t="s">
        <v>106</v>
      </c>
      <c r="H1101" s="105">
        <v>183</v>
      </c>
      <c r="I1101" s="70" t="s">
        <v>107</v>
      </c>
      <c r="J1101" s="5" t="s">
        <v>115</v>
      </c>
      <c r="K1101" s="101">
        <f>+K1100+Tabla6[[#This Row],[IMPORTE]]</f>
        <v>8805651.9799996484</v>
      </c>
      <c r="L1101" s="5" t="s">
        <v>286</v>
      </c>
      <c r="M1101" s="133" t="s">
        <v>100</v>
      </c>
    </row>
    <row r="1102" spans="2:13" x14ac:dyDescent="0.35">
      <c r="B1102" s="4" t="s">
        <v>117</v>
      </c>
      <c r="C1102" s="104" t="s">
        <v>163</v>
      </c>
      <c r="D1102" s="105">
        <v>821358</v>
      </c>
      <c r="E1102" s="105">
        <v>404</v>
      </c>
      <c r="F1102" s="101">
        <v>215049.96</v>
      </c>
      <c r="G1102" s="5" t="s">
        <v>129</v>
      </c>
      <c r="H1102" s="105">
        <v>4098</v>
      </c>
      <c r="I1102" s="105">
        <v>30717862453</v>
      </c>
      <c r="J1102" s="5" t="s">
        <v>130</v>
      </c>
      <c r="K1102" s="101">
        <f>+K1101+Tabla6[[#This Row],[IMPORTE]]</f>
        <v>9020701.9399996493</v>
      </c>
      <c r="L1102" s="5" t="s">
        <v>285</v>
      </c>
      <c r="M1102" s="133" t="s">
        <v>100</v>
      </c>
    </row>
    <row r="1103" spans="2:13" x14ac:dyDescent="0.35">
      <c r="B1103" s="4" t="s">
        <v>117</v>
      </c>
      <c r="C1103" s="104" t="s">
        <v>163</v>
      </c>
      <c r="D1103" s="105">
        <v>504523</v>
      </c>
      <c r="E1103" s="105">
        <v>404</v>
      </c>
      <c r="F1103" s="101">
        <v>230898.06</v>
      </c>
      <c r="G1103" s="5" t="s">
        <v>129</v>
      </c>
      <c r="H1103" s="105">
        <v>4098</v>
      </c>
      <c r="I1103" s="105">
        <v>30717862453</v>
      </c>
      <c r="J1103" s="5" t="s">
        <v>130</v>
      </c>
      <c r="K1103" s="101">
        <f>+K1102+Tabla6[[#This Row],[IMPORTE]]</f>
        <v>9251599.9999996498</v>
      </c>
      <c r="L1103" s="5" t="s">
        <v>285</v>
      </c>
      <c r="M1103" s="133" t="s">
        <v>100</v>
      </c>
    </row>
    <row r="1104" spans="2:13" x14ac:dyDescent="0.35">
      <c r="B1104" s="4" t="s">
        <v>104</v>
      </c>
      <c r="C1104" s="104" t="s">
        <v>163</v>
      </c>
      <c r="D1104" s="105">
        <v>197865</v>
      </c>
      <c r="E1104" s="105">
        <v>404</v>
      </c>
      <c r="F1104" s="101">
        <v>316488.88</v>
      </c>
      <c r="G1104" s="5" t="s">
        <v>106</v>
      </c>
      <c r="H1104" s="105">
        <v>183</v>
      </c>
      <c r="I1104" s="70" t="s">
        <v>107</v>
      </c>
      <c r="J1104" s="5" t="s">
        <v>116</v>
      </c>
      <c r="K1104" s="101">
        <f>+K1103+Tabla6[[#This Row],[IMPORTE]]</f>
        <v>9568088.8799996506</v>
      </c>
      <c r="L1104" s="5" t="s">
        <v>286</v>
      </c>
      <c r="M1104" s="133" t="s">
        <v>100</v>
      </c>
    </row>
    <row r="1105" spans="2:13" x14ac:dyDescent="0.35">
      <c r="B1105" s="4" t="s">
        <v>104</v>
      </c>
      <c r="C1105" s="104" t="s">
        <v>163</v>
      </c>
      <c r="D1105" s="105">
        <v>197870</v>
      </c>
      <c r="E1105" s="105">
        <v>404</v>
      </c>
      <c r="F1105" s="101">
        <v>470896.58</v>
      </c>
      <c r="G1105" s="5" t="s">
        <v>106</v>
      </c>
      <c r="H1105" s="105">
        <v>183</v>
      </c>
      <c r="I1105" s="70" t="s">
        <v>107</v>
      </c>
      <c r="J1105" s="5" t="s">
        <v>115</v>
      </c>
      <c r="K1105" s="101">
        <f>+K1104+Tabla6[[#This Row],[IMPORTE]]</f>
        <v>10038985.459999651</v>
      </c>
      <c r="L1105" s="5" t="s">
        <v>286</v>
      </c>
      <c r="M1105" s="133" t="s">
        <v>100</v>
      </c>
    </row>
    <row r="1106" spans="2:13" x14ac:dyDescent="0.35">
      <c r="B1106" s="4" t="s">
        <v>117</v>
      </c>
      <c r="C1106" s="104" t="s">
        <v>163</v>
      </c>
      <c r="D1106" s="105">
        <v>394210</v>
      </c>
      <c r="E1106" s="105">
        <v>404</v>
      </c>
      <c r="F1106" s="101">
        <v>555251.73</v>
      </c>
      <c r="G1106" s="5" t="s">
        <v>129</v>
      </c>
      <c r="H1106" s="105">
        <v>4098</v>
      </c>
      <c r="I1106" s="105">
        <v>30717862453</v>
      </c>
      <c r="J1106" s="5" t="s">
        <v>130</v>
      </c>
      <c r="K1106" s="101">
        <f>+K1105+Tabla6[[#This Row],[IMPORTE]]</f>
        <v>10594237.189999651</v>
      </c>
      <c r="L1106" s="5" t="s">
        <v>285</v>
      </c>
      <c r="M1106" s="133" t="s">
        <v>100</v>
      </c>
    </row>
    <row r="1107" spans="2:13" x14ac:dyDescent="0.35">
      <c r="B1107" s="4" t="s">
        <v>104</v>
      </c>
      <c r="C1107" s="104" t="s">
        <v>163</v>
      </c>
      <c r="D1107" s="105">
        <v>197873</v>
      </c>
      <c r="E1107" s="105">
        <v>404</v>
      </c>
      <c r="F1107" s="101">
        <v>621668.94999999995</v>
      </c>
      <c r="G1107" s="5" t="s">
        <v>106</v>
      </c>
      <c r="H1107" s="105">
        <v>183</v>
      </c>
      <c r="I1107" s="70" t="s">
        <v>107</v>
      </c>
      <c r="J1107" s="5" t="s">
        <v>113</v>
      </c>
      <c r="K1107" s="101">
        <f>+K1106+Tabla6[[#This Row],[IMPORTE]]</f>
        <v>11215906.13999965</v>
      </c>
      <c r="L1107" s="5" t="s">
        <v>286</v>
      </c>
      <c r="M1107" s="133" t="s">
        <v>100</v>
      </c>
    </row>
    <row r="1108" spans="2:13" x14ac:dyDescent="0.35">
      <c r="B1108" s="4" t="s">
        <v>120</v>
      </c>
      <c r="C1108" s="104" t="s">
        <v>163</v>
      </c>
      <c r="D1108" s="105">
        <v>13418115</v>
      </c>
      <c r="E1108" s="105">
        <v>404</v>
      </c>
      <c r="F1108" s="101">
        <v>-11000000</v>
      </c>
      <c r="G1108" s="5" t="s">
        <v>144</v>
      </c>
      <c r="H1108" s="105">
        <v>2018</v>
      </c>
      <c r="I1108" s="70" t="s">
        <v>107</v>
      </c>
      <c r="J1108" s="5" t="s">
        <v>127</v>
      </c>
      <c r="K1108" s="101">
        <f>+K1107+Tabla6[[#This Row],[IMPORTE]]</f>
        <v>215906.13999965042</v>
      </c>
      <c r="L1108" s="5" t="s">
        <v>289</v>
      </c>
      <c r="M1108" s="133" t="s">
        <v>100</v>
      </c>
    </row>
    <row r="1109" spans="2:13" x14ac:dyDescent="0.35">
      <c r="B1109" s="136" t="s">
        <v>145</v>
      </c>
      <c r="C1109" s="106" t="s">
        <v>163</v>
      </c>
      <c r="D1109" s="107">
        <v>10530130</v>
      </c>
      <c r="E1109" s="107">
        <v>404</v>
      </c>
      <c r="F1109" s="108">
        <v>-835</v>
      </c>
      <c r="G1109" s="109" t="s">
        <v>146</v>
      </c>
      <c r="H1109" s="107">
        <v>531</v>
      </c>
      <c r="I1109" s="110" t="s">
        <v>107</v>
      </c>
      <c r="J1109" s="109" t="s">
        <v>127</v>
      </c>
      <c r="K1109" s="108">
        <f>+K1108+Tabla6[[#This Row],[IMPORTE]]</f>
        <v>215071.13999965042</v>
      </c>
      <c r="L1109" s="109" t="s">
        <v>165</v>
      </c>
      <c r="M1109" s="111" t="s">
        <v>93</v>
      </c>
    </row>
    <row r="1110" spans="2:13" x14ac:dyDescent="0.35">
      <c r="B1110" s="136" t="s">
        <v>147</v>
      </c>
      <c r="C1110" s="106" t="s">
        <v>163</v>
      </c>
      <c r="D1110" s="107">
        <v>10530130</v>
      </c>
      <c r="E1110" s="107">
        <v>404</v>
      </c>
      <c r="F1110" s="108">
        <v>-175.35</v>
      </c>
      <c r="G1110" s="109" t="s">
        <v>148</v>
      </c>
      <c r="H1110" s="107">
        <v>531</v>
      </c>
      <c r="I1110" s="110" t="s">
        <v>107</v>
      </c>
      <c r="J1110" s="109" t="s">
        <v>127</v>
      </c>
      <c r="K1110" s="108">
        <f>+K1109+Tabla6[[#This Row],[IMPORTE]]</f>
        <v>214895.78999965041</v>
      </c>
      <c r="L1110" s="109" t="s">
        <v>165</v>
      </c>
      <c r="M1110" s="111" t="s">
        <v>93</v>
      </c>
    </row>
    <row r="1111" spans="2:13" x14ac:dyDescent="0.35">
      <c r="B1111" s="6" t="s">
        <v>164</v>
      </c>
      <c r="C1111" s="72"/>
      <c r="D1111" s="71"/>
      <c r="E1111" s="71"/>
      <c r="F1111" s="92"/>
      <c r="G1111" s="7"/>
      <c r="H1111" s="71"/>
      <c r="I1111" s="71"/>
      <c r="J1111" s="7"/>
      <c r="K1111" s="92">
        <f>+K1110</f>
        <v>214895.78999965041</v>
      </c>
      <c r="L1111" s="7"/>
      <c r="M1111" s="8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M7:M1111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F15" sqref="F15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30" style="1" customWidth="1"/>
    <col min="7" max="7" width="33.5703125" style="1" bestFit="1" customWidth="1"/>
    <col min="8" max="9" width="14.7109375" style="18" bestFit="1" customWidth="1"/>
    <col min="10" max="10" width="15.28515625" style="18" bestFit="1" customWidth="1"/>
    <col min="11" max="11" width="12.5703125" style="74" bestFit="1" customWidth="1"/>
    <col min="12" max="12" width="23" style="1" bestFit="1" customWidth="1"/>
    <col min="13" max="13" width="18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59" t="s">
        <v>60</v>
      </c>
      <c r="C2" s="19" t="s">
        <v>36</v>
      </c>
      <c r="D2" s="15"/>
      <c r="E2" s="3"/>
      <c r="F2" s="15"/>
      <c r="G2" s="15"/>
      <c r="H2" s="15"/>
      <c r="I2" s="15"/>
      <c r="J2" s="15"/>
      <c r="K2" s="3"/>
      <c r="L2" s="15"/>
    </row>
    <row r="3" spans="2:16" x14ac:dyDescent="0.35">
      <c r="B3" s="59" t="s">
        <v>40</v>
      </c>
      <c r="C3" s="19">
        <v>9406934115</v>
      </c>
      <c r="D3" s="15"/>
      <c r="E3" s="3"/>
      <c r="F3" s="15"/>
      <c r="G3" s="15"/>
      <c r="H3" s="15"/>
      <c r="I3" s="15"/>
      <c r="J3" s="15"/>
      <c r="K3" s="3"/>
      <c r="L3" s="15"/>
    </row>
    <row r="4" spans="2:16" x14ac:dyDescent="0.35">
      <c r="B4" s="59" t="s">
        <v>38</v>
      </c>
      <c r="C4" s="19" t="s">
        <v>41</v>
      </c>
    </row>
    <row r="6" spans="2:16" s="2" customFormat="1" x14ac:dyDescent="0.35">
      <c r="B6" s="36" t="s">
        <v>69</v>
      </c>
      <c r="C6" s="26" t="s">
        <v>61</v>
      </c>
      <c r="D6" s="26" t="s">
        <v>28</v>
      </c>
      <c r="E6" s="26" t="s">
        <v>64</v>
      </c>
      <c r="F6" s="26" t="s">
        <v>62</v>
      </c>
      <c r="G6" s="26" t="s">
        <v>6</v>
      </c>
      <c r="H6" s="27" t="s">
        <v>19</v>
      </c>
      <c r="I6" s="27" t="s">
        <v>20</v>
      </c>
      <c r="J6" s="37" t="s">
        <v>21</v>
      </c>
      <c r="K6" s="38" t="s">
        <v>63</v>
      </c>
      <c r="L6" s="39" t="s">
        <v>22</v>
      </c>
      <c r="M6" s="57" t="s">
        <v>29</v>
      </c>
      <c r="O6" s="141" t="s">
        <v>8</v>
      </c>
      <c r="P6" s="141"/>
    </row>
    <row r="7" spans="2:16" x14ac:dyDescent="0.35">
      <c r="B7" s="17" t="s">
        <v>30</v>
      </c>
      <c r="C7" s="73"/>
      <c r="D7" s="9"/>
      <c r="E7" s="73"/>
      <c r="F7" s="9"/>
      <c r="G7" s="9"/>
      <c r="H7" s="91"/>
      <c r="I7" s="91"/>
      <c r="J7" s="93">
        <v>-31066499.91</v>
      </c>
      <c r="K7" s="75"/>
      <c r="L7" s="11"/>
      <c r="M7" s="56"/>
    </row>
    <row r="8" spans="2:16" x14ac:dyDescent="0.35">
      <c r="B8" s="119">
        <v>46028</v>
      </c>
      <c r="C8" s="120">
        <v>46024</v>
      </c>
      <c r="D8" s="121" t="s">
        <v>168</v>
      </c>
      <c r="E8" s="122">
        <v>4</v>
      </c>
      <c r="F8" s="121" t="s">
        <v>193</v>
      </c>
      <c r="G8" s="121" t="s">
        <v>170</v>
      </c>
      <c r="H8" s="117">
        <v>32000000</v>
      </c>
      <c r="I8" s="117">
        <v>0</v>
      </c>
      <c r="J8" s="123">
        <f>+J7+Tabla69[[#This Row],[DEBE]]-Tabla69[[#This Row],[HABER]]</f>
        <v>933500.08999999985</v>
      </c>
      <c r="K8" s="124" t="s">
        <v>192</v>
      </c>
      <c r="L8" s="125" t="s">
        <v>186</v>
      </c>
      <c r="M8" s="126" t="s">
        <v>101</v>
      </c>
      <c r="O8" s="61"/>
      <c r="P8" s="68" t="s">
        <v>94</v>
      </c>
    </row>
    <row r="9" spans="2:16" x14ac:dyDescent="0.35">
      <c r="B9" s="119">
        <v>46031</v>
      </c>
      <c r="C9" s="120">
        <v>46028</v>
      </c>
      <c r="D9" s="121" t="s">
        <v>169</v>
      </c>
      <c r="E9" s="122">
        <v>16</v>
      </c>
      <c r="F9" s="121" t="s">
        <v>171</v>
      </c>
      <c r="G9" s="121" t="s">
        <v>172</v>
      </c>
      <c r="H9" s="117">
        <v>1710078.2</v>
      </c>
      <c r="I9" s="117">
        <v>0</v>
      </c>
      <c r="J9" s="123">
        <f>+J8+Tabla69[[#This Row],[DEBE]]-Tabla69[[#This Row],[HABER]]</f>
        <v>2643578.29</v>
      </c>
      <c r="K9" s="124" t="s">
        <v>192</v>
      </c>
      <c r="L9" s="118" t="s">
        <v>194</v>
      </c>
      <c r="M9" s="126" t="s">
        <v>85</v>
      </c>
      <c r="O9" s="62"/>
      <c r="P9" s="68"/>
    </row>
    <row r="10" spans="2:16" x14ac:dyDescent="0.35">
      <c r="B10" s="119">
        <v>46031</v>
      </c>
      <c r="C10" s="120">
        <v>46029</v>
      </c>
      <c r="D10" s="121" t="s">
        <v>169</v>
      </c>
      <c r="E10" s="122">
        <v>17</v>
      </c>
      <c r="F10" s="121" t="s">
        <v>171</v>
      </c>
      <c r="G10" s="121" t="s">
        <v>173</v>
      </c>
      <c r="H10" s="117">
        <v>645906.51</v>
      </c>
      <c r="I10" s="117">
        <v>0</v>
      </c>
      <c r="J10" s="123">
        <f>+J9+Tabla69[[#This Row],[DEBE]]-Tabla69[[#This Row],[HABER]]</f>
        <v>3289484.8</v>
      </c>
      <c r="K10" s="124" t="s">
        <v>192</v>
      </c>
      <c r="L10" s="129" t="s">
        <v>195</v>
      </c>
      <c r="M10" s="127" t="s">
        <v>85</v>
      </c>
      <c r="O10" s="63"/>
      <c r="P10" s="68" t="s">
        <v>99</v>
      </c>
    </row>
    <row r="11" spans="2:16" x14ac:dyDescent="0.35">
      <c r="B11" s="119">
        <v>46038</v>
      </c>
      <c r="C11" s="120">
        <v>46036</v>
      </c>
      <c r="D11" s="121" t="s">
        <v>166</v>
      </c>
      <c r="E11" s="122">
        <v>9</v>
      </c>
      <c r="F11" s="121" t="s">
        <v>174</v>
      </c>
      <c r="G11" s="121" t="s">
        <v>175</v>
      </c>
      <c r="H11" s="117">
        <v>0</v>
      </c>
      <c r="I11" s="117">
        <v>41000000</v>
      </c>
      <c r="J11" s="123">
        <f>+J10+Tabla69[[#This Row],[DEBE]]-Tabla69[[#This Row],[HABER]]</f>
        <v>-37710515.200000003</v>
      </c>
      <c r="K11" s="124" t="s">
        <v>192</v>
      </c>
      <c r="L11" s="125" t="s">
        <v>187</v>
      </c>
      <c r="M11" s="127" t="s">
        <v>101</v>
      </c>
      <c r="O11" s="62"/>
      <c r="P11" s="68"/>
    </row>
    <row r="12" spans="2:16" x14ac:dyDescent="0.35">
      <c r="B12" s="119">
        <v>46045</v>
      </c>
      <c r="C12" s="120">
        <v>46044</v>
      </c>
      <c r="D12" s="121" t="s">
        <v>166</v>
      </c>
      <c r="E12" s="122">
        <v>18</v>
      </c>
      <c r="F12" s="121" t="s">
        <v>174</v>
      </c>
      <c r="G12" s="121" t="s">
        <v>176</v>
      </c>
      <c r="H12" s="117">
        <v>0</v>
      </c>
      <c r="I12" s="117">
        <v>48000000</v>
      </c>
      <c r="J12" s="123">
        <f>+J11+Tabla69[[#This Row],[DEBE]]-Tabla69[[#This Row],[HABER]]</f>
        <v>-85710515.200000003</v>
      </c>
      <c r="K12" s="124" t="s">
        <v>192</v>
      </c>
      <c r="L12" s="125" t="s">
        <v>188</v>
      </c>
      <c r="M12" s="127" t="s">
        <v>101</v>
      </c>
      <c r="O12" s="64"/>
      <c r="P12" s="68" t="s">
        <v>95</v>
      </c>
    </row>
    <row r="13" spans="2:16" x14ac:dyDescent="0.35">
      <c r="B13" s="119">
        <v>46048</v>
      </c>
      <c r="C13" s="120">
        <v>46034</v>
      </c>
      <c r="D13" s="121" t="s">
        <v>169</v>
      </c>
      <c r="E13" s="122">
        <v>61</v>
      </c>
      <c r="F13" s="121" t="s">
        <v>177</v>
      </c>
      <c r="G13" s="121" t="s">
        <v>178</v>
      </c>
      <c r="H13" s="117">
        <v>7543898.6299999999</v>
      </c>
      <c r="I13" s="117">
        <v>0</v>
      </c>
      <c r="J13" s="123">
        <f>+J12+Tabla69[[#This Row],[DEBE]]-Tabla69[[#This Row],[HABER]]</f>
        <v>-78166616.570000008</v>
      </c>
      <c r="K13" s="124" t="s">
        <v>192</v>
      </c>
      <c r="L13" s="129" t="s">
        <v>196</v>
      </c>
      <c r="M13" s="127" t="s">
        <v>85</v>
      </c>
      <c r="O13" s="62"/>
      <c r="P13" s="68"/>
    </row>
    <row r="14" spans="2:16" x14ac:dyDescent="0.35">
      <c r="B14" s="119">
        <v>46048</v>
      </c>
      <c r="C14" s="120">
        <v>46035</v>
      </c>
      <c r="D14" s="121" t="s">
        <v>169</v>
      </c>
      <c r="E14" s="122">
        <v>63</v>
      </c>
      <c r="F14" s="121" t="s">
        <v>177</v>
      </c>
      <c r="G14" s="121" t="s">
        <v>179</v>
      </c>
      <c r="H14" s="117">
        <v>2561491.59</v>
      </c>
      <c r="I14" s="117">
        <v>0</v>
      </c>
      <c r="J14" s="123">
        <f>+J13+Tabla69[[#This Row],[DEBE]]-Tabla69[[#This Row],[HABER]]</f>
        <v>-75605124.980000004</v>
      </c>
      <c r="K14" s="124" t="s">
        <v>192</v>
      </c>
      <c r="L14" s="129" t="s">
        <v>197</v>
      </c>
      <c r="M14" s="127" t="s">
        <v>85</v>
      </c>
      <c r="O14" s="65"/>
      <c r="P14" s="68" t="s">
        <v>96</v>
      </c>
    </row>
    <row r="15" spans="2:16" x14ac:dyDescent="0.35">
      <c r="B15" s="119">
        <v>46048</v>
      </c>
      <c r="C15" s="120">
        <v>46048</v>
      </c>
      <c r="D15" s="121" t="s">
        <v>167</v>
      </c>
      <c r="E15" s="122">
        <v>877</v>
      </c>
      <c r="F15" s="121" t="s">
        <v>185</v>
      </c>
      <c r="G15" s="121" t="s">
        <v>180</v>
      </c>
      <c r="H15" s="117">
        <v>0</v>
      </c>
      <c r="I15" s="117">
        <v>28099733.300000001</v>
      </c>
      <c r="J15" s="123">
        <f>+J14+Tabla69[[#This Row],[DEBE]]-Tabla69[[#This Row],[HABER]]</f>
        <v>-103704858.28</v>
      </c>
      <c r="K15" s="124" t="s">
        <v>192</v>
      </c>
      <c r="L15" s="125" t="s">
        <v>189</v>
      </c>
      <c r="M15" s="126" t="s">
        <v>91</v>
      </c>
      <c r="O15" s="62"/>
      <c r="P15" s="68"/>
    </row>
    <row r="16" spans="2:16" x14ac:dyDescent="0.35">
      <c r="B16" s="119">
        <v>46051</v>
      </c>
      <c r="C16" s="120">
        <v>46050</v>
      </c>
      <c r="D16" s="121" t="s">
        <v>168</v>
      </c>
      <c r="E16" s="122">
        <v>32</v>
      </c>
      <c r="F16" s="121" t="s">
        <v>181</v>
      </c>
      <c r="G16" s="121" t="s">
        <v>182</v>
      </c>
      <c r="H16" s="117">
        <v>5000000</v>
      </c>
      <c r="I16" s="117">
        <v>0</v>
      </c>
      <c r="J16" s="123">
        <f>+J15+Tabla69[[#This Row],[DEBE]]-Tabla69[[#This Row],[HABER]]</f>
        <v>-98704858.280000001</v>
      </c>
      <c r="K16" s="124" t="s">
        <v>192</v>
      </c>
      <c r="L16" s="125" t="s">
        <v>190</v>
      </c>
      <c r="M16" s="127" t="s">
        <v>101</v>
      </c>
      <c r="O16" s="66"/>
      <c r="P16" s="68" t="s">
        <v>97</v>
      </c>
    </row>
    <row r="17" spans="2:16" x14ac:dyDescent="0.35">
      <c r="B17" s="119">
        <v>46052</v>
      </c>
      <c r="C17" s="120">
        <v>46050</v>
      </c>
      <c r="D17" s="121" t="s">
        <v>168</v>
      </c>
      <c r="E17" s="122">
        <v>33</v>
      </c>
      <c r="F17" s="121" t="s">
        <v>183</v>
      </c>
      <c r="G17" s="121" t="s">
        <v>184</v>
      </c>
      <c r="H17" s="117">
        <v>148500000</v>
      </c>
      <c r="I17" s="117">
        <v>0</v>
      </c>
      <c r="J17" s="123">
        <f>+J16+Tabla69[[#This Row],[DEBE]]-Tabla69[[#This Row],[HABER]]</f>
        <v>49795141.719999999</v>
      </c>
      <c r="K17" s="124" t="s">
        <v>192</v>
      </c>
      <c r="L17" s="125" t="s">
        <v>191</v>
      </c>
      <c r="M17" s="127" t="s">
        <v>101</v>
      </c>
      <c r="O17" s="62"/>
      <c r="P17" s="68"/>
    </row>
    <row r="18" spans="2:16" x14ac:dyDescent="0.35">
      <c r="B18" s="112" t="s">
        <v>164</v>
      </c>
      <c r="C18" s="71"/>
      <c r="D18" s="7"/>
      <c r="E18" s="71"/>
      <c r="F18" s="7"/>
      <c r="G18" s="7"/>
      <c r="H18" s="92">
        <f>SUBTOTAL(109,H7:H17)</f>
        <v>197961374.93000001</v>
      </c>
      <c r="I18" s="92">
        <f>SUBTOTAL(109,I7:I17)</f>
        <v>117099733.3</v>
      </c>
      <c r="J18" s="94">
        <f>+J17</f>
        <v>49795141.719999999</v>
      </c>
      <c r="K18" s="76"/>
      <c r="L18" s="10"/>
      <c r="M18" s="56"/>
      <c r="O18" s="67"/>
      <c r="P18" s="69" t="s">
        <v>98</v>
      </c>
    </row>
    <row r="19" spans="2:16" x14ac:dyDescent="0.35">
      <c r="O19" s="62"/>
      <c r="P19" s="68"/>
    </row>
  </sheetData>
  <dataConsolidate/>
  <mergeCells count="1">
    <mergeCell ref="O6:P6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991"/>
  <sheetViews>
    <sheetView showGridLines="0" tabSelected="1" zoomScaleNormal="100" workbookViewId="0">
      <selection activeCell="B15" sqref="B15:C15"/>
    </sheetView>
  </sheetViews>
  <sheetFormatPr baseColWidth="10" defaultRowHeight="15" x14ac:dyDescent="0.35"/>
  <cols>
    <col min="1" max="1" width="4.7109375" style="12" customWidth="1"/>
    <col min="2" max="2" width="17.28515625" style="12" bestFit="1" customWidth="1"/>
    <col min="3" max="3" width="17.5703125" style="12" bestFit="1" customWidth="1"/>
    <col min="4" max="5" width="18.85546875" style="12" customWidth="1"/>
    <col min="6" max="7" width="28.28515625" style="12" customWidth="1"/>
    <col min="8" max="8" width="15.7109375" style="12" bestFit="1" customWidth="1"/>
    <col min="9" max="9" width="10.85546875" style="12" bestFit="1" customWidth="1"/>
    <col min="10" max="10" width="32" style="12" bestFit="1" customWidth="1"/>
    <col min="11" max="11" width="11.42578125" style="12"/>
    <col min="12" max="12" width="6.42578125" style="12" customWidth="1"/>
    <col min="13" max="13" width="38.42578125" style="12" bestFit="1" customWidth="1"/>
    <col min="14" max="16384" width="11.42578125" style="12"/>
  </cols>
  <sheetData>
    <row r="2" spans="2:5" x14ac:dyDescent="0.35">
      <c r="B2" s="14" t="s">
        <v>37</v>
      </c>
      <c r="C2" s="21" t="s">
        <v>36</v>
      </c>
    </row>
    <row r="3" spans="2:5" x14ac:dyDescent="0.35">
      <c r="B3" s="14" t="s">
        <v>40</v>
      </c>
      <c r="C3" s="21">
        <v>9406934115</v>
      </c>
    </row>
    <row r="4" spans="2:5" x14ac:dyDescent="0.35">
      <c r="B4" s="14" t="s">
        <v>38</v>
      </c>
      <c r="C4" s="21" t="s">
        <v>41</v>
      </c>
    </row>
    <row r="6" spans="2:5" x14ac:dyDescent="0.35">
      <c r="B6" s="32" t="s">
        <v>9</v>
      </c>
      <c r="C6" s="32" t="s">
        <v>10</v>
      </c>
    </row>
    <row r="7" spans="2:5" x14ac:dyDescent="0.35">
      <c r="B7" s="24" t="s">
        <v>26</v>
      </c>
      <c r="C7" s="77">
        <v>214895.78999965041</v>
      </c>
    </row>
    <row r="8" spans="2:5" x14ac:dyDescent="0.35">
      <c r="B8" s="24" t="s">
        <v>27</v>
      </c>
      <c r="C8" s="77">
        <v>49795141.719999999</v>
      </c>
    </row>
    <row r="10" spans="2:5" x14ac:dyDescent="0.35">
      <c r="B10" s="143" t="s">
        <v>23</v>
      </c>
      <c r="C10" s="144"/>
      <c r="D10" s="32" t="s">
        <v>10</v>
      </c>
      <c r="E10" s="13"/>
    </row>
    <row r="11" spans="2:5" x14ac:dyDescent="0.35">
      <c r="B11" s="145" t="s">
        <v>67</v>
      </c>
      <c r="C11" s="146"/>
      <c r="D11" s="78">
        <f>+C8</f>
        <v>49795141.719999999</v>
      </c>
    </row>
    <row r="12" spans="2:5" x14ac:dyDescent="0.35">
      <c r="B12" s="145" t="s">
        <v>53</v>
      </c>
      <c r="C12" s="146"/>
      <c r="D12" s="78">
        <f>+D24+D991</f>
        <v>0</v>
      </c>
      <c r="E12" s="83"/>
    </row>
    <row r="13" spans="2:5" x14ac:dyDescent="0.35">
      <c r="B13" s="145" t="s">
        <v>54</v>
      </c>
      <c r="C13" s="146"/>
      <c r="D13" s="78">
        <f>+E24+E991</f>
        <v>0</v>
      </c>
      <c r="E13" s="83"/>
    </row>
    <row r="14" spans="2:5" x14ac:dyDescent="0.35">
      <c r="B14" s="145" t="s">
        <v>55</v>
      </c>
      <c r="C14" s="146"/>
      <c r="D14" s="78">
        <f>+E30+D985</f>
        <v>189251982.42000002</v>
      </c>
      <c r="E14" s="83"/>
    </row>
    <row r="15" spans="2:5" x14ac:dyDescent="0.35">
      <c r="B15" s="145" t="s">
        <v>56</v>
      </c>
      <c r="C15" s="146"/>
      <c r="D15" s="78">
        <f>+D30+E985</f>
        <v>139671736.48999968</v>
      </c>
      <c r="E15" s="83"/>
    </row>
    <row r="16" spans="2:5" x14ac:dyDescent="0.35">
      <c r="B16" s="145" t="s">
        <v>57</v>
      </c>
      <c r="C16" s="146"/>
      <c r="D16" s="79">
        <f>+D11-D12+D13-D14+D15</f>
        <v>214895.78999966383</v>
      </c>
    </row>
    <row r="17" spans="2:8" x14ac:dyDescent="0.35">
      <c r="B17" s="145" t="s">
        <v>68</v>
      </c>
      <c r="C17" s="146"/>
      <c r="D17" s="80">
        <f>+C7</f>
        <v>214895.78999965041</v>
      </c>
    </row>
    <row r="18" spans="2:8" x14ac:dyDescent="0.35">
      <c r="B18" s="145" t="s">
        <v>66</v>
      </c>
      <c r="C18" s="146"/>
      <c r="D18" s="78">
        <f>+D16-D17</f>
        <v>1.3416865840554237E-8</v>
      </c>
    </row>
    <row r="20" spans="2:8" x14ac:dyDescent="0.35">
      <c r="B20" s="140" t="s">
        <v>0</v>
      </c>
      <c r="C20" s="140"/>
      <c r="D20" s="140"/>
      <c r="E20" s="140"/>
      <c r="F20" s="140"/>
      <c r="G20" s="140"/>
      <c r="H20" s="15"/>
    </row>
    <row r="21" spans="2:8" x14ac:dyDescent="0.35">
      <c r="B21" s="14"/>
      <c r="C21" s="14"/>
      <c r="D21" s="14"/>
      <c r="E21" s="14"/>
      <c r="F21" s="14"/>
      <c r="G21" s="14"/>
      <c r="H21" s="14"/>
    </row>
    <row r="22" spans="2:8" x14ac:dyDescent="0.35">
      <c r="B22" s="32" t="s">
        <v>2</v>
      </c>
      <c r="C22" s="32" t="s">
        <v>65</v>
      </c>
      <c r="D22" s="32" t="s">
        <v>4</v>
      </c>
      <c r="E22" s="32" t="s">
        <v>5</v>
      </c>
      <c r="F22" s="58" t="s">
        <v>62</v>
      </c>
      <c r="G22" s="32" t="s">
        <v>6</v>
      </c>
      <c r="H22" s="85" t="s">
        <v>63</v>
      </c>
    </row>
    <row r="23" spans="2:8" x14ac:dyDescent="0.35">
      <c r="B23" s="84"/>
      <c r="C23" s="24"/>
      <c r="D23" s="87"/>
      <c r="E23" s="87"/>
      <c r="F23" s="24"/>
      <c r="G23" s="24"/>
      <c r="H23" s="84"/>
    </row>
    <row r="24" spans="2:8" x14ac:dyDescent="0.35">
      <c r="B24" s="86"/>
      <c r="C24" s="23"/>
      <c r="D24" s="87">
        <f>SUM(D23:D23)</f>
        <v>0</v>
      </c>
      <c r="E24" s="87">
        <f>SUM(E23:E23)</f>
        <v>0</v>
      </c>
      <c r="F24" s="23"/>
      <c r="G24" s="23"/>
      <c r="H24" s="1"/>
    </row>
    <row r="25" spans="2:8" x14ac:dyDescent="0.35">
      <c r="B25" s="23"/>
      <c r="C25" s="23"/>
      <c r="D25" s="23"/>
      <c r="E25" s="23"/>
      <c r="F25" s="23"/>
      <c r="G25" s="23"/>
      <c r="H25" s="1"/>
    </row>
    <row r="26" spans="2:8" x14ac:dyDescent="0.35">
      <c r="B26" s="140" t="s">
        <v>1</v>
      </c>
      <c r="C26" s="140"/>
      <c r="D26" s="140"/>
      <c r="E26" s="140"/>
      <c r="F26" s="140"/>
      <c r="G26" s="140"/>
      <c r="H26" s="15"/>
    </row>
    <row r="27" spans="2:8" x14ac:dyDescent="0.35">
      <c r="B27" s="14"/>
      <c r="C27" s="14"/>
      <c r="D27" s="14"/>
      <c r="E27" s="14"/>
      <c r="F27" s="14"/>
      <c r="G27" s="14"/>
      <c r="H27" s="14"/>
    </row>
    <row r="28" spans="2:8" x14ac:dyDescent="0.35">
      <c r="B28" s="32" t="s">
        <v>2</v>
      </c>
      <c r="C28" s="32" t="s">
        <v>65</v>
      </c>
      <c r="D28" s="85" t="s">
        <v>4</v>
      </c>
      <c r="E28" s="85" t="s">
        <v>5</v>
      </c>
      <c r="F28" s="32" t="s">
        <v>62</v>
      </c>
      <c r="G28" s="32" t="s">
        <v>6</v>
      </c>
      <c r="H28" s="85" t="s">
        <v>63</v>
      </c>
    </row>
    <row r="29" spans="2:8" x14ac:dyDescent="0.35">
      <c r="B29" s="84"/>
      <c r="C29" s="24"/>
      <c r="D29" s="87"/>
      <c r="E29" s="87"/>
      <c r="F29" s="24"/>
      <c r="G29" s="24"/>
      <c r="H29" s="84"/>
    </row>
    <row r="30" spans="2:8" x14ac:dyDescent="0.35">
      <c r="B30" s="86"/>
      <c r="C30" s="23"/>
      <c r="D30" s="87">
        <f>SUM(D29:D29)</f>
        <v>0</v>
      </c>
      <c r="E30" s="87">
        <f>SUM(E29:E29)</f>
        <v>0</v>
      </c>
      <c r="F30" s="23"/>
      <c r="G30" s="23"/>
      <c r="H30" s="86"/>
    </row>
    <row r="31" spans="2:8" x14ac:dyDescent="0.35">
      <c r="B31" s="14"/>
      <c r="C31" s="14"/>
      <c r="D31" s="14"/>
      <c r="E31" s="14"/>
      <c r="F31" s="14"/>
      <c r="G31" s="14"/>
      <c r="H31" s="14"/>
    </row>
    <row r="32" spans="2:8" x14ac:dyDescent="0.35">
      <c r="B32" s="142" t="s">
        <v>24</v>
      </c>
      <c r="C32" s="142"/>
      <c r="D32" s="142"/>
      <c r="E32" s="142"/>
      <c r="F32" s="142"/>
      <c r="G32" s="142"/>
      <c r="H32" s="41"/>
    </row>
    <row r="33" spans="2:14" x14ac:dyDescent="0.35">
      <c r="B33" s="16"/>
      <c r="C33" s="16"/>
      <c r="D33" s="16"/>
      <c r="E33" s="16"/>
      <c r="F33" s="16"/>
      <c r="G33" s="16"/>
      <c r="H33" s="16"/>
    </row>
    <row r="34" spans="2:14" x14ac:dyDescent="0.35">
      <c r="B34" s="139" t="s">
        <v>2</v>
      </c>
      <c r="C34" s="139" t="s">
        <v>65</v>
      </c>
      <c r="D34" s="139" t="s">
        <v>4</v>
      </c>
      <c r="E34" s="139" t="s">
        <v>5</v>
      </c>
      <c r="F34" s="139" t="s">
        <v>62</v>
      </c>
      <c r="G34" s="139" t="s">
        <v>6</v>
      </c>
      <c r="H34" s="139" t="s">
        <v>63</v>
      </c>
      <c r="J34" s="147" t="s">
        <v>291</v>
      </c>
      <c r="K34" s="148"/>
      <c r="M34" s="147" t="s">
        <v>292</v>
      </c>
      <c r="N34" s="147"/>
    </row>
    <row r="35" spans="2:14" x14ac:dyDescent="0.35">
      <c r="B35" s="104" t="s">
        <v>105</v>
      </c>
      <c r="C35" s="5" t="s">
        <v>104</v>
      </c>
      <c r="D35" s="87"/>
      <c r="E35" s="101">
        <v>21984.78</v>
      </c>
      <c r="F35" s="5" t="s">
        <v>106</v>
      </c>
      <c r="G35" s="5" t="s">
        <v>198</v>
      </c>
      <c r="H35" s="84"/>
      <c r="J35" s="138" t="s">
        <v>208</v>
      </c>
      <c r="K35" s="30">
        <v>3238309.36</v>
      </c>
      <c r="M35" s="24" t="s">
        <v>200</v>
      </c>
      <c r="N35" s="30">
        <v>3098120.2</v>
      </c>
    </row>
    <row r="36" spans="2:14" x14ac:dyDescent="0.35">
      <c r="B36" s="104" t="s">
        <v>105</v>
      </c>
      <c r="C36" s="5" t="s">
        <v>104</v>
      </c>
      <c r="D36" s="87"/>
      <c r="E36" s="101">
        <v>41771.08</v>
      </c>
      <c r="F36" s="5" t="s">
        <v>106</v>
      </c>
      <c r="G36" s="5" t="s">
        <v>198</v>
      </c>
      <c r="H36" s="84"/>
      <c r="J36" s="138" t="s">
        <v>211</v>
      </c>
      <c r="K36" s="30">
        <v>3580700.04</v>
      </c>
      <c r="M36" s="24" t="s">
        <v>203</v>
      </c>
      <c r="N36" s="30">
        <v>1458983.67</v>
      </c>
    </row>
    <row r="37" spans="2:14" x14ac:dyDescent="0.35">
      <c r="B37" s="104" t="s">
        <v>105</v>
      </c>
      <c r="C37" s="5" t="s">
        <v>104</v>
      </c>
      <c r="D37" s="87"/>
      <c r="E37" s="101">
        <v>42169.84</v>
      </c>
      <c r="F37" s="5" t="s">
        <v>106</v>
      </c>
      <c r="G37" s="5" t="s">
        <v>199</v>
      </c>
      <c r="H37" s="84"/>
      <c r="J37" s="138" t="s">
        <v>215</v>
      </c>
      <c r="K37" s="30">
        <v>3098792.96</v>
      </c>
      <c r="M37" s="138" t="s">
        <v>206</v>
      </c>
      <c r="N37" s="30">
        <v>1124066.43</v>
      </c>
    </row>
    <row r="38" spans="2:14" x14ac:dyDescent="0.35">
      <c r="B38" s="104" t="s">
        <v>105</v>
      </c>
      <c r="C38" s="5" t="s">
        <v>104</v>
      </c>
      <c r="D38" s="87"/>
      <c r="E38" s="101">
        <v>58718.16</v>
      </c>
      <c r="F38" s="5" t="s">
        <v>106</v>
      </c>
      <c r="G38" s="5" t="s">
        <v>198</v>
      </c>
      <c r="H38" s="84"/>
      <c r="J38" s="138" t="s">
        <v>223</v>
      </c>
      <c r="K38" s="30">
        <v>4384555.12</v>
      </c>
      <c r="M38" s="138" t="s">
        <v>210</v>
      </c>
      <c r="N38" s="30">
        <v>153256.4</v>
      </c>
    </row>
    <row r="39" spans="2:14" x14ac:dyDescent="0.35">
      <c r="B39" s="104" t="s">
        <v>105</v>
      </c>
      <c r="C39" s="5" t="s">
        <v>104</v>
      </c>
      <c r="D39" s="87"/>
      <c r="E39" s="101">
        <v>223192.31</v>
      </c>
      <c r="F39" s="5" t="s">
        <v>106</v>
      </c>
      <c r="G39" s="5" t="s">
        <v>199</v>
      </c>
      <c r="H39" s="84"/>
      <c r="J39" s="138" t="s">
        <v>227</v>
      </c>
      <c r="K39" s="30">
        <v>6833982.6100000003</v>
      </c>
      <c r="M39" s="138" t="s">
        <v>214</v>
      </c>
      <c r="N39" s="30">
        <v>2029051.79</v>
      </c>
    </row>
    <row r="40" spans="2:14" x14ac:dyDescent="0.35">
      <c r="B40" s="104" t="s">
        <v>105</v>
      </c>
      <c r="C40" s="5" t="s">
        <v>104</v>
      </c>
      <c r="D40" s="87"/>
      <c r="E40" s="101">
        <v>249875.77</v>
      </c>
      <c r="F40" s="5" t="s">
        <v>106</v>
      </c>
      <c r="G40" s="5" t="s">
        <v>199</v>
      </c>
      <c r="H40" s="84"/>
      <c r="J40" s="138" t="s">
        <v>233</v>
      </c>
      <c r="K40" s="30">
        <v>3486473.7</v>
      </c>
      <c r="M40" s="138" t="s">
        <v>219</v>
      </c>
      <c r="N40" s="30">
        <v>693343.24</v>
      </c>
    </row>
    <row r="41" spans="2:14" x14ac:dyDescent="0.35">
      <c r="B41" s="104" t="s">
        <v>105</v>
      </c>
      <c r="C41" s="5" t="s">
        <v>104</v>
      </c>
      <c r="D41" s="87"/>
      <c r="E41" s="101">
        <v>252530.07</v>
      </c>
      <c r="F41" s="5" t="s">
        <v>106</v>
      </c>
      <c r="G41" s="5" t="s">
        <v>199</v>
      </c>
      <c r="H41" s="84"/>
      <c r="J41" s="138" t="s">
        <v>239</v>
      </c>
      <c r="K41" s="30">
        <v>3543637.25</v>
      </c>
      <c r="M41" s="138" t="s">
        <v>222</v>
      </c>
      <c r="N41" s="30">
        <v>891814.33</v>
      </c>
    </row>
    <row r="42" spans="2:14" x14ac:dyDescent="0.35">
      <c r="B42" s="104" t="s">
        <v>105</v>
      </c>
      <c r="C42" s="5" t="s">
        <v>104</v>
      </c>
      <c r="D42" s="87"/>
      <c r="E42" s="101">
        <v>320278.61</v>
      </c>
      <c r="F42" s="5" t="s">
        <v>106</v>
      </c>
      <c r="G42" s="5" t="s">
        <v>199</v>
      </c>
      <c r="H42" s="84"/>
      <c r="J42" s="138" t="s">
        <v>245</v>
      </c>
      <c r="K42" s="30">
        <v>1467614.98</v>
      </c>
      <c r="M42" s="138" t="s">
        <v>226</v>
      </c>
      <c r="N42" s="30">
        <v>403519.37</v>
      </c>
    </row>
    <row r="43" spans="2:14" x14ac:dyDescent="0.35">
      <c r="B43" s="104" t="s">
        <v>105</v>
      </c>
      <c r="C43" s="5" t="s">
        <v>104</v>
      </c>
      <c r="D43" s="87"/>
      <c r="E43" s="101">
        <v>554625.11</v>
      </c>
      <c r="F43" s="5" t="s">
        <v>106</v>
      </c>
      <c r="G43" s="5" t="s">
        <v>198</v>
      </c>
      <c r="H43" s="84"/>
      <c r="J43" s="138" t="s">
        <v>245</v>
      </c>
      <c r="K43" s="30">
        <v>1646119.97</v>
      </c>
      <c r="M43" s="138" t="s">
        <v>232</v>
      </c>
      <c r="N43" s="30">
        <v>3718100.92</v>
      </c>
    </row>
    <row r="44" spans="2:14" x14ac:dyDescent="0.35">
      <c r="B44" s="104" t="s">
        <v>105</v>
      </c>
      <c r="C44" s="5" t="s">
        <v>104</v>
      </c>
      <c r="D44" s="87"/>
      <c r="E44" s="101">
        <v>560126.43999999994</v>
      </c>
      <c r="F44" s="5" t="s">
        <v>106</v>
      </c>
      <c r="G44" s="5" t="s">
        <v>199</v>
      </c>
      <c r="H44" s="84"/>
      <c r="J44" s="138" t="s">
        <v>245</v>
      </c>
      <c r="K44" s="30">
        <v>102211.95</v>
      </c>
      <c r="M44" s="138" t="s">
        <v>238</v>
      </c>
      <c r="N44" s="30">
        <v>1813992.84</v>
      </c>
    </row>
    <row r="45" spans="2:14" x14ac:dyDescent="0.35">
      <c r="B45" s="104" t="s">
        <v>105</v>
      </c>
      <c r="C45" s="5" t="s">
        <v>104</v>
      </c>
      <c r="D45" s="87"/>
      <c r="E45" s="101">
        <v>639867.81999999995</v>
      </c>
      <c r="F45" s="5" t="s">
        <v>106</v>
      </c>
      <c r="G45" s="5" t="s">
        <v>199</v>
      </c>
      <c r="H45" s="84"/>
      <c r="J45" s="138" t="s">
        <v>245</v>
      </c>
      <c r="K45" s="30">
        <v>251046.12</v>
      </c>
      <c r="M45" s="138" t="s">
        <v>242</v>
      </c>
      <c r="N45" s="30">
        <v>679073</v>
      </c>
    </row>
    <row r="46" spans="2:14" x14ac:dyDescent="0.35">
      <c r="B46" s="104" t="s">
        <v>105</v>
      </c>
      <c r="C46" s="5" t="s">
        <v>104</v>
      </c>
      <c r="D46" s="87"/>
      <c r="E46" s="101">
        <v>642751.47</v>
      </c>
      <c r="F46" s="5" t="s">
        <v>106</v>
      </c>
      <c r="G46" s="5" t="s">
        <v>199</v>
      </c>
      <c r="H46" s="84"/>
      <c r="J46" s="138" t="s">
        <v>248</v>
      </c>
      <c r="K46" s="30">
        <v>4201993.04</v>
      </c>
      <c r="M46" s="138" t="s">
        <v>247</v>
      </c>
      <c r="N46" s="30">
        <v>709080.96</v>
      </c>
    </row>
    <row r="47" spans="2:14" x14ac:dyDescent="0.35">
      <c r="B47" s="104" t="s">
        <v>105</v>
      </c>
      <c r="C47" s="5" t="s">
        <v>104</v>
      </c>
      <c r="D47" s="87"/>
      <c r="E47" s="101">
        <v>697215.7</v>
      </c>
      <c r="F47" s="5" t="s">
        <v>106</v>
      </c>
      <c r="G47" s="5" t="s">
        <v>198</v>
      </c>
      <c r="H47" s="84"/>
      <c r="J47" s="138" t="s">
        <v>253</v>
      </c>
      <c r="K47" s="30">
        <v>1747520.63</v>
      </c>
      <c r="M47" s="138" t="s">
        <v>252</v>
      </c>
      <c r="N47" s="30">
        <v>103130.25</v>
      </c>
    </row>
    <row r="48" spans="2:14" x14ac:dyDescent="0.35">
      <c r="B48" s="104" t="s">
        <v>105</v>
      </c>
      <c r="C48" s="5" t="s">
        <v>104</v>
      </c>
      <c r="D48" s="87"/>
      <c r="E48" s="101">
        <v>2661067.87</v>
      </c>
      <c r="F48" s="5" t="s">
        <v>106</v>
      </c>
      <c r="G48" s="5" t="s">
        <v>198</v>
      </c>
      <c r="H48" s="84"/>
      <c r="J48" s="138" t="s">
        <v>258</v>
      </c>
      <c r="K48" s="30">
        <v>1827054.73</v>
      </c>
      <c r="M48" s="138" t="s">
        <v>257</v>
      </c>
      <c r="N48" s="30">
        <v>3549818.95</v>
      </c>
    </row>
    <row r="49" spans="2:14" x14ac:dyDescent="0.35">
      <c r="B49" s="104" t="s">
        <v>105</v>
      </c>
      <c r="C49" s="5" t="s">
        <v>117</v>
      </c>
      <c r="D49" s="87"/>
      <c r="E49" s="101">
        <v>3098120.2</v>
      </c>
      <c r="F49" s="5" t="s">
        <v>118</v>
      </c>
      <c r="G49" s="5" t="s">
        <v>200</v>
      </c>
      <c r="H49" s="84"/>
      <c r="J49" s="138" t="s">
        <v>262</v>
      </c>
      <c r="K49" s="30">
        <v>2930406.62</v>
      </c>
      <c r="M49" s="138" t="s">
        <v>260</v>
      </c>
      <c r="N49" s="30">
        <v>1884175.89</v>
      </c>
    </row>
    <row r="50" spans="2:14" x14ac:dyDescent="0.35">
      <c r="B50" s="104" t="s">
        <v>123</v>
      </c>
      <c r="C50" s="5" t="s">
        <v>104</v>
      </c>
      <c r="D50" s="87"/>
      <c r="E50" s="101">
        <v>57904.15</v>
      </c>
      <c r="F50" s="5" t="s">
        <v>106</v>
      </c>
      <c r="G50" s="5" t="s">
        <v>201</v>
      </c>
      <c r="H50" s="84"/>
      <c r="J50" s="138" t="s">
        <v>266</v>
      </c>
      <c r="K50" s="30">
        <v>1368611.67</v>
      </c>
      <c r="M50" s="138" t="s">
        <v>265</v>
      </c>
      <c r="N50" s="30">
        <v>2074707.83</v>
      </c>
    </row>
    <row r="51" spans="2:14" x14ac:dyDescent="0.35">
      <c r="B51" s="104" t="s">
        <v>123</v>
      </c>
      <c r="C51" s="5" t="s">
        <v>104</v>
      </c>
      <c r="D51" s="87"/>
      <c r="E51" s="101">
        <v>65260.47</v>
      </c>
      <c r="F51" s="5" t="s">
        <v>106</v>
      </c>
      <c r="G51" s="5" t="s">
        <v>202</v>
      </c>
      <c r="H51" s="84"/>
      <c r="J51" s="138" t="s">
        <v>272</v>
      </c>
      <c r="K51" s="30">
        <v>2335846.7200000002</v>
      </c>
      <c r="M51" s="138" t="s">
        <v>270</v>
      </c>
      <c r="N51" s="30">
        <v>1291622.51</v>
      </c>
    </row>
    <row r="52" spans="2:14" x14ac:dyDescent="0.35">
      <c r="B52" s="104" t="s">
        <v>123</v>
      </c>
      <c r="C52" s="5" t="s">
        <v>104</v>
      </c>
      <c r="D52" s="87"/>
      <c r="E52" s="101">
        <v>90372.05</v>
      </c>
      <c r="F52" s="5" t="s">
        <v>106</v>
      </c>
      <c r="G52" s="5" t="s">
        <v>202</v>
      </c>
      <c r="H52" s="84"/>
      <c r="J52" s="138" t="s">
        <v>276</v>
      </c>
      <c r="K52" s="30">
        <v>718769.28</v>
      </c>
      <c r="M52" s="138" t="s">
        <v>275</v>
      </c>
      <c r="N52" s="30">
        <v>995033.77</v>
      </c>
    </row>
    <row r="53" spans="2:14" x14ac:dyDescent="0.35">
      <c r="B53" s="104" t="s">
        <v>123</v>
      </c>
      <c r="C53" s="5" t="s">
        <v>104</v>
      </c>
      <c r="D53" s="87"/>
      <c r="E53" s="101">
        <v>101090.99</v>
      </c>
      <c r="F53" s="5" t="s">
        <v>106</v>
      </c>
      <c r="G53" s="5" t="s">
        <v>201</v>
      </c>
      <c r="H53" s="84"/>
      <c r="J53" s="138" t="s">
        <v>280</v>
      </c>
      <c r="K53" s="30">
        <v>837945.14</v>
      </c>
      <c r="M53" s="138" t="s">
        <v>279</v>
      </c>
      <c r="N53" s="30">
        <v>156809.06</v>
      </c>
    </row>
    <row r="54" spans="2:14" x14ac:dyDescent="0.35">
      <c r="B54" s="104" t="s">
        <v>123</v>
      </c>
      <c r="C54" s="5" t="s">
        <v>117</v>
      </c>
      <c r="D54" s="87"/>
      <c r="E54" s="101">
        <v>1458983.67</v>
      </c>
      <c r="F54" s="5" t="s">
        <v>118</v>
      </c>
      <c r="G54" s="5" t="s">
        <v>203</v>
      </c>
      <c r="H54" s="84"/>
      <c r="J54" s="138" t="s">
        <v>285</v>
      </c>
      <c r="K54" s="30">
        <v>1801698.51</v>
      </c>
      <c r="M54" s="138" t="s">
        <v>279</v>
      </c>
      <c r="N54" s="30">
        <v>503567.83</v>
      </c>
    </row>
    <row r="55" spans="2:14" x14ac:dyDescent="0.35">
      <c r="B55" s="104" t="s">
        <v>123</v>
      </c>
      <c r="C55" s="5" t="s">
        <v>104</v>
      </c>
      <c r="D55" s="87"/>
      <c r="E55" s="101">
        <v>2134660.2599999998</v>
      </c>
      <c r="F55" s="5" t="s">
        <v>106</v>
      </c>
      <c r="G55" s="5" t="s">
        <v>201</v>
      </c>
      <c r="H55" s="84"/>
      <c r="M55" s="138" t="s">
        <v>279</v>
      </c>
      <c r="N55" s="30">
        <v>169378.98</v>
      </c>
    </row>
    <row r="56" spans="2:14" x14ac:dyDescent="0.35">
      <c r="B56" s="104" t="s">
        <v>128</v>
      </c>
      <c r="C56" s="5" t="s">
        <v>104</v>
      </c>
      <c r="D56" s="87"/>
      <c r="E56" s="101">
        <v>85740.62</v>
      </c>
      <c r="F56" s="5" t="s">
        <v>106</v>
      </c>
      <c r="G56" s="5" t="s">
        <v>205</v>
      </c>
      <c r="H56" s="84"/>
      <c r="J56" s="147" t="s">
        <v>293</v>
      </c>
      <c r="K56" s="147"/>
      <c r="M56" s="138" t="s">
        <v>279</v>
      </c>
      <c r="N56" s="30">
        <v>77244.960000000006</v>
      </c>
    </row>
    <row r="57" spans="2:14" x14ac:dyDescent="0.35">
      <c r="B57" s="104" t="s">
        <v>128</v>
      </c>
      <c r="C57" s="5" t="s">
        <v>117</v>
      </c>
      <c r="D57" s="87"/>
      <c r="E57" s="101">
        <v>1124066.43</v>
      </c>
      <c r="F57" s="5" t="s">
        <v>118</v>
      </c>
      <c r="G57" s="5" t="s">
        <v>206</v>
      </c>
      <c r="H57" s="84"/>
      <c r="J57" s="24" t="s">
        <v>198</v>
      </c>
      <c r="K57" s="30">
        <v>4035382.7</v>
      </c>
      <c r="M57" s="138" t="s">
        <v>282</v>
      </c>
      <c r="N57" s="30">
        <v>88819.9</v>
      </c>
    </row>
    <row r="58" spans="2:14" x14ac:dyDescent="0.35">
      <c r="B58" s="104" t="s">
        <v>131</v>
      </c>
      <c r="C58" s="5" t="s">
        <v>104</v>
      </c>
      <c r="D58" s="87"/>
      <c r="E58" s="101">
        <v>3297.72</v>
      </c>
      <c r="F58" s="5" t="s">
        <v>106</v>
      </c>
      <c r="G58" s="5" t="s">
        <v>207</v>
      </c>
      <c r="H58" s="84"/>
      <c r="J58" s="24" t="s">
        <v>201</v>
      </c>
      <c r="K58" s="30">
        <v>2293655.4</v>
      </c>
      <c r="M58" s="138" t="s">
        <v>288</v>
      </c>
      <c r="N58" s="30">
        <v>139040.93</v>
      </c>
    </row>
    <row r="59" spans="2:14" x14ac:dyDescent="0.35">
      <c r="B59" s="104" t="s">
        <v>131</v>
      </c>
      <c r="C59" s="5" t="s">
        <v>117</v>
      </c>
      <c r="D59" s="87"/>
      <c r="E59" s="101">
        <v>8038.23</v>
      </c>
      <c r="F59" s="5" t="s">
        <v>129</v>
      </c>
      <c r="G59" s="5" t="s">
        <v>208</v>
      </c>
      <c r="H59" s="84"/>
      <c r="J59" s="24" t="s">
        <v>202</v>
      </c>
      <c r="K59" s="30">
        <v>155632.51999999999</v>
      </c>
    </row>
    <row r="60" spans="2:14" x14ac:dyDescent="0.35">
      <c r="B60" s="104" t="s">
        <v>131</v>
      </c>
      <c r="C60" s="5" t="s">
        <v>117</v>
      </c>
      <c r="D60" s="87"/>
      <c r="E60" s="101">
        <v>19311.240000000002</v>
      </c>
      <c r="F60" s="5" t="s">
        <v>129</v>
      </c>
      <c r="G60" s="5" t="s">
        <v>208</v>
      </c>
      <c r="H60" s="84"/>
      <c r="J60" s="24" t="s">
        <v>205</v>
      </c>
      <c r="K60" s="30">
        <v>85740.62</v>
      </c>
      <c r="M60" s="147" t="s">
        <v>294</v>
      </c>
      <c r="N60" s="148"/>
    </row>
    <row r="61" spans="2:14" x14ac:dyDescent="0.35">
      <c r="B61" s="104" t="s">
        <v>131</v>
      </c>
      <c r="C61" s="5" t="s">
        <v>117</v>
      </c>
      <c r="D61" s="87"/>
      <c r="E61" s="101">
        <v>19311.240000000002</v>
      </c>
      <c r="F61" s="5" t="s">
        <v>129</v>
      </c>
      <c r="G61" s="5" t="s">
        <v>208</v>
      </c>
      <c r="H61" s="84"/>
      <c r="J61" s="138" t="s">
        <v>207</v>
      </c>
      <c r="K61" s="30">
        <v>963528.56</v>
      </c>
      <c r="M61" s="24" t="s">
        <v>199</v>
      </c>
      <c r="N61" s="30">
        <v>2930792.33</v>
      </c>
    </row>
    <row r="62" spans="2:14" x14ac:dyDescent="0.35">
      <c r="B62" s="104" t="s">
        <v>131</v>
      </c>
      <c r="C62" s="5" t="s">
        <v>117</v>
      </c>
      <c r="D62" s="87"/>
      <c r="E62" s="101">
        <v>19311.240000000002</v>
      </c>
      <c r="F62" s="5" t="s">
        <v>129</v>
      </c>
      <c r="G62" s="5" t="s">
        <v>208</v>
      </c>
      <c r="H62" s="84"/>
      <c r="J62" s="138" t="s">
        <v>209</v>
      </c>
      <c r="K62" s="30">
        <v>24670.93</v>
      </c>
      <c r="M62" s="138" t="s">
        <v>217</v>
      </c>
      <c r="N62" s="30">
        <v>1819042.54</v>
      </c>
    </row>
    <row r="63" spans="2:14" x14ac:dyDescent="0.35">
      <c r="B63" s="104" t="s">
        <v>131</v>
      </c>
      <c r="C63" s="5" t="s">
        <v>117</v>
      </c>
      <c r="D63" s="87"/>
      <c r="E63" s="101">
        <v>19311.240000000002</v>
      </c>
      <c r="F63" s="5" t="s">
        <v>129</v>
      </c>
      <c r="G63" s="5" t="s">
        <v>208</v>
      </c>
      <c r="H63" s="84"/>
      <c r="J63" s="138" t="s">
        <v>213</v>
      </c>
      <c r="K63" s="30">
        <v>1552156.26</v>
      </c>
      <c r="M63" s="138" t="s">
        <v>231</v>
      </c>
      <c r="N63" s="30">
        <v>4240807.66</v>
      </c>
    </row>
    <row r="64" spans="2:14" x14ac:dyDescent="0.35">
      <c r="B64" s="104" t="s">
        <v>131</v>
      </c>
      <c r="C64" s="5" t="s">
        <v>117</v>
      </c>
      <c r="D64" s="87"/>
      <c r="E64" s="101">
        <v>19311.240000000002</v>
      </c>
      <c r="F64" s="5" t="s">
        <v>129</v>
      </c>
      <c r="G64" s="5" t="s">
        <v>208</v>
      </c>
      <c r="H64" s="84"/>
      <c r="J64" s="138" t="s">
        <v>216</v>
      </c>
      <c r="K64" s="30">
        <v>100214.66</v>
      </c>
      <c r="M64" s="138" t="s">
        <v>235</v>
      </c>
      <c r="N64" s="30">
        <v>2577827.77</v>
      </c>
    </row>
    <row r="65" spans="2:14" x14ac:dyDescent="0.35">
      <c r="B65" s="104" t="s">
        <v>131</v>
      </c>
      <c r="C65" s="5" t="s">
        <v>117</v>
      </c>
      <c r="D65" s="87"/>
      <c r="E65" s="101">
        <v>19311.240000000002</v>
      </c>
      <c r="F65" s="5" t="s">
        <v>129</v>
      </c>
      <c r="G65" s="5" t="s">
        <v>208</v>
      </c>
      <c r="H65" s="84"/>
      <c r="J65" s="138" t="s">
        <v>218</v>
      </c>
      <c r="K65" s="30">
        <v>59193.54</v>
      </c>
      <c r="M65" s="138" t="s">
        <v>240</v>
      </c>
      <c r="N65" s="30">
        <v>1219520.1100000001</v>
      </c>
    </row>
    <row r="66" spans="2:14" x14ac:dyDescent="0.35">
      <c r="B66" s="104" t="s">
        <v>131</v>
      </c>
      <c r="C66" s="5" t="s">
        <v>104</v>
      </c>
      <c r="D66" s="87"/>
      <c r="E66" s="101">
        <v>24670.93</v>
      </c>
      <c r="F66" s="5" t="s">
        <v>106</v>
      </c>
      <c r="G66" s="5" t="s">
        <v>209</v>
      </c>
      <c r="H66" s="84"/>
      <c r="J66" s="138" t="s">
        <v>221</v>
      </c>
      <c r="K66" s="30">
        <v>93022.66</v>
      </c>
      <c r="M66" s="138" t="s">
        <v>244</v>
      </c>
      <c r="N66" s="30">
        <v>1674755.28</v>
      </c>
    </row>
    <row r="67" spans="2:14" x14ac:dyDescent="0.35">
      <c r="B67" s="104" t="s">
        <v>131</v>
      </c>
      <c r="C67" s="5" t="s">
        <v>117</v>
      </c>
      <c r="D67" s="87"/>
      <c r="E67" s="101">
        <v>30618.71</v>
      </c>
      <c r="F67" s="5" t="s">
        <v>129</v>
      </c>
      <c r="G67" s="5" t="s">
        <v>208</v>
      </c>
      <c r="H67" s="84"/>
      <c r="J67" s="138" t="s">
        <v>225</v>
      </c>
      <c r="K67" s="30">
        <v>139539.4</v>
      </c>
      <c r="M67" s="138" t="s">
        <v>250</v>
      </c>
      <c r="N67" s="30">
        <v>181307.34</v>
      </c>
    </row>
    <row r="68" spans="2:14" x14ac:dyDescent="0.35">
      <c r="B68" s="104" t="s">
        <v>131</v>
      </c>
      <c r="C68" s="5" t="s">
        <v>117</v>
      </c>
      <c r="D68" s="87"/>
      <c r="E68" s="101">
        <v>30897.98</v>
      </c>
      <c r="F68" s="5" t="s">
        <v>129</v>
      </c>
      <c r="G68" s="5" t="s">
        <v>208</v>
      </c>
      <c r="H68" s="84"/>
      <c r="J68" s="138" t="s">
        <v>224</v>
      </c>
      <c r="K68" s="30">
        <v>2594072.2999999998</v>
      </c>
      <c r="M68" s="138" t="s">
        <v>250</v>
      </c>
      <c r="N68" s="30">
        <v>1455968.4</v>
      </c>
    </row>
    <row r="69" spans="2:14" x14ac:dyDescent="0.35">
      <c r="B69" s="104" t="s">
        <v>131</v>
      </c>
      <c r="C69" s="5" t="s">
        <v>117</v>
      </c>
      <c r="D69" s="87"/>
      <c r="E69" s="101">
        <v>30897.98</v>
      </c>
      <c r="F69" s="5" t="s">
        <v>129</v>
      </c>
      <c r="G69" s="5" t="s">
        <v>208</v>
      </c>
      <c r="H69" s="84"/>
      <c r="J69" s="138" t="s">
        <v>228</v>
      </c>
      <c r="K69" s="30">
        <v>492451.3</v>
      </c>
      <c r="M69" s="138" t="s">
        <v>250</v>
      </c>
      <c r="N69" s="30">
        <v>501541.39</v>
      </c>
    </row>
    <row r="70" spans="2:14" x14ac:dyDescent="0.35">
      <c r="B70" s="104" t="s">
        <v>131</v>
      </c>
      <c r="C70" s="5" t="s">
        <v>117</v>
      </c>
      <c r="D70" s="87"/>
      <c r="E70" s="101">
        <v>30897.98</v>
      </c>
      <c r="F70" s="5" t="s">
        <v>129</v>
      </c>
      <c r="G70" s="5" t="s">
        <v>208</v>
      </c>
      <c r="H70" s="84"/>
      <c r="J70" s="138" t="s">
        <v>229</v>
      </c>
      <c r="K70" s="30">
        <v>2768869.94</v>
      </c>
      <c r="M70" s="138" t="s">
        <v>250</v>
      </c>
      <c r="N70" s="30">
        <v>522774.7</v>
      </c>
    </row>
    <row r="71" spans="2:14" x14ac:dyDescent="0.35">
      <c r="B71" s="104" t="s">
        <v>131</v>
      </c>
      <c r="C71" s="5" t="s">
        <v>117</v>
      </c>
      <c r="D71" s="87"/>
      <c r="E71" s="101">
        <v>30897.98</v>
      </c>
      <c r="F71" s="5" t="s">
        <v>129</v>
      </c>
      <c r="G71" s="5" t="s">
        <v>208</v>
      </c>
      <c r="H71" s="84"/>
      <c r="J71" s="138" t="s">
        <v>230</v>
      </c>
      <c r="K71" s="30">
        <v>174730.98</v>
      </c>
      <c r="M71" s="138" t="s">
        <v>256</v>
      </c>
      <c r="N71" s="30">
        <v>2658828.8199999998</v>
      </c>
    </row>
    <row r="72" spans="2:14" x14ac:dyDescent="0.35">
      <c r="B72" s="104" t="s">
        <v>131</v>
      </c>
      <c r="C72" s="5" t="s">
        <v>117</v>
      </c>
      <c r="D72" s="87"/>
      <c r="E72" s="101">
        <v>30897.98</v>
      </c>
      <c r="F72" s="5" t="s">
        <v>129</v>
      </c>
      <c r="G72" s="5" t="s">
        <v>208</v>
      </c>
      <c r="H72" s="84"/>
      <c r="J72" s="138" t="s">
        <v>234</v>
      </c>
      <c r="K72" s="30">
        <v>258928.93</v>
      </c>
      <c r="M72" s="138" t="s">
        <v>261</v>
      </c>
      <c r="N72" s="30">
        <v>869207.85</v>
      </c>
    </row>
    <row r="73" spans="2:14" x14ac:dyDescent="0.35">
      <c r="B73" s="104" t="s">
        <v>131</v>
      </c>
      <c r="C73" s="5" t="s">
        <v>117</v>
      </c>
      <c r="D73" s="87"/>
      <c r="E73" s="101">
        <v>30897.98</v>
      </c>
      <c r="F73" s="5" t="s">
        <v>129</v>
      </c>
      <c r="G73" s="5" t="s">
        <v>208</v>
      </c>
      <c r="H73" s="84"/>
      <c r="J73" s="138" t="s">
        <v>236</v>
      </c>
      <c r="K73" s="30">
        <v>44986.97</v>
      </c>
      <c r="M73" s="138" t="s">
        <v>267</v>
      </c>
      <c r="N73" s="30">
        <v>936827.31</v>
      </c>
    </row>
    <row r="74" spans="2:14" x14ac:dyDescent="0.35">
      <c r="B74" s="104" t="s">
        <v>131</v>
      </c>
      <c r="C74" s="5" t="s">
        <v>117</v>
      </c>
      <c r="D74" s="87"/>
      <c r="E74" s="101">
        <v>30897.98</v>
      </c>
      <c r="F74" s="5" t="s">
        <v>129</v>
      </c>
      <c r="G74" s="5" t="s">
        <v>208</v>
      </c>
      <c r="H74" s="84"/>
      <c r="J74" s="138" t="s">
        <v>237</v>
      </c>
      <c r="K74" s="30">
        <v>695474.66</v>
      </c>
    </row>
    <row r="75" spans="2:14" x14ac:dyDescent="0.35">
      <c r="B75" s="104" t="s">
        <v>131</v>
      </c>
      <c r="C75" s="5" t="s">
        <v>117</v>
      </c>
      <c r="D75" s="87"/>
      <c r="E75" s="101">
        <v>30897.98</v>
      </c>
      <c r="F75" s="5" t="s">
        <v>129</v>
      </c>
      <c r="G75" s="5" t="s">
        <v>208</v>
      </c>
      <c r="H75" s="84"/>
      <c r="J75" s="138" t="s">
        <v>241</v>
      </c>
      <c r="K75" s="30">
        <v>120511.3</v>
      </c>
      <c r="M75" s="147" t="s">
        <v>295</v>
      </c>
      <c r="N75" s="147"/>
    </row>
    <row r="76" spans="2:14" x14ac:dyDescent="0.35">
      <c r="B76" s="104" t="s">
        <v>131</v>
      </c>
      <c r="C76" s="5" t="s">
        <v>117</v>
      </c>
      <c r="D76" s="87"/>
      <c r="E76" s="101">
        <v>30897.98</v>
      </c>
      <c r="F76" s="5" t="s">
        <v>129</v>
      </c>
      <c r="G76" s="5" t="s">
        <v>208</v>
      </c>
      <c r="H76" s="84"/>
      <c r="J76" s="138" t="s">
        <v>243</v>
      </c>
      <c r="K76" s="30">
        <v>19028.099999999999</v>
      </c>
      <c r="M76" s="138" t="s">
        <v>220</v>
      </c>
      <c r="N76" s="30">
        <v>2023470.97</v>
      </c>
    </row>
    <row r="77" spans="2:14" x14ac:dyDescent="0.35">
      <c r="B77" s="104" t="s">
        <v>131</v>
      </c>
      <c r="C77" s="5" t="s">
        <v>117</v>
      </c>
      <c r="D77" s="87"/>
      <c r="E77" s="101">
        <v>38622.480000000003</v>
      </c>
      <c r="F77" s="5" t="s">
        <v>129</v>
      </c>
      <c r="G77" s="5" t="s">
        <v>208</v>
      </c>
      <c r="H77" s="84"/>
      <c r="J77" s="138" t="s">
        <v>246</v>
      </c>
      <c r="K77" s="30">
        <v>136409.68</v>
      </c>
      <c r="M77" s="138" t="s">
        <v>220</v>
      </c>
      <c r="N77" s="30">
        <v>455405.86</v>
      </c>
    </row>
    <row r="78" spans="2:14" x14ac:dyDescent="0.35">
      <c r="B78" s="104" t="s">
        <v>131</v>
      </c>
      <c r="C78" s="5" t="s">
        <v>117</v>
      </c>
      <c r="D78" s="87"/>
      <c r="E78" s="101">
        <v>38622.480000000003</v>
      </c>
      <c r="F78" s="5" t="s">
        <v>129</v>
      </c>
      <c r="G78" s="5" t="s">
        <v>208</v>
      </c>
      <c r="H78" s="84"/>
      <c r="J78" s="138" t="s">
        <v>249</v>
      </c>
      <c r="K78" s="30">
        <v>1495584.27</v>
      </c>
      <c r="M78" s="138" t="s">
        <v>220</v>
      </c>
      <c r="N78" s="30">
        <v>1354785.05</v>
      </c>
    </row>
    <row r="79" spans="2:14" x14ac:dyDescent="0.35">
      <c r="B79" s="104" t="s">
        <v>131</v>
      </c>
      <c r="C79" s="5" t="s">
        <v>117</v>
      </c>
      <c r="D79" s="87"/>
      <c r="E79" s="101">
        <v>38622.480000000003</v>
      </c>
      <c r="F79" s="5" t="s">
        <v>129</v>
      </c>
      <c r="G79" s="5" t="s">
        <v>208</v>
      </c>
      <c r="H79" s="84"/>
      <c r="J79" s="138" t="s">
        <v>251</v>
      </c>
      <c r="K79" s="30">
        <v>145920.29</v>
      </c>
      <c r="M79" s="138" t="s">
        <v>259</v>
      </c>
      <c r="N79" s="30">
        <v>1179280.6299999999</v>
      </c>
    </row>
    <row r="80" spans="2:14" x14ac:dyDescent="0.35">
      <c r="B80" s="104" t="s">
        <v>131</v>
      </c>
      <c r="C80" s="5" t="s">
        <v>117</v>
      </c>
      <c r="D80" s="87"/>
      <c r="E80" s="101">
        <v>38622.480000000003</v>
      </c>
      <c r="F80" s="5" t="s">
        <v>129</v>
      </c>
      <c r="G80" s="5" t="s">
        <v>208</v>
      </c>
      <c r="H80" s="84"/>
      <c r="J80" s="138" t="s">
        <v>255</v>
      </c>
      <c r="K80" s="30">
        <v>404664.26</v>
      </c>
      <c r="M80" s="138" t="s">
        <v>259</v>
      </c>
      <c r="N80" s="30">
        <v>246096.76</v>
      </c>
    </row>
    <row r="81" spans="2:14" x14ac:dyDescent="0.35">
      <c r="B81" s="104" t="s">
        <v>131</v>
      </c>
      <c r="C81" s="5" t="s">
        <v>117</v>
      </c>
      <c r="D81" s="87"/>
      <c r="E81" s="101">
        <v>38622.480000000003</v>
      </c>
      <c r="F81" s="5" t="s">
        <v>129</v>
      </c>
      <c r="G81" s="5" t="s">
        <v>208</v>
      </c>
      <c r="H81" s="84"/>
      <c r="J81" s="138" t="s">
        <v>254</v>
      </c>
      <c r="K81" s="30">
        <v>584238.79</v>
      </c>
      <c r="M81" s="138" t="s">
        <v>274</v>
      </c>
      <c r="N81" s="30">
        <v>1527651.96</v>
      </c>
    </row>
    <row r="82" spans="2:14" x14ac:dyDescent="0.35">
      <c r="B82" s="104" t="s">
        <v>131</v>
      </c>
      <c r="C82" s="5" t="s">
        <v>117</v>
      </c>
      <c r="D82" s="87"/>
      <c r="E82" s="101">
        <v>38622.480000000003</v>
      </c>
      <c r="F82" s="5" t="s">
        <v>129</v>
      </c>
      <c r="G82" s="5" t="s">
        <v>208</v>
      </c>
      <c r="H82" s="84"/>
      <c r="J82" s="138" t="s">
        <v>264</v>
      </c>
      <c r="K82" s="30">
        <v>202966.39999999999</v>
      </c>
      <c r="M82" s="138" t="s">
        <v>274</v>
      </c>
      <c r="N82" s="30">
        <v>1271719.54</v>
      </c>
    </row>
    <row r="83" spans="2:14" x14ac:dyDescent="0.35">
      <c r="B83" s="104" t="s">
        <v>131</v>
      </c>
      <c r="C83" s="5" t="s">
        <v>117</v>
      </c>
      <c r="D83" s="87"/>
      <c r="E83" s="101">
        <v>38622.480000000003</v>
      </c>
      <c r="F83" s="5" t="s">
        <v>129</v>
      </c>
      <c r="G83" s="5" t="s">
        <v>208</v>
      </c>
      <c r="H83" s="84"/>
      <c r="J83" s="138" t="s">
        <v>263</v>
      </c>
      <c r="K83" s="30">
        <v>26523.4</v>
      </c>
      <c r="M83" s="138" t="s">
        <v>277</v>
      </c>
      <c r="N83" s="30">
        <v>616886</v>
      </c>
    </row>
    <row r="84" spans="2:14" x14ac:dyDescent="0.35">
      <c r="B84" s="104" t="s">
        <v>131</v>
      </c>
      <c r="C84" s="5" t="s">
        <v>117</v>
      </c>
      <c r="D84" s="87"/>
      <c r="E84" s="101">
        <v>38622.480000000003</v>
      </c>
      <c r="F84" s="5" t="s">
        <v>129</v>
      </c>
      <c r="G84" s="5" t="s">
        <v>208</v>
      </c>
      <c r="H84" s="84"/>
      <c r="J84" s="138" t="s">
        <v>268</v>
      </c>
      <c r="K84" s="30">
        <v>397892.21</v>
      </c>
      <c r="M84" s="138" t="s">
        <v>277</v>
      </c>
      <c r="N84" s="30">
        <v>993792.89</v>
      </c>
    </row>
    <row r="85" spans="2:14" x14ac:dyDescent="0.35">
      <c r="B85" s="104" t="s">
        <v>131</v>
      </c>
      <c r="C85" s="5" t="s">
        <v>117</v>
      </c>
      <c r="D85" s="87"/>
      <c r="E85" s="101">
        <v>38622.480000000003</v>
      </c>
      <c r="F85" s="5" t="s">
        <v>129</v>
      </c>
      <c r="G85" s="5" t="s">
        <v>208</v>
      </c>
      <c r="H85" s="84"/>
      <c r="J85" s="138" t="s">
        <v>269</v>
      </c>
      <c r="K85" s="30">
        <v>190281</v>
      </c>
      <c r="M85" s="138" t="s">
        <v>281</v>
      </c>
      <c r="N85" s="30">
        <v>2380924.2000000002</v>
      </c>
    </row>
    <row r="86" spans="2:14" x14ac:dyDescent="0.35">
      <c r="B86" s="104" t="s">
        <v>131</v>
      </c>
      <c r="C86" s="5" t="s">
        <v>117</v>
      </c>
      <c r="D86" s="87"/>
      <c r="E86" s="101">
        <v>38622.480000000003</v>
      </c>
      <c r="F86" s="5" t="s">
        <v>129</v>
      </c>
      <c r="G86" s="5" t="s">
        <v>208</v>
      </c>
      <c r="H86" s="84"/>
      <c r="J86" s="138" t="s">
        <v>271</v>
      </c>
      <c r="K86" s="30">
        <v>1956728.87</v>
      </c>
      <c r="M86" s="138" t="s">
        <v>281</v>
      </c>
      <c r="N86" s="30">
        <v>1155175</v>
      </c>
    </row>
    <row r="87" spans="2:14" x14ac:dyDescent="0.35">
      <c r="B87" s="104" t="s">
        <v>131</v>
      </c>
      <c r="C87" s="5" t="s">
        <v>117</v>
      </c>
      <c r="D87" s="87"/>
      <c r="E87" s="101">
        <v>38622.480000000003</v>
      </c>
      <c r="F87" s="5" t="s">
        <v>129</v>
      </c>
      <c r="G87" s="5" t="s">
        <v>208</v>
      </c>
      <c r="H87" s="84"/>
      <c r="J87" s="138" t="s">
        <v>273</v>
      </c>
      <c r="K87" s="30">
        <v>27147.89</v>
      </c>
      <c r="M87" s="138" t="s">
        <v>286</v>
      </c>
      <c r="N87" s="30">
        <v>1899996.36</v>
      </c>
    </row>
    <row r="88" spans="2:14" x14ac:dyDescent="0.35">
      <c r="B88" s="104" t="s">
        <v>131</v>
      </c>
      <c r="C88" s="5" t="s">
        <v>117</v>
      </c>
      <c r="D88" s="87"/>
      <c r="E88" s="101">
        <v>38622.480000000003</v>
      </c>
      <c r="F88" s="5" t="s">
        <v>129</v>
      </c>
      <c r="G88" s="5" t="s">
        <v>208</v>
      </c>
      <c r="H88" s="84"/>
      <c r="J88" s="138" t="s">
        <v>278</v>
      </c>
      <c r="K88" s="30">
        <v>213445.61</v>
      </c>
      <c r="M88" s="138" t="s">
        <v>286</v>
      </c>
      <c r="N88" s="30">
        <v>320940.62</v>
      </c>
    </row>
    <row r="89" spans="2:14" x14ac:dyDescent="0.35">
      <c r="B89" s="104" t="s">
        <v>131</v>
      </c>
      <c r="C89" s="5" t="s">
        <v>117</v>
      </c>
      <c r="D89" s="87"/>
      <c r="E89" s="101">
        <v>38622.480000000003</v>
      </c>
      <c r="F89" s="5" t="s">
        <v>129</v>
      </c>
      <c r="G89" s="5" t="s">
        <v>208</v>
      </c>
      <c r="H89" s="84"/>
      <c r="J89" s="138" t="s">
        <v>283</v>
      </c>
      <c r="K89" s="30">
        <v>95140.5</v>
      </c>
    </row>
    <row r="90" spans="2:14" x14ac:dyDescent="0.35">
      <c r="B90" s="104" t="s">
        <v>131</v>
      </c>
      <c r="C90" s="5" t="s">
        <v>117</v>
      </c>
      <c r="D90" s="87"/>
      <c r="E90" s="101">
        <v>38622.480000000003</v>
      </c>
      <c r="F90" s="5" t="s">
        <v>129</v>
      </c>
      <c r="G90" s="5" t="s">
        <v>208</v>
      </c>
      <c r="H90" s="84"/>
      <c r="J90" s="138" t="s">
        <v>287</v>
      </c>
      <c r="K90" s="30">
        <v>28395.32</v>
      </c>
    </row>
    <row r="91" spans="2:14" x14ac:dyDescent="0.35">
      <c r="B91" s="104" t="s">
        <v>131</v>
      </c>
      <c r="C91" s="5" t="s">
        <v>117</v>
      </c>
      <c r="D91" s="87"/>
      <c r="E91" s="101">
        <v>38622.480000000003</v>
      </c>
      <c r="F91" s="5" t="s">
        <v>129</v>
      </c>
      <c r="G91" s="5" t="s">
        <v>208</v>
      </c>
      <c r="H91" s="84"/>
    </row>
    <row r="92" spans="2:14" x14ac:dyDescent="0.35">
      <c r="B92" s="104" t="s">
        <v>131</v>
      </c>
      <c r="C92" s="5" t="s">
        <v>117</v>
      </c>
      <c r="D92" s="87"/>
      <c r="E92" s="101">
        <v>38622.480000000003</v>
      </c>
      <c r="F92" s="5" t="s">
        <v>129</v>
      </c>
      <c r="G92" s="5" t="s">
        <v>208</v>
      </c>
      <c r="H92" s="84"/>
    </row>
    <row r="93" spans="2:14" x14ac:dyDescent="0.35">
      <c r="B93" s="104" t="s">
        <v>131</v>
      </c>
      <c r="C93" s="5" t="s">
        <v>117</v>
      </c>
      <c r="D93" s="87"/>
      <c r="E93" s="101">
        <v>38622.480000000003</v>
      </c>
      <c r="F93" s="5" t="s">
        <v>129</v>
      </c>
      <c r="G93" s="5" t="s">
        <v>208</v>
      </c>
      <c r="H93" s="84"/>
    </row>
    <row r="94" spans="2:14" x14ac:dyDescent="0.35">
      <c r="B94" s="104" t="s">
        <v>131</v>
      </c>
      <c r="C94" s="5" t="s">
        <v>117</v>
      </c>
      <c r="D94" s="87"/>
      <c r="E94" s="101">
        <v>38622.480000000003</v>
      </c>
      <c r="F94" s="5" t="s">
        <v>129</v>
      </c>
      <c r="G94" s="5" t="s">
        <v>208</v>
      </c>
      <c r="H94" s="84"/>
    </row>
    <row r="95" spans="2:14" x14ac:dyDescent="0.35">
      <c r="B95" s="104" t="s">
        <v>131</v>
      </c>
      <c r="C95" s="5" t="s">
        <v>117</v>
      </c>
      <c r="D95" s="87"/>
      <c r="E95" s="101">
        <v>38622.480000000003</v>
      </c>
      <c r="F95" s="5" t="s">
        <v>129</v>
      </c>
      <c r="G95" s="5" t="s">
        <v>208</v>
      </c>
      <c r="H95" s="84"/>
    </row>
    <row r="96" spans="2:14" x14ac:dyDescent="0.35">
      <c r="B96" s="104" t="s">
        <v>131</v>
      </c>
      <c r="C96" s="5" t="s">
        <v>117</v>
      </c>
      <c r="D96" s="87"/>
      <c r="E96" s="101">
        <v>38622.480000000003</v>
      </c>
      <c r="F96" s="5" t="s">
        <v>129</v>
      </c>
      <c r="G96" s="5" t="s">
        <v>208</v>
      </c>
      <c r="H96" s="84"/>
    </row>
    <row r="97" spans="2:8" x14ac:dyDescent="0.35">
      <c r="B97" s="104" t="s">
        <v>131</v>
      </c>
      <c r="C97" s="5" t="s">
        <v>117</v>
      </c>
      <c r="D97" s="87"/>
      <c r="E97" s="101">
        <v>38622.480000000003</v>
      </c>
      <c r="F97" s="5" t="s">
        <v>129</v>
      </c>
      <c r="G97" s="5" t="s">
        <v>208</v>
      </c>
      <c r="H97" s="84"/>
    </row>
    <row r="98" spans="2:8" x14ac:dyDescent="0.35">
      <c r="B98" s="104" t="s">
        <v>131</v>
      </c>
      <c r="C98" s="5" t="s">
        <v>117</v>
      </c>
      <c r="D98" s="87"/>
      <c r="E98" s="101">
        <v>38622.480000000003</v>
      </c>
      <c r="F98" s="5" t="s">
        <v>129</v>
      </c>
      <c r="G98" s="5" t="s">
        <v>208</v>
      </c>
      <c r="H98" s="84"/>
    </row>
    <row r="99" spans="2:8" x14ac:dyDescent="0.35">
      <c r="B99" s="104" t="s">
        <v>131</v>
      </c>
      <c r="C99" s="5" t="s">
        <v>117</v>
      </c>
      <c r="D99" s="87"/>
      <c r="E99" s="101">
        <v>38622.480000000003</v>
      </c>
      <c r="F99" s="5" t="s">
        <v>129</v>
      </c>
      <c r="G99" s="5" t="s">
        <v>208</v>
      </c>
      <c r="H99" s="84"/>
    </row>
    <row r="100" spans="2:8" x14ac:dyDescent="0.35">
      <c r="B100" s="104" t="s">
        <v>131</v>
      </c>
      <c r="C100" s="5" t="s">
        <v>117</v>
      </c>
      <c r="D100" s="87"/>
      <c r="E100" s="101">
        <v>38622.480000000003</v>
      </c>
      <c r="F100" s="5" t="s">
        <v>129</v>
      </c>
      <c r="G100" s="5" t="s">
        <v>208</v>
      </c>
      <c r="H100" s="84"/>
    </row>
    <row r="101" spans="2:8" x14ac:dyDescent="0.35">
      <c r="B101" s="104" t="s">
        <v>131</v>
      </c>
      <c r="C101" s="5" t="s">
        <v>117</v>
      </c>
      <c r="D101" s="87"/>
      <c r="E101" s="101">
        <v>38622.480000000003</v>
      </c>
      <c r="F101" s="5" t="s">
        <v>129</v>
      </c>
      <c r="G101" s="5" t="s">
        <v>208</v>
      </c>
      <c r="H101" s="84"/>
    </row>
    <row r="102" spans="2:8" x14ac:dyDescent="0.35">
      <c r="B102" s="104" t="s">
        <v>131</v>
      </c>
      <c r="C102" s="5" t="s">
        <v>117</v>
      </c>
      <c r="D102" s="87"/>
      <c r="E102" s="101">
        <v>38622.480000000003</v>
      </c>
      <c r="F102" s="5" t="s">
        <v>129</v>
      </c>
      <c r="G102" s="5" t="s">
        <v>208</v>
      </c>
      <c r="H102" s="84"/>
    </row>
    <row r="103" spans="2:8" x14ac:dyDescent="0.35">
      <c r="B103" s="104" t="s">
        <v>131</v>
      </c>
      <c r="C103" s="5" t="s">
        <v>117</v>
      </c>
      <c r="D103" s="87"/>
      <c r="E103" s="101">
        <v>38622.480000000003</v>
      </c>
      <c r="F103" s="5" t="s">
        <v>129</v>
      </c>
      <c r="G103" s="5" t="s">
        <v>208</v>
      </c>
      <c r="H103" s="84"/>
    </row>
    <row r="104" spans="2:8" x14ac:dyDescent="0.35">
      <c r="B104" s="104" t="s">
        <v>131</v>
      </c>
      <c r="C104" s="5" t="s">
        <v>117</v>
      </c>
      <c r="D104" s="87"/>
      <c r="E104" s="101">
        <v>38622.480000000003</v>
      </c>
      <c r="F104" s="5" t="s">
        <v>129</v>
      </c>
      <c r="G104" s="5" t="s">
        <v>208</v>
      </c>
      <c r="H104" s="84"/>
    </row>
    <row r="105" spans="2:8" x14ac:dyDescent="0.35">
      <c r="B105" s="104" t="s">
        <v>131</v>
      </c>
      <c r="C105" s="5" t="s">
        <v>117</v>
      </c>
      <c r="D105" s="87"/>
      <c r="E105" s="101">
        <v>38622.480000000003</v>
      </c>
      <c r="F105" s="5" t="s">
        <v>129</v>
      </c>
      <c r="G105" s="5" t="s">
        <v>208</v>
      </c>
      <c r="H105" s="84"/>
    </row>
    <row r="106" spans="2:8" x14ac:dyDescent="0.35">
      <c r="B106" s="104" t="s">
        <v>131</v>
      </c>
      <c r="C106" s="5" t="s">
        <v>117</v>
      </c>
      <c r="D106" s="87"/>
      <c r="E106" s="101">
        <v>38622.480000000003</v>
      </c>
      <c r="F106" s="5" t="s">
        <v>129</v>
      </c>
      <c r="G106" s="5" t="s">
        <v>208</v>
      </c>
      <c r="H106" s="84"/>
    </row>
    <row r="107" spans="2:8" x14ac:dyDescent="0.35">
      <c r="B107" s="104" t="s">
        <v>131</v>
      </c>
      <c r="C107" s="5" t="s">
        <v>117</v>
      </c>
      <c r="D107" s="87"/>
      <c r="E107" s="101">
        <v>38622.480000000003</v>
      </c>
      <c r="F107" s="5" t="s">
        <v>129</v>
      </c>
      <c r="G107" s="5" t="s">
        <v>208</v>
      </c>
      <c r="H107" s="84"/>
    </row>
    <row r="108" spans="2:8" x14ac:dyDescent="0.35">
      <c r="B108" s="104" t="s">
        <v>131</v>
      </c>
      <c r="C108" s="5" t="s">
        <v>117</v>
      </c>
      <c r="D108" s="87"/>
      <c r="E108" s="101">
        <v>38622.480000000003</v>
      </c>
      <c r="F108" s="5" t="s">
        <v>129</v>
      </c>
      <c r="G108" s="5" t="s">
        <v>208</v>
      </c>
      <c r="H108" s="84"/>
    </row>
    <row r="109" spans="2:8" x14ac:dyDescent="0.35">
      <c r="B109" s="104" t="s">
        <v>131</v>
      </c>
      <c r="C109" s="5" t="s">
        <v>117</v>
      </c>
      <c r="D109" s="87"/>
      <c r="E109" s="101">
        <v>38622.480000000003</v>
      </c>
      <c r="F109" s="5" t="s">
        <v>129</v>
      </c>
      <c r="G109" s="5" t="s">
        <v>208</v>
      </c>
      <c r="H109" s="84"/>
    </row>
    <row r="110" spans="2:8" x14ac:dyDescent="0.35">
      <c r="B110" s="104" t="s">
        <v>131</v>
      </c>
      <c r="C110" s="5" t="s">
        <v>117</v>
      </c>
      <c r="D110" s="87"/>
      <c r="E110" s="101">
        <v>38622.480000000003</v>
      </c>
      <c r="F110" s="5" t="s">
        <v>129</v>
      </c>
      <c r="G110" s="5" t="s">
        <v>208</v>
      </c>
      <c r="H110" s="84"/>
    </row>
    <row r="111" spans="2:8" x14ac:dyDescent="0.35">
      <c r="B111" s="104" t="s">
        <v>131</v>
      </c>
      <c r="C111" s="5" t="s">
        <v>117</v>
      </c>
      <c r="D111" s="87"/>
      <c r="E111" s="101">
        <v>38622.480000000003</v>
      </c>
      <c r="F111" s="5" t="s">
        <v>129</v>
      </c>
      <c r="G111" s="5" t="s">
        <v>208</v>
      </c>
      <c r="H111" s="84"/>
    </row>
    <row r="112" spans="2:8" x14ac:dyDescent="0.35">
      <c r="B112" s="104" t="s">
        <v>131</v>
      </c>
      <c r="C112" s="5" t="s">
        <v>117</v>
      </c>
      <c r="D112" s="87"/>
      <c r="E112" s="101">
        <v>38622.480000000003</v>
      </c>
      <c r="F112" s="5" t="s">
        <v>129</v>
      </c>
      <c r="G112" s="5" t="s">
        <v>208</v>
      </c>
      <c r="H112" s="84"/>
    </row>
    <row r="113" spans="2:8" x14ac:dyDescent="0.35">
      <c r="B113" s="104" t="s">
        <v>131</v>
      </c>
      <c r="C113" s="5" t="s">
        <v>117</v>
      </c>
      <c r="D113" s="87"/>
      <c r="E113" s="101">
        <v>38622.480000000003</v>
      </c>
      <c r="F113" s="5" t="s">
        <v>129</v>
      </c>
      <c r="G113" s="5" t="s">
        <v>208</v>
      </c>
      <c r="H113" s="84"/>
    </row>
    <row r="114" spans="2:8" x14ac:dyDescent="0.35">
      <c r="B114" s="104" t="s">
        <v>131</v>
      </c>
      <c r="C114" s="5" t="s">
        <v>117</v>
      </c>
      <c r="D114" s="87"/>
      <c r="E114" s="101">
        <v>38622.480000000003</v>
      </c>
      <c r="F114" s="5" t="s">
        <v>129</v>
      </c>
      <c r="G114" s="5" t="s">
        <v>208</v>
      </c>
      <c r="H114" s="84"/>
    </row>
    <row r="115" spans="2:8" x14ac:dyDescent="0.35">
      <c r="B115" s="104" t="s">
        <v>131</v>
      </c>
      <c r="C115" s="5" t="s">
        <v>117</v>
      </c>
      <c r="D115" s="87"/>
      <c r="E115" s="101">
        <v>38622.480000000003</v>
      </c>
      <c r="F115" s="5" t="s">
        <v>129</v>
      </c>
      <c r="G115" s="5" t="s">
        <v>208</v>
      </c>
      <c r="H115" s="84"/>
    </row>
    <row r="116" spans="2:8" x14ac:dyDescent="0.35">
      <c r="B116" s="104" t="s">
        <v>131</v>
      </c>
      <c r="C116" s="5" t="s">
        <v>117</v>
      </c>
      <c r="D116" s="87"/>
      <c r="E116" s="101">
        <v>38622.480000000003</v>
      </c>
      <c r="F116" s="5" t="s">
        <v>129</v>
      </c>
      <c r="G116" s="5" t="s">
        <v>208</v>
      </c>
      <c r="H116" s="84"/>
    </row>
    <row r="117" spans="2:8" x14ac:dyDescent="0.35">
      <c r="B117" s="104" t="s">
        <v>131</v>
      </c>
      <c r="C117" s="5" t="s">
        <v>117</v>
      </c>
      <c r="D117" s="87"/>
      <c r="E117" s="101">
        <v>38622.480000000003</v>
      </c>
      <c r="F117" s="5" t="s">
        <v>129</v>
      </c>
      <c r="G117" s="5" t="s">
        <v>208</v>
      </c>
      <c r="H117" s="84"/>
    </row>
    <row r="118" spans="2:8" x14ac:dyDescent="0.35">
      <c r="B118" s="104" t="s">
        <v>131</v>
      </c>
      <c r="C118" s="5" t="s">
        <v>117</v>
      </c>
      <c r="D118" s="87"/>
      <c r="E118" s="101">
        <v>51496.639999999999</v>
      </c>
      <c r="F118" s="5" t="s">
        <v>129</v>
      </c>
      <c r="G118" s="5" t="s">
        <v>208</v>
      </c>
      <c r="H118" s="84"/>
    </row>
    <row r="119" spans="2:8" x14ac:dyDescent="0.35">
      <c r="B119" s="104" t="s">
        <v>131</v>
      </c>
      <c r="C119" s="5" t="s">
        <v>117</v>
      </c>
      <c r="D119" s="87"/>
      <c r="E119" s="101">
        <v>51496.639999999999</v>
      </c>
      <c r="F119" s="5" t="s">
        <v>129</v>
      </c>
      <c r="G119" s="5" t="s">
        <v>208</v>
      </c>
      <c r="H119" s="84"/>
    </row>
    <row r="120" spans="2:8" x14ac:dyDescent="0.35">
      <c r="B120" s="104" t="s">
        <v>131</v>
      </c>
      <c r="C120" s="5" t="s">
        <v>117</v>
      </c>
      <c r="D120" s="87"/>
      <c r="E120" s="101">
        <v>51496.639999999999</v>
      </c>
      <c r="F120" s="5" t="s">
        <v>129</v>
      </c>
      <c r="G120" s="5" t="s">
        <v>208</v>
      </c>
      <c r="H120" s="84"/>
    </row>
    <row r="121" spans="2:8" x14ac:dyDescent="0.35">
      <c r="B121" s="104" t="s">
        <v>131</v>
      </c>
      <c r="C121" s="5" t="s">
        <v>117</v>
      </c>
      <c r="D121" s="87"/>
      <c r="E121" s="101">
        <v>51496.639999999999</v>
      </c>
      <c r="F121" s="5" t="s">
        <v>129</v>
      </c>
      <c r="G121" s="5" t="s">
        <v>208</v>
      </c>
      <c r="H121" s="84"/>
    </row>
    <row r="122" spans="2:8" x14ac:dyDescent="0.35">
      <c r="B122" s="104" t="s">
        <v>131</v>
      </c>
      <c r="C122" s="5" t="s">
        <v>117</v>
      </c>
      <c r="D122" s="87"/>
      <c r="E122" s="101">
        <v>51496.639999999999</v>
      </c>
      <c r="F122" s="5" t="s">
        <v>129</v>
      </c>
      <c r="G122" s="5" t="s">
        <v>208</v>
      </c>
      <c r="H122" s="84"/>
    </row>
    <row r="123" spans="2:8" x14ac:dyDescent="0.35">
      <c r="B123" s="104" t="s">
        <v>131</v>
      </c>
      <c r="C123" s="5" t="s">
        <v>117</v>
      </c>
      <c r="D123" s="87"/>
      <c r="E123" s="101">
        <v>51496.639999999999</v>
      </c>
      <c r="F123" s="5" t="s">
        <v>129</v>
      </c>
      <c r="G123" s="5" t="s">
        <v>208</v>
      </c>
      <c r="H123" s="84"/>
    </row>
    <row r="124" spans="2:8" x14ac:dyDescent="0.35">
      <c r="B124" s="104" t="s">
        <v>131</v>
      </c>
      <c r="C124" s="5" t="s">
        <v>117</v>
      </c>
      <c r="D124" s="87"/>
      <c r="E124" s="101">
        <v>51496.639999999999</v>
      </c>
      <c r="F124" s="5" t="s">
        <v>129</v>
      </c>
      <c r="G124" s="5" t="s">
        <v>208</v>
      </c>
      <c r="H124" s="84"/>
    </row>
    <row r="125" spans="2:8" x14ac:dyDescent="0.35">
      <c r="B125" s="104" t="s">
        <v>131</v>
      </c>
      <c r="C125" s="5" t="s">
        <v>117</v>
      </c>
      <c r="D125" s="87"/>
      <c r="E125" s="101">
        <v>51496.639999999999</v>
      </c>
      <c r="F125" s="5" t="s">
        <v>129</v>
      </c>
      <c r="G125" s="5" t="s">
        <v>208</v>
      </c>
      <c r="H125" s="84"/>
    </row>
    <row r="126" spans="2:8" x14ac:dyDescent="0.35">
      <c r="B126" s="104" t="s">
        <v>131</v>
      </c>
      <c r="C126" s="5" t="s">
        <v>117</v>
      </c>
      <c r="D126" s="87"/>
      <c r="E126" s="101">
        <v>51496.639999999999</v>
      </c>
      <c r="F126" s="5" t="s">
        <v>129</v>
      </c>
      <c r="G126" s="5" t="s">
        <v>208</v>
      </c>
      <c r="H126" s="84"/>
    </row>
    <row r="127" spans="2:8" x14ac:dyDescent="0.35">
      <c r="B127" s="104" t="s">
        <v>131</v>
      </c>
      <c r="C127" s="5" t="s">
        <v>117</v>
      </c>
      <c r="D127" s="87"/>
      <c r="E127" s="101">
        <v>77244.960000000006</v>
      </c>
      <c r="F127" s="5" t="s">
        <v>129</v>
      </c>
      <c r="G127" s="5" t="s">
        <v>208</v>
      </c>
      <c r="H127" s="84"/>
    </row>
    <row r="128" spans="2:8" x14ac:dyDescent="0.35">
      <c r="B128" s="104" t="s">
        <v>131</v>
      </c>
      <c r="C128" s="5" t="s">
        <v>117</v>
      </c>
      <c r="D128" s="87"/>
      <c r="E128" s="101">
        <v>77244.960000000006</v>
      </c>
      <c r="F128" s="5" t="s">
        <v>129</v>
      </c>
      <c r="G128" s="5" t="s">
        <v>208</v>
      </c>
      <c r="H128" s="84"/>
    </row>
    <row r="129" spans="2:8" x14ac:dyDescent="0.35">
      <c r="B129" s="104" t="s">
        <v>131</v>
      </c>
      <c r="C129" s="5" t="s">
        <v>117</v>
      </c>
      <c r="D129" s="87"/>
      <c r="E129" s="101">
        <v>102993.28</v>
      </c>
      <c r="F129" s="5" t="s">
        <v>129</v>
      </c>
      <c r="G129" s="5" t="s">
        <v>208</v>
      </c>
      <c r="H129" s="84"/>
    </row>
    <row r="130" spans="2:8" x14ac:dyDescent="0.35">
      <c r="B130" s="104" t="s">
        <v>131</v>
      </c>
      <c r="C130" s="5" t="s">
        <v>117</v>
      </c>
      <c r="D130" s="87"/>
      <c r="E130" s="101">
        <v>153256.4</v>
      </c>
      <c r="F130" s="5" t="s">
        <v>118</v>
      </c>
      <c r="G130" s="5" t="s">
        <v>210</v>
      </c>
      <c r="H130" s="84"/>
    </row>
    <row r="131" spans="2:8" x14ac:dyDescent="0.35">
      <c r="B131" s="104" t="s">
        <v>131</v>
      </c>
      <c r="C131" s="5" t="s">
        <v>117</v>
      </c>
      <c r="D131" s="87"/>
      <c r="E131" s="101">
        <v>161287.48000000001</v>
      </c>
      <c r="F131" s="5" t="s">
        <v>129</v>
      </c>
      <c r="G131" s="5" t="s">
        <v>208</v>
      </c>
      <c r="H131" s="84"/>
    </row>
    <row r="132" spans="2:8" x14ac:dyDescent="0.35">
      <c r="B132" s="104" t="s">
        <v>131</v>
      </c>
      <c r="C132" s="5" t="s">
        <v>117</v>
      </c>
      <c r="D132" s="87"/>
      <c r="E132" s="101">
        <v>163513.56</v>
      </c>
      <c r="F132" s="5" t="s">
        <v>129</v>
      </c>
      <c r="G132" s="5" t="s">
        <v>208</v>
      </c>
      <c r="H132" s="84"/>
    </row>
    <row r="133" spans="2:8" x14ac:dyDescent="0.35">
      <c r="B133" s="104" t="s">
        <v>131</v>
      </c>
      <c r="C133" s="5" t="s">
        <v>104</v>
      </c>
      <c r="D133" s="87"/>
      <c r="E133" s="101">
        <v>183289.23</v>
      </c>
      <c r="F133" s="5" t="s">
        <v>106</v>
      </c>
      <c r="G133" s="5" t="s">
        <v>207</v>
      </c>
      <c r="H133" s="84"/>
    </row>
    <row r="134" spans="2:8" x14ac:dyDescent="0.35">
      <c r="B134" s="104" t="s">
        <v>131</v>
      </c>
      <c r="C134" s="5" t="s">
        <v>117</v>
      </c>
      <c r="D134" s="87"/>
      <c r="E134" s="101">
        <v>215049.96</v>
      </c>
      <c r="F134" s="5" t="s">
        <v>129</v>
      </c>
      <c r="G134" s="5" t="s">
        <v>208</v>
      </c>
      <c r="H134" s="84"/>
    </row>
    <row r="135" spans="2:8" x14ac:dyDescent="0.35">
      <c r="B135" s="104" t="s">
        <v>131</v>
      </c>
      <c r="C135" s="5" t="s">
        <v>104</v>
      </c>
      <c r="D135" s="87"/>
      <c r="E135" s="101">
        <v>268000.25</v>
      </c>
      <c r="F135" s="5" t="s">
        <v>106</v>
      </c>
      <c r="G135" s="5" t="s">
        <v>207</v>
      </c>
      <c r="H135" s="84"/>
    </row>
    <row r="136" spans="2:8" x14ac:dyDescent="0.35">
      <c r="B136" s="104" t="s">
        <v>131</v>
      </c>
      <c r="C136" s="5" t="s">
        <v>104</v>
      </c>
      <c r="D136" s="87"/>
      <c r="E136" s="101">
        <v>508941.36</v>
      </c>
      <c r="F136" s="5" t="s">
        <v>106</v>
      </c>
      <c r="G136" s="5" t="s">
        <v>207</v>
      </c>
      <c r="H136" s="84"/>
    </row>
    <row r="137" spans="2:8" x14ac:dyDescent="0.35">
      <c r="B137" s="104" t="s">
        <v>131</v>
      </c>
      <c r="C137" s="5" t="s">
        <v>132</v>
      </c>
      <c r="D137" s="101">
        <v>38622.480000000003</v>
      </c>
      <c r="E137" s="101"/>
      <c r="F137" s="5" t="s">
        <v>133</v>
      </c>
      <c r="G137" s="5" t="s">
        <v>208</v>
      </c>
      <c r="H137" s="84"/>
    </row>
    <row r="138" spans="2:8" x14ac:dyDescent="0.35">
      <c r="B138" s="104" t="s">
        <v>134</v>
      </c>
      <c r="C138" s="5" t="s">
        <v>117</v>
      </c>
      <c r="D138" s="87"/>
      <c r="E138" s="101">
        <v>5489.59</v>
      </c>
      <c r="F138" s="5" t="s">
        <v>129</v>
      </c>
      <c r="G138" s="5" t="s">
        <v>211</v>
      </c>
      <c r="H138" s="84"/>
    </row>
    <row r="139" spans="2:8" x14ac:dyDescent="0.35">
      <c r="B139" s="104" t="s">
        <v>134</v>
      </c>
      <c r="C139" s="5" t="s">
        <v>117</v>
      </c>
      <c r="D139" s="87"/>
      <c r="E139" s="101">
        <v>6651.49</v>
      </c>
      <c r="F139" s="5" t="s">
        <v>129</v>
      </c>
      <c r="G139" s="5" t="s">
        <v>211</v>
      </c>
      <c r="H139" s="84"/>
    </row>
    <row r="140" spans="2:8" x14ac:dyDescent="0.35">
      <c r="B140" s="104" t="s">
        <v>134</v>
      </c>
      <c r="C140" s="5" t="s">
        <v>117</v>
      </c>
      <c r="D140" s="87"/>
      <c r="E140" s="101">
        <v>12303.34</v>
      </c>
      <c r="F140" s="5" t="s">
        <v>129</v>
      </c>
      <c r="G140" s="5" t="s">
        <v>211</v>
      </c>
      <c r="H140" s="84"/>
    </row>
    <row r="141" spans="2:8" x14ac:dyDescent="0.35">
      <c r="B141" s="104" t="s">
        <v>134</v>
      </c>
      <c r="C141" s="5" t="s">
        <v>117</v>
      </c>
      <c r="D141" s="87"/>
      <c r="E141" s="101">
        <v>13368.13</v>
      </c>
      <c r="F141" s="5" t="s">
        <v>129</v>
      </c>
      <c r="G141" s="5" t="s">
        <v>211</v>
      </c>
      <c r="H141" s="84"/>
    </row>
    <row r="142" spans="2:8" x14ac:dyDescent="0.35">
      <c r="B142" s="104" t="s">
        <v>134</v>
      </c>
      <c r="C142" s="5" t="s">
        <v>117</v>
      </c>
      <c r="D142" s="87"/>
      <c r="E142" s="101">
        <v>13492.91</v>
      </c>
      <c r="F142" s="5" t="s">
        <v>129</v>
      </c>
      <c r="G142" s="5" t="s">
        <v>211</v>
      </c>
      <c r="H142" s="84"/>
    </row>
    <row r="143" spans="2:8" x14ac:dyDescent="0.35">
      <c r="B143" s="104" t="s">
        <v>134</v>
      </c>
      <c r="C143" s="5" t="s">
        <v>117</v>
      </c>
      <c r="D143" s="87"/>
      <c r="E143" s="101">
        <v>14251.3</v>
      </c>
      <c r="F143" s="5" t="s">
        <v>129</v>
      </c>
      <c r="G143" s="5" t="s">
        <v>211</v>
      </c>
      <c r="H143" s="84"/>
    </row>
    <row r="144" spans="2:8" x14ac:dyDescent="0.35">
      <c r="B144" s="104" t="s">
        <v>134</v>
      </c>
      <c r="C144" s="5" t="s">
        <v>117</v>
      </c>
      <c r="D144" s="87"/>
      <c r="E144" s="101">
        <v>15532.65</v>
      </c>
      <c r="F144" s="5" t="s">
        <v>129</v>
      </c>
      <c r="G144" s="5" t="s">
        <v>211</v>
      </c>
      <c r="H144" s="84"/>
    </row>
    <row r="145" spans="2:8" x14ac:dyDescent="0.35">
      <c r="B145" s="104" t="s">
        <v>134</v>
      </c>
      <c r="C145" s="5" t="s">
        <v>117</v>
      </c>
      <c r="D145" s="87"/>
      <c r="E145" s="101">
        <v>19311.240000000002</v>
      </c>
      <c r="F145" s="5" t="s">
        <v>129</v>
      </c>
      <c r="G145" s="5" t="s">
        <v>211</v>
      </c>
      <c r="H145" s="84"/>
    </row>
    <row r="146" spans="2:8" x14ac:dyDescent="0.35">
      <c r="B146" s="104" t="s">
        <v>134</v>
      </c>
      <c r="C146" s="5" t="s">
        <v>117</v>
      </c>
      <c r="D146" s="87"/>
      <c r="E146" s="101">
        <v>19311.240000000002</v>
      </c>
      <c r="F146" s="5" t="s">
        <v>129</v>
      </c>
      <c r="G146" s="5" t="s">
        <v>211</v>
      </c>
      <c r="H146" s="84"/>
    </row>
    <row r="147" spans="2:8" x14ac:dyDescent="0.35">
      <c r="B147" s="104" t="s">
        <v>134</v>
      </c>
      <c r="C147" s="5" t="s">
        <v>117</v>
      </c>
      <c r="D147" s="87"/>
      <c r="E147" s="101">
        <v>23652.67</v>
      </c>
      <c r="F147" s="5" t="s">
        <v>129</v>
      </c>
      <c r="G147" s="5" t="s">
        <v>211</v>
      </c>
      <c r="H147" s="84"/>
    </row>
    <row r="148" spans="2:8" x14ac:dyDescent="0.35">
      <c r="B148" s="104" t="s">
        <v>134</v>
      </c>
      <c r="C148" s="5" t="s">
        <v>117</v>
      </c>
      <c r="D148" s="87"/>
      <c r="E148" s="101">
        <v>25748.32</v>
      </c>
      <c r="F148" s="5" t="s">
        <v>129</v>
      </c>
      <c r="G148" s="5" t="s">
        <v>211</v>
      </c>
      <c r="H148" s="84"/>
    </row>
    <row r="149" spans="2:8" x14ac:dyDescent="0.35">
      <c r="B149" s="104" t="s">
        <v>134</v>
      </c>
      <c r="C149" s="5" t="s">
        <v>117</v>
      </c>
      <c r="D149" s="87"/>
      <c r="E149" s="101">
        <v>38622.480000000003</v>
      </c>
      <c r="F149" s="5" t="s">
        <v>129</v>
      </c>
      <c r="G149" s="5" t="s">
        <v>211</v>
      </c>
      <c r="H149" s="84"/>
    </row>
    <row r="150" spans="2:8" x14ac:dyDescent="0.35">
      <c r="B150" s="104" t="s">
        <v>134</v>
      </c>
      <c r="C150" s="5" t="s">
        <v>117</v>
      </c>
      <c r="D150" s="87"/>
      <c r="E150" s="101">
        <v>38622.480000000003</v>
      </c>
      <c r="F150" s="5" t="s">
        <v>129</v>
      </c>
      <c r="G150" s="5" t="s">
        <v>211</v>
      </c>
      <c r="H150" s="84"/>
    </row>
    <row r="151" spans="2:8" x14ac:dyDescent="0.35">
      <c r="B151" s="104" t="s">
        <v>134</v>
      </c>
      <c r="C151" s="5" t="s">
        <v>117</v>
      </c>
      <c r="D151" s="87"/>
      <c r="E151" s="101">
        <v>38622.480000000003</v>
      </c>
      <c r="F151" s="5" t="s">
        <v>129</v>
      </c>
      <c r="G151" s="5" t="s">
        <v>211</v>
      </c>
      <c r="H151" s="84"/>
    </row>
    <row r="152" spans="2:8" x14ac:dyDescent="0.35">
      <c r="B152" s="104" t="s">
        <v>134</v>
      </c>
      <c r="C152" s="5" t="s">
        <v>117</v>
      </c>
      <c r="D152" s="87"/>
      <c r="E152" s="101">
        <v>38622.480000000003</v>
      </c>
      <c r="F152" s="5" t="s">
        <v>129</v>
      </c>
      <c r="G152" s="5" t="s">
        <v>211</v>
      </c>
      <c r="H152" s="84"/>
    </row>
    <row r="153" spans="2:8" x14ac:dyDescent="0.35">
      <c r="B153" s="104" t="s">
        <v>134</v>
      </c>
      <c r="C153" s="5" t="s">
        <v>117</v>
      </c>
      <c r="D153" s="87"/>
      <c r="E153" s="101">
        <v>38622.480000000003</v>
      </c>
      <c r="F153" s="5" t="s">
        <v>129</v>
      </c>
      <c r="G153" s="5" t="s">
        <v>211</v>
      </c>
      <c r="H153" s="84"/>
    </row>
    <row r="154" spans="2:8" x14ac:dyDescent="0.35">
      <c r="B154" s="104" t="s">
        <v>134</v>
      </c>
      <c r="C154" s="5" t="s">
        <v>117</v>
      </c>
      <c r="D154" s="87"/>
      <c r="E154" s="101">
        <v>38622.480000000003</v>
      </c>
      <c r="F154" s="5" t="s">
        <v>129</v>
      </c>
      <c r="G154" s="5" t="s">
        <v>211</v>
      </c>
      <c r="H154" s="84"/>
    </row>
    <row r="155" spans="2:8" x14ac:dyDescent="0.35">
      <c r="B155" s="104" t="s">
        <v>134</v>
      </c>
      <c r="C155" s="5" t="s">
        <v>117</v>
      </c>
      <c r="D155" s="87"/>
      <c r="E155" s="101">
        <v>38622.480000000003</v>
      </c>
      <c r="F155" s="5" t="s">
        <v>129</v>
      </c>
      <c r="G155" s="5" t="s">
        <v>211</v>
      </c>
      <c r="H155" s="84"/>
    </row>
    <row r="156" spans="2:8" x14ac:dyDescent="0.35">
      <c r="B156" s="104" t="s">
        <v>134</v>
      </c>
      <c r="C156" s="5" t="s">
        <v>117</v>
      </c>
      <c r="D156" s="87"/>
      <c r="E156" s="101">
        <v>38622.480000000003</v>
      </c>
      <c r="F156" s="5" t="s">
        <v>129</v>
      </c>
      <c r="G156" s="5" t="s">
        <v>211</v>
      </c>
      <c r="H156" s="84"/>
    </row>
    <row r="157" spans="2:8" x14ac:dyDescent="0.35">
      <c r="B157" s="104" t="s">
        <v>134</v>
      </c>
      <c r="C157" s="5" t="s">
        <v>117</v>
      </c>
      <c r="D157" s="87"/>
      <c r="E157" s="101">
        <v>38622.480000000003</v>
      </c>
      <c r="F157" s="5" t="s">
        <v>129</v>
      </c>
      <c r="G157" s="5" t="s">
        <v>211</v>
      </c>
      <c r="H157" s="84"/>
    </row>
    <row r="158" spans="2:8" x14ac:dyDescent="0.35">
      <c r="B158" s="104" t="s">
        <v>134</v>
      </c>
      <c r="C158" s="5" t="s">
        <v>117</v>
      </c>
      <c r="D158" s="87"/>
      <c r="E158" s="101">
        <v>38622.480000000003</v>
      </c>
      <c r="F158" s="5" t="s">
        <v>129</v>
      </c>
      <c r="G158" s="5" t="s">
        <v>211</v>
      </c>
      <c r="H158" s="84"/>
    </row>
    <row r="159" spans="2:8" x14ac:dyDescent="0.35">
      <c r="B159" s="104" t="s">
        <v>134</v>
      </c>
      <c r="C159" s="5" t="s">
        <v>117</v>
      </c>
      <c r="D159" s="87"/>
      <c r="E159" s="101">
        <v>38622.480000000003</v>
      </c>
      <c r="F159" s="5" t="s">
        <v>129</v>
      </c>
      <c r="G159" s="5" t="s">
        <v>211</v>
      </c>
      <c r="H159" s="84"/>
    </row>
    <row r="160" spans="2:8" x14ac:dyDescent="0.35">
      <c r="B160" s="104" t="s">
        <v>134</v>
      </c>
      <c r="C160" s="5" t="s">
        <v>117</v>
      </c>
      <c r="D160" s="87"/>
      <c r="E160" s="101">
        <v>38622.480000000003</v>
      </c>
      <c r="F160" s="5" t="s">
        <v>129</v>
      </c>
      <c r="G160" s="5" t="s">
        <v>211</v>
      </c>
      <c r="H160" s="84"/>
    </row>
    <row r="161" spans="2:8" x14ac:dyDescent="0.35">
      <c r="B161" s="104" t="s">
        <v>134</v>
      </c>
      <c r="C161" s="5" t="s">
        <v>117</v>
      </c>
      <c r="D161" s="87"/>
      <c r="E161" s="101">
        <v>38622.480000000003</v>
      </c>
      <c r="F161" s="5" t="s">
        <v>129</v>
      </c>
      <c r="G161" s="5" t="s">
        <v>211</v>
      </c>
      <c r="H161" s="84"/>
    </row>
    <row r="162" spans="2:8" x14ac:dyDescent="0.35">
      <c r="B162" s="104" t="s">
        <v>134</v>
      </c>
      <c r="C162" s="5" t="s">
        <v>117</v>
      </c>
      <c r="D162" s="87"/>
      <c r="E162" s="101">
        <v>38622.480000000003</v>
      </c>
      <c r="F162" s="5" t="s">
        <v>129</v>
      </c>
      <c r="G162" s="5" t="s">
        <v>211</v>
      </c>
      <c r="H162" s="84"/>
    </row>
    <row r="163" spans="2:8" x14ac:dyDescent="0.35">
      <c r="B163" s="104" t="s">
        <v>134</v>
      </c>
      <c r="C163" s="5" t="s">
        <v>117</v>
      </c>
      <c r="D163" s="87"/>
      <c r="E163" s="101">
        <v>38622.480000000003</v>
      </c>
      <c r="F163" s="5" t="s">
        <v>129</v>
      </c>
      <c r="G163" s="5" t="s">
        <v>211</v>
      </c>
      <c r="H163" s="84"/>
    </row>
    <row r="164" spans="2:8" x14ac:dyDescent="0.35">
      <c r="B164" s="104" t="s">
        <v>134</v>
      </c>
      <c r="C164" s="5" t="s">
        <v>117</v>
      </c>
      <c r="D164" s="87"/>
      <c r="E164" s="101">
        <v>38622.480000000003</v>
      </c>
      <c r="F164" s="5" t="s">
        <v>129</v>
      </c>
      <c r="G164" s="5" t="s">
        <v>211</v>
      </c>
      <c r="H164" s="84"/>
    </row>
    <row r="165" spans="2:8" x14ac:dyDescent="0.35">
      <c r="B165" s="104" t="s">
        <v>134</v>
      </c>
      <c r="C165" s="5" t="s">
        <v>117</v>
      </c>
      <c r="D165" s="87"/>
      <c r="E165" s="101">
        <v>38622.480000000003</v>
      </c>
      <c r="F165" s="5" t="s">
        <v>129</v>
      </c>
      <c r="G165" s="5" t="s">
        <v>211</v>
      </c>
      <c r="H165" s="84"/>
    </row>
    <row r="166" spans="2:8" x14ac:dyDescent="0.35">
      <c r="B166" s="104" t="s">
        <v>134</v>
      </c>
      <c r="C166" s="5" t="s">
        <v>117</v>
      </c>
      <c r="D166" s="87"/>
      <c r="E166" s="101">
        <v>38622.480000000003</v>
      </c>
      <c r="F166" s="5" t="s">
        <v>129</v>
      </c>
      <c r="G166" s="5" t="s">
        <v>211</v>
      </c>
      <c r="H166" s="84"/>
    </row>
    <row r="167" spans="2:8" x14ac:dyDescent="0.35">
      <c r="B167" s="104" t="s">
        <v>134</v>
      </c>
      <c r="C167" s="5" t="s">
        <v>117</v>
      </c>
      <c r="D167" s="87"/>
      <c r="E167" s="101">
        <v>38622.480000000003</v>
      </c>
      <c r="F167" s="5" t="s">
        <v>129</v>
      </c>
      <c r="G167" s="5" t="s">
        <v>211</v>
      </c>
      <c r="H167" s="84"/>
    </row>
    <row r="168" spans="2:8" x14ac:dyDescent="0.35">
      <c r="B168" s="104" t="s">
        <v>134</v>
      </c>
      <c r="C168" s="5" t="s">
        <v>117</v>
      </c>
      <c r="D168" s="87"/>
      <c r="E168" s="101">
        <v>38622.480000000003</v>
      </c>
      <c r="F168" s="5" t="s">
        <v>129</v>
      </c>
      <c r="G168" s="5" t="s">
        <v>211</v>
      </c>
      <c r="H168" s="84"/>
    </row>
    <row r="169" spans="2:8" x14ac:dyDescent="0.35">
      <c r="B169" s="104" t="s">
        <v>134</v>
      </c>
      <c r="C169" s="5" t="s">
        <v>117</v>
      </c>
      <c r="D169" s="87"/>
      <c r="E169" s="101">
        <v>38622.480000000003</v>
      </c>
      <c r="F169" s="5" t="s">
        <v>129</v>
      </c>
      <c r="G169" s="5" t="s">
        <v>211</v>
      </c>
      <c r="H169" s="84"/>
    </row>
    <row r="170" spans="2:8" x14ac:dyDescent="0.35">
      <c r="B170" s="104" t="s">
        <v>134</v>
      </c>
      <c r="C170" s="5" t="s">
        <v>117</v>
      </c>
      <c r="D170" s="87"/>
      <c r="E170" s="101">
        <v>38622.480000000003</v>
      </c>
      <c r="F170" s="5" t="s">
        <v>129</v>
      </c>
      <c r="G170" s="5" t="s">
        <v>211</v>
      </c>
      <c r="H170" s="84"/>
    </row>
    <row r="171" spans="2:8" x14ac:dyDescent="0.35">
      <c r="B171" s="104" t="s">
        <v>134</v>
      </c>
      <c r="C171" s="5" t="s">
        <v>117</v>
      </c>
      <c r="D171" s="87"/>
      <c r="E171" s="101">
        <v>38622.480000000003</v>
      </c>
      <c r="F171" s="5" t="s">
        <v>129</v>
      </c>
      <c r="G171" s="5" t="s">
        <v>211</v>
      </c>
      <c r="H171" s="84"/>
    </row>
    <row r="172" spans="2:8" x14ac:dyDescent="0.35">
      <c r="B172" s="104" t="s">
        <v>134</v>
      </c>
      <c r="C172" s="5" t="s">
        <v>117</v>
      </c>
      <c r="D172" s="87"/>
      <c r="E172" s="101">
        <v>38622.480000000003</v>
      </c>
      <c r="F172" s="5" t="s">
        <v>129</v>
      </c>
      <c r="G172" s="5" t="s">
        <v>211</v>
      </c>
      <c r="H172" s="84"/>
    </row>
    <row r="173" spans="2:8" x14ac:dyDescent="0.35">
      <c r="B173" s="104" t="s">
        <v>134</v>
      </c>
      <c r="C173" s="5" t="s">
        <v>117</v>
      </c>
      <c r="D173" s="87"/>
      <c r="E173" s="101">
        <v>38622.480000000003</v>
      </c>
      <c r="F173" s="5" t="s">
        <v>129</v>
      </c>
      <c r="G173" s="5" t="s">
        <v>211</v>
      </c>
      <c r="H173" s="84"/>
    </row>
    <row r="174" spans="2:8" x14ac:dyDescent="0.35">
      <c r="B174" s="104" t="s">
        <v>134</v>
      </c>
      <c r="C174" s="5" t="s">
        <v>117</v>
      </c>
      <c r="D174" s="87"/>
      <c r="E174" s="101">
        <v>38622.480000000003</v>
      </c>
      <c r="F174" s="5" t="s">
        <v>129</v>
      </c>
      <c r="G174" s="5" t="s">
        <v>211</v>
      </c>
      <c r="H174" s="84"/>
    </row>
    <row r="175" spans="2:8" x14ac:dyDescent="0.35">
      <c r="B175" s="104" t="s">
        <v>134</v>
      </c>
      <c r="C175" s="5" t="s">
        <v>117</v>
      </c>
      <c r="D175" s="87"/>
      <c r="E175" s="101">
        <v>38622.480000000003</v>
      </c>
      <c r="F175" s="5" t="s">
        <v>129</v>
      </c>
      <c r="G175" s="5" t="s">
        <v>211</v>
      </c>
      <c r="H175" s="84"/>
    </row>
    <row r="176" spans="2:8" x14ac:dyDescent="0.35">
      <c r="B176" s="104" t="s">
        <v>134</v>
      </c>
      <c r="C176" s="5" t="s">
        <v>117</v>
      </c>
      <c r="D176" s="87"/>
      <c r="E176" s="101">
        <v>38622.480000000003</v>
      </c>
      <c r="F176" s="5" t="s">
        <v>129</v>
      </c>
      <c r="G176" s="5" t="s">
        <v>211</v>
      </c>
      <c r="H176" s="84"/>
    </row>
    <row r="177" spans="2:8" x14ac:dyDescent="0.35">
      <c r="B177" s="104" t="s">
        <v>134</v>
      </c>
      <c r="C177" s="5" t="s">
        <v>117</v>
      </c>
      <c r="D177" s="87"/>
      <c r="E177" s="101">
        <v>38622.480000000003</v>
      </c>
      <c r="F177" s="5" t="s">
        <v>129</v>
      </c>
      <c r="G177" s="5" t="s">
        <v>211</v>
      </c>
      <c r="H177" s="84"/>
    </row>
    <row r="178" spans="2:8" x14ac:dyDescent="0.35">
      <c r="B178" s="104" t="s">
        <v>134</v>
      </c>
      <c r="C178" s="5" t="s">
        <v>117</v>
      </c>
      <c r="D178" s="87"/>
      <c r="E178" s="101">
        <v>38622.480000000003</v>
      </c>
      <c r="F178" s="5" t="s">
        <v>129</v>
      </c>
      <c r="G178" s="5" t="s">
        <v>211</v>
      </c>
      <c r="H178" s="84"/>
    </row>
    <row r="179" spans="2:8" x14ac:dyDescent="0.35">
      <c r="B179" s="104" t="s">
        <v>134</v>
      </c>
      <c r="C179" s="5" t="s">
        <v>117</v>
      </c>
      <c r="D179" s="87"/>
      <c r="E179" s="101">
        <v>38622.480000000003</v>
      </c>
      <c r="F179" s="5" t="s">
        <v>129</v>
      </c>
      <c r="G179" s="5" t="s">
        <v>211</v>
      </c>
      <c r="H179" s="84"/>
    </row>
    <row r="180" spans="2:8" x14ac:dyDescent="0.35">
      <c r="B180" s="104" t="s">
        <v>134</v>
      </c>
      <c r="C180" s="5" t="s">
        <v>117</v>
      </c>
      <c r="D180" s="87"/>
      <c r="E180" s="101">
        <v>38622.480000000003</v>
      </c>
      <c r="F180" s="5" t="s">
        <v>129</v>
      </c>
      <c r="G180" s="5" t="s">
        <v>211</v>
      </c>
      <c r="H180" s="84"/>
    </row>
    <row r="181" spans="2:8" x14ac:dyDescent="0.35">
      <c r="B181" s="104" t="s">
        <v>134</v>
      </c>
      <c r="C181" s="5" t="s">
        <v>117</v>
      </c>
      <c r="D181" s="87"/>
      <c r="E181" s="101">
        <v>38622.480000000003</v>
      </c>
      <c r="F181" s="5" t="s">
        <v>129</v>
      </c>
      <c r="G181" s="5" t="s">
        <v>211</v>
      </c>
      <c r="H181" s="84"/>
    </row>
    <row r="182" spans="2:8" x14ac:dyDescent="0.35">
      <c r="B182" s="104" t="s">
        <v>134</v>
      </c>
      <c r="C182" s="5" t="s">
        <v>117</v>
      </c>
      <c r="D182" s="87"/>
      <c r="E182" s="101">
        <v>38622.480000000003</v>
      </c>
      <c r="F182" s="5" t="s">
        <v>129</v>
      </c>
      <c r="G182" s="5" t="s">
        <v>211</v>
      </c>
      <c r="H182" s="84"/>
    </row>
    <row r="183" spans="2:8" x14ac:dyDescent="0.35">
      <c r="B183" s="104" t="s">
        <v>134</v>
      </c>
      <c r="C183" s="5" t="s">
        <v>117</v>
      </c>
      <c r="D183" s="87"/>
      <c r="E183" s="101">
        <v>38622.480000000003</v>
      </c>
      <c r="F183" s="5" t="s">
        <v>129</v>
      </c>
      <c r="G183" s="5" t="s">
        <v>211</v>
      </c>
      <c r="H183" s="84"/>
    </row>
    <row r="184" spans="2:8" x14ac:dyDescent="0.35">
      <c r="B184" s="104" t="s">
        <v>134</v>
      </c>
      <c r="C184" s="5" t="s">
        <v>117</v>
      </c>
      <c r="D184" s="87"/>
      <c r="E184" s="101">
        <v>38622.480000000003</v>
      </c>
      <c r="F184" s="5" t="s">
        <v>129</v>
      </c>
      <c r="G184" s="5" t="s">
        <v>211</v>
      </c>
      <c r="H184" s="84"/>
    </row>
    <row r="185" spans="2:8" x14ac:dyDescent="0.35">
      <c r="B185" s="104" t="s">
        <v>134</v>
      </c>
      <c r="C185" s="5" t="s">
        <v>117</v>
      </c>
      <c r="D185" s="87"/>
      <c r="E185" s="101">
        <v>38622.480000000003</v>
      </c>
      <c r="F185" s="5" t="s">
        <v>129</v>
      </c>
      <c r="G185" s="5" t="s">
        <v>211</v>
      </c>
      <c r="H185" s="84"/>
    </row>
    <row r="186" spans="2:8" x14ac:dyDescent="0.35">
      <c r="B186" s="104" t="s">
        <v>134</v>
      </c>
      <c r="C186" s="5" t="s">
        <v>117</v>
      </c>
      <c r="D186" s="87"/>
      <c r="E186" s="101">
        <v>38622.480000000003</v>
      </c>
      <c r="F186" s="5" t="s">
        <v>129</v>
      </c>
      <c r="G186" s="5" t="s">
        <v>211</v>
      </c>
      <c r="H186" s="84"/>
    </row>
    <row r="187" spans="2:8" x14ac:dyDescent="0.35">
      <c r="B187" s="104" t="s">
        <v>134</v>
      </c>
      <c r="C187" s="5" t="s">
        <v>117</v>
      </c>
      <c r="D187" s="87"/>
      <c r="E187" s="101">
        <v>38622.480000000003</v>
      </c>
      <c r="F187" s="5" t="s">
        <v>129</v>
      </c>
      <c r="G187" s="5" t="s">
        <v>211</v>
      </c>
      <c r="H187" s="84"/>
    </row>
    <row r="188" spans="2:8" x14ac:dyDescent="0.35">
      <c r="B188" s="104" t="s">
        <v>134</v>
      </c>
      <c r="C188" s="5" t="s">
        <v>117</v>
      </c>
      <c r="D188" s="87"/>
      <c r="E188" s="101">
        <v>38622.480000000003</v>
      </c>
      <c r="F188" s="5" t="s">
        <v>129</v>
      </c>
      <c r="G188" s="5" t="s">
        <v>211</v>
      </c>
      <c r="H188" s="84"/>
    </row>
    <row r="189" spans="2:8" x14ac:dyDescent="0.35">
      <c r="B189" s="104" t="s">
        <v>134</v>
      </c>
      <c r="C189" s="5" t="s">
        <v>117</v>
      </c>
      <c r="D189" s="87"/>
      <c r="E189" s="101">
        <v>38622.480000000003</v>
      </c>
      <c r="F189" s="5" t="s">
        <v>129</v>
      </c>
      <c r="G189" s="5" t="s">
        <v>211</v>
      </c>
      <c r="H189" s="84"/>
    </row>
    <row r="190" spans="2:8" x14ac:dyDescent="0.35">
      <c r="B190" s="104" t="s">
        <v>134</v>
      </c>
      <c r="C190" s="5" t="s">
        <v>117</v>
      </c>
      <c r="D190" s="87"/>
      <c r="E190" s="101">
        <v>40567.47</v>
      </c>
      <c r="F190" s="5" t="s">
        <v>129</v>
      </c>
      <c r="G190" s="5" t="s">
        <v>211</v>
      </c>
      <c r="H190" s="84"/>
    </row>
    <row r="191" spans="2:8" x14ac:dyDescent="0.35">
      <c r="B191" s="104" t="s">
        <v>134</v>
      </c>
      <c r="C191" s="5" t="s">
        <v>117</v>
      </c>
      <c r="D191" s="87"/>
      <c r="E191" s="101">
        <v>42380.71</v>
      </c>
      <c r="F191" s="5" t="s">
        <v>129</v>
      </c>
      <c r="G191" s="5" t="s">
        <v>211</v>
      </c>
      <c r="H191" s="84"/>
    </row>
    <row r="192" spans="2:8" x14ac:dyDescent="0.35">
      <c r="B192" s="104" t="s">
        <v>134</v>
      </c>
      <c r="C192" s="5" t="s">
        <v>117</v>
      </c>
      <c r="D192" s="87"/>
      <c r="E192" s="101">
        <v>48103.18</v>
      </c>
      <c r="F192" s="5" t="s">
        <v>129</v>
      </c>
      <c r="G192" s="5" t="s">
        <v>211</v>
      </c>
      <c r="H192" s="84"/>
    </row>
    <row r="193" spans="2:8" x14ac:dyDescent="0.35">
      <c r="B193" s="104" t="s">
        <v>134</v>
      </c>
      <c r="C193" s="5" t="s">
        <v>117</v>
      </c>
      <c r="D193" s="87"/>
      <c r="E193" s="101">
        <v>51496.639999999999</v>
      </c>
      <c r="F193" s="5" t="s">
        <v>129</v>
      </c>
      <c r="G193" s="5" t="s">
        <v>211</v>
      </c>
      <c r="H193" s="84"/>
    </row>
    <row r="194" spans="2:8" x14ac:dyDescent="0.35">
      <c r="B194" s="104" t="s">
        <v>134</v>
      </c>
      <c r="C194" s="5" t="s">
        <v>117</v>
      </c>
      <c r="D194" s="87"/>
      <c r="E194" s="101">
        <v>51496.639999999999</v>
      </c>
      <c r="F194" s="5" t="s">
        <v>129</v>
      </c>
      <c r="G194" s="5" t="s">
        <v>211</v>
      </c>
      <c r="H194" s="84"/>
    </row>
    <row r="195" spans="2:8" x14ac:dyDescent="0.35">
      <c r="B195" s="104" t="s">
        <v>134</v>
      </c>
      <c r="C195" s="5" t="s">
        <v>117</v>
      </c>
      <c r="D195" s="87"/>
      <c r="E195" s="101">
        <v>51496.639999999999</v>
      </c>
      <c r="F195" s="5" t="s">
        <v>129</v>
      </c>
      <c r="G195" s="5" t="s">
        <v>211</v>
      </c>
      <c r="H195" s="84"/>
    </row>
    <row r="196" spans="2:8" x14ac:dyDescent="0.35">
      <c r="B196" s="104" t="s">
        <v>134</v>
      </c>
      <c r="C196" s="5" t="s">
        <v>117</v>
      </c>
      <c r="D196" s="87"/>
      <c r="E196" s="101">
        <v>51496.639999999999</v>
      </c>
      <c r="F196" s="5" t="s">
        <v>129</v>
      </c>
      <c r="G196" s="5" t="s">
        <v>211</v>
      </c>
      <c r="H196" s="84"/>
    </row>
    <row r="197" spans="2:8" x14ac:dyDescent="0.35">
      <c r="B197" s="104" t="s">
        <v>134</v>
      </c>
      <c r="C197" s="5" t="s">
        <v>117</v>
      </c>
      <c r="D197" s="87"/>
      <c r="E197" s="101">
        <v>51496.639999999999</v>
      </c>
      <c r="F197" s="5" t="s">
        <v>129</v>
      </c>
      <c r="G197" s="5" t="s">
        <v>211</v>
      </c>
      <c r="H197" s="84"/>
    </row>
    <row r="198" spans="2:8" x14ac:dyDescent="0.35">
      <c r="B198" s="104" t="s">
        <v>134</v>
      </c>
      <c r="C198" s="5" t="s">
        <v>117</v>
      </c>
      <c r="D198" s="87"/>
      <c r="E198" s="101">
        <v>51496.639999999999</v>
      </c>
      <c r="F198" s="5" t="s">
        <v>129</v>
      </c>
      <c r="G198" s="5" t="s">
        <v>211</v>
      </c>
      <c r="H198" s="84"/>
    </row>
    <row r="199" spans="2:8" x14ac:dyDescent="0.35">
      <c r="B199" s="104" t="s">
        <v>134</v>
      </c>
      <c r="C199" s="5" t="s">
        <v>117</v>
      </c>
      <c r="D199" s="87"/>
      <c r="E199" s="101">
        <v>77244.960000000006</v>
      </c>
      <c r="F199" s="5" t="s">
        <v>129</v>
      </c>
      <c r="G199" s="5" t="s">
        <v>211</v>
      </c>
      <c r="H199" s="84"/>
    </row>
    <row r="200" spans="2:8" x14ac:dyDescent="0.35">
      <c r="B200" s="104" t="s">
        <v>134</v>
      </c>
      <c r="C200" s="5" t="s">
        <v>117</v>
      </c>
      <c r="D200" s="87"/>
      <c r="E200" s="101">
        <v>77244.960000000006</v>
      </c>
      <c r="F200" s="5" t="s">
        <v>129</v>
      </c>
      <c r="G200" s="5" t="s">
        <v>211</v>
      </c>
      <c r="H200" s="84"/>
    </row>
    <row r="201" spans="2:8" x14ac:dyDescent="0.35">
      <c r="B201" s="104" t="s">
        <v>134</v>
      </c>
      <c r="C201" s="5" t="s">
        <v>117</v>
      </c>
      <c r="D201" s="87"/>
      <c r="E201" s="101">
        <v>84888.77</v>
      </c>
      <c r="F201" s="5" t="s">
        <v>129</v>
      </c>
      <c r="G201" s="5" t="s">
        <v>211</v>
      </c>
      <c r="H201" s="84"/>
    </row>
    <row r="202" spans="2:8" x14ac:dyDescent="0.35">
      <c r="B202" s="104" t="s">
        <v>134</v>
      </c>
      <c r="C202" s="5" t="s">
        <v>104</v>
      </c>
      <c r="D202" s="87"/>
      <c r="E202" s="101">
        <v>89898.9</v>
      </c>
      <c r="F202" s="5" t="s">
        <v>106</v>
      </c>
      <c r="G202" s="5" t="s">
        <v>212</v>
      </c>
      <c r="H202" s="84"/>
    </row>
    <row r="203" spans="2:8" x14ac:dyDescent="0.35">
      <c r="B203" s="104" t="s">
        <v>134</v>
      </c>
      <c r="C203" s="5" t="s">
        <v>117</v>
      </c>
      <c r="D203" s="87"/>
      <c r="E203" s="101">
        <v>92248.31</v>
      </c>
      <c r="F203" s="5" t="s">
        <v>129</v>
      </c>
      <c r="G203" s="5" t="s">
        <v>211</v>
      </c>
      <c r="H203" s="84"/>
    </row>
    <row r="204" spans="2:8" x14ac:dyDescent="0.35">
      <c r="B204" s="104" t="s">
        <v>134</v>
      </c>
      <c r="C204" s="5" t="s">
        <v>117</v>
      </c>
      <c r="D204" s="87"/>
      <c r="E204" s="101">
        <v>133693.20000000001</v>
      </c>
      <c r="F204" s="5" t="s">
        <v>129</v>
      </c>
      <c r="G204" s="5" t="s">
        <v>211</v>
      </c>
      <c r="H204" s="84"/>
    </row>
    <row r="205" spans="2:8" x14ac:dyDescent="0.35">
      <c r="B205" s="104" t="s">
        <v>134</v>
      </c>
      <c r="C205" s="5" t="s">
        <v>117</v>
      </c>
      <c r="D205" s="87"/>
      <c r="E205" s="101">
        <v>192549.34</v>
      </c>
      <c r="F205" s="5" t="s">
        <v>129</v>
      </c>
      <c r="G205" s="5" t="s">
        <v>211</v>
      </c>
      <c r="H205" s="84"/>
    </row>
    <row r="206" spans="2:8" x14ac:dyDescent="0.35">
      <c r="B206" s="104" t="s">
        <v>134</v>
      </c>
      <c r="C206" s="5" t="s">
        <v>104</v>
      </c>
      <c r="D206" s="87"/>
      <c r="E206" s="101">
        <v>204979.84</v>
      </c>
      <c r="F206" s="5" t="s">
        <v>106</v>
      </c>
      <c r="G206" s="5" t="s">
        <v>212</v>
      </c>
      <c r="H206" s="84"/>
    </row>
    <row r="207" spans="2:8" x14ac:dyDescent="0.35">
      <c r="B207" s="104" t="s">
        <v>134</v>
      </c>
      <c r="C207" s="5" t="s">
        <v>117</v>
      </c>
      <c r="D207" s="87"/>
      <c r="E207" s="101">
        <v>225269.11</v>
      </c>
      <c r="F207" s="5" t="s">
        <v>129</v>
      </c>
      <c r="G207" s="5" t="s">
        <v>211</v>
      </c>
      <c r="H207" s="84"/>
    </row>
    <row r="208" spans="2:8" x14ac:dyDescent="0.35">
      <c r="B208" s="104" t="s">
        <v>134</v>
      </c>
      <c r="C208" s="5" t="s">
        <v>117</v>
      </c>
      <c r="D208" s="87"/>
      <c r="E208" s="101">
        <v>232936.33</v>
      </c>
      <c r="F208" s="5" t="s">
        <v>129</v>
      </c>
      <c r="G208" s="5" t="s">
        <v>211</v>
      </c>
      <c r="H208" s="84"/>
    </row>
    <row r="209" spans="2:8" x14ac:dyDescent="0.35">
      <c r="B209" s="104" t="s">
        <v>134</v>
      </c>
      <c r="C209" s="5" t="s">
        <v>104</v>
      </c>
      <c r="D209" s="87"/>
      <c r="E209" s="101">
        <v>274833.78000000003</v>
      </c>
      <c r="F209" s="5" t="s">
        <v>106</v>
      </c>
      <c r="G209" s="5" t="s">
        <v>212</v>
      </c>
      <c r="H209" s="84"/>
    </row>
    <row r="210" spans="2:8" x14ac:dyDescent="0.35">
      <c r="B210" s="104" t="s">
        <v>134</v>
      </c>
      <c r="C210" s="5" t="s">
        <v>104</v>
      </c>
      <c r="D210" s="87"/>
      <c r="E210" s="101">
        <v>280540.21000000002</v>
      </c>
      <c r="F210" s="5" t="s">
        <v>106</v>
      </c>
      <c r="G210" s="5" t="s">
        <v>212</v>
      </c>
      <c r="H210" s="84"/>
    </row>
    <row r="211" spans="2:8" x14ac:dyDescent="0.35">
      <c r="B211" s="104" t="s">
        <v>134</v>
      </c>
      <c r="C211" s="5" t="s">
        <v>117</v>
      </c>
      <c r="D211" s="87"/>
      <c r="E211" s="101">
        <v>310581.78000000003</v>
      </c>
      <c r="F211" s="5" t="s">
        <v>129</v>
      </c>
      <c r="G211" s="5" t="s">
        <v>211</v>
      </c>
      <c r="H211" s="84"/>
    </row>
    <row r="212" spans="2:8" x14ac:dyDescent="0.35">
      <c r="B212" s="104" t="s">
        <v>134</v>
      </c>
      <c r="C212" s="5" t="s">
        <v>104</v>
      </c>
      <c r="D212" s="87"/>
      <c r="E212" s="101">
        <v>314646.15000000002</v>
      </c>
      <c r="F212" s="5" t="s">
        <v>106</v>
      </c>
      <c r="G212" s="5" t="s">
        <v>212</v>
      </c>
      <c r="H212" s="84"/>
    </row>
    <row r="213" spans="2:8" x14ac:dyDescent="0.35">
      <c r="B213" s="104" t="s">
        <v>134</v>
      </c>
      <c r="C213" s="5" t="s">
        <v>104</v>
      </c>
      <c r="D213" s="87"/>
      <c r="E213" s="101">
        <v>388263.53</v>
      </c>
      <c r="F213" s="5" t="s">
        <v>106</v>
      </c>
      <c r="G213" s="5" t="s">
        <v>213</v>
      </c>
      <c r="H213" s="84"/>
    </row>
    <row r="214" spans="2:8" x14ac:dyDescent="0.35">
      <c r="B214" s="104" t="s">
        <v>134</v>
      </c>
      <c r="C214" s="5" t="s">
        <v>104</v>
      </c>
      <c r="D214" s="87"/>
      <c r="E214" s="101">
        <v>463891.87</v>
      </c>
      <c r="F214" s="5" t="s">
        <v>106</v>
      </c>
      <c r="G214" s="5" t="s">
        <v>212</v>
      </c>
      <c r="H214" s="84"/>
    </row>
    <row r="215" spans="2:8" x14ac:dyDescent="0.35">
      <c r="B215" s="104" t="s">
        <v>134</v>
      </c>
      <c r="C215" s="5" t="s">
        <v>104</v>
      </c>
      <c r="D215" s="87"/>
      <c r="E215" s="101">
        <v>1163892.73</v>
      </c>
      <c r="F215" s="5" t="s">
        <v>106</v>
      </c>
      <c r="G215" s="5" t="s">
        <v>213</v>
      </c>
      <c r="H215" s="84"/>
    </row>
    <row r="216" spans="2:8" x14ac:dyDescent="0.35">
      <c r="B216" s="104" t="s">
        <v>134</v>
      </c>
      <c r="C216" s="5" t="s">
        <v>117</v>
      </c>
      <c r="D216" s="87"/>
      <c r="E216" s="101">
        <v>2029051.79</v>
      </c>
      <c r="F216" s="5" t="s">
        <v>118</v>
      </c>
      <c r="G216" s="5" t="s">
        <v>214</v>
      </c>
      <c r="H216" s="84"/>
    </row>
    <row r="217" spans="2:8" x14ac:dyDescent="0.35">
      <c r="B217" s="104" t="s">
        <v>134</v>
      </c>
      <c r="C217" s="5" t="s">
        <v>132</v>
      </c>
      <c r="D217" s="101">
        <v>38622.480000000003</v>
      </c>
      <c r="E217" s="101"/>
      <c r="F217" s="5" t="s">
        <v>133</v>
      </c>
      <c r="G217" s="5" t="s">
        <v>211</v>
      </c>
      <c r="H217" s="84"/>
    </row>
    <row r="218" spans="2:8" x14ac:dyDescent="0.35">
      <c r="B218" s="104" t="s">
        <v>135</v>
      </c>
      <c r="C218" s="5" t="s">
        <v>117</v>
      </c>
      <c r="D218" s="87"/>
      <c r="E218" s="101">
        <v>12874.16</v>
      </c>
      <c r="F218" s="5" t="s">
        <v>129</v>
      </c>
      <c r="G218" s="5" t="s">
        <v>215</v>
      </c>
      <c r="H218" s="84"/>
    </row>
    <row r="219" spans="2:8" x14ac:dyDescent="0.35">
      <c r="B219" s="104" t="s">
        <v>135</v>
      </c>
      <c r="C219" s="5" t="s">
        <v>117</v>
      </c>
      <c r="D219" s="87"/>
      <c r="E219" s="101">
        <v>19311.240000000002</v>
      </c>
      <c r="F219" s="5" t="s">
        <v>129</v>
      </c>
      <c r="G219" s="5" t="s">
        <v>215</v>
      </c>
      <c r="H219" s="84"/>
    </row>
    <row r="220" spans="2:8" x14ac:dyDescent="0.35">
      <c r="B220" s="104" t="s">
        <v>135</v>
      </c>
      <c r="C220" s="5" t="s">
        <v>117</v>
      </c>
      <c r="D220" s="87"/>
      <c r="E220" s="101">
        <v>19311.240000000002</v>
      </c>
      <c r="F220" s="5" t="s">
        <v>129</v>
      </c>
      <c r="G220" s="5" t="s">
        <v>215</v>
      </c>
      <c r="H220" s="84"/>
    </row>
    <row r="221" spans="2:8" x14ac:dyDescent="0.35">
      <c r="B221" s="104" t="s">
        <v>135</v>
      </c>
      <c r="C221" s="5" t="s">
        <v>117</v>
      </c>
      <c r="D221" s="87"/>
      <c r="E221" s="101">
        <v>19311.240000000002</v>
      </c>
      <c r="F221" s="5" t="s">
        <v>129</v>
      </c>
      <c r="G221" s="5" t="s">
        <v>215</v>
      </c>
      <c r="H221" s="84"/>
    </row>
    <row r="222" spans="2:8" x14ac:dyDescent="0.35">
      <c r="B222" s="104" t="s">
        <v>135</v>
      </c>
      <c r="C222" s="5" t="s">
        <v>117</v>
      </c>
      <c r="D222" s="87"/>
      <c r="E222" s="101">
        <v>25748.32</v>
      </c>
      <c r="F222" s="5" t="s">
        <v>129</v>
      </c>
      <c r="G222" s="5" t="s">
        <v>215</v>
      </c>
      <c r="H222" s="84"/>
    </row>
    <row r="223" spans="2:8" x14ac:dyDescent="0.35">
      <c r="B223" s="104" t="s">
        <v>135</v>
      </c>
      <c r="C223" s="5" t="s">
        <v>117</v>
      </c>
      <c r="D223" s="87"/>
      <c r="E223" s="101">
        <v>25748.32</v>
      </c>
      <c r="F223" s="5" t="s">
        <v>129</v>
      </c>
      <c r="G223" s="5" t="s">
        <v>215</v>
      </c>
      <c r="H223" s="84"/>
    </row>
    <row r="224" spans="2:8" x14ac:dyDescent="0.35">
      <c r="B224" s="104" t="s">
        <v>135</v>
      </c>
      <c r="C224" s="5" t="s">
        <v>117</v>
      </c>
      <c r="D224" s="87"/>
      <c r="E224" s="101">
        <v>28281.93</v>
      </c>
      <c r="F224" s="5" t="s">
        <v>129</v>
      </c>
      <c r="G224" s="5" t="s">
        <v>215</v>
      </c>
      <c r="H224" s="84"/>
    </row>
    <row r="225" spans="2:8" x14ac:dyDescent="0.35">
      <c r="B225" s="104" t="s">
        <v>135</v>
      </c>
      <c r="C225" s="5" t="s">
        <v>104</v>
      </c>
      <c r="D225" s="87"/>
      <c r="E225" s="101">
        <v>30444.959999999999</v>
      </c>
      <c r="F225" s="5" t="s">
        <v>106</v>
      </c>
      <c r="G225" s="5" t="s">
        <v>216</v>
      </c>
      <c r="H225" s="84"/>
    </row>
    <row r="226" spans="2:8" x14ac:dyDescent="0.35">
      <c r="B226" s="104" t="s">
        <v>135</v>
      </c>
      <c r="C226" s="5" t="s">
        <v>104</v>
      </c>
      <c r="D226" s="87"/>
      <c r="E226" s="101">
        <v>30822.48</v>
      </c>
      <c r="F226" s="5" t="s">
        <v>106</v>
      </c>
      <c r="G226" s="5" t="s">
        <v>217</v>
      </c>
      <c r="H226" s="84"/>
    </row>
    <row r="227" spans="2:8" x14ac:dyDescent="0.35">
      <c r="B227" s="104" t="s">
        <v>135</v>
      </c>
      <c r="C227" s="5" t="s">
        <v>117</v>
      </c>
      <c r="D227" s="87"/>
      <c r="E227" s="101">
        <v>30897.98</v>
      </c>
      <c r="F227" s="5" t="s">
        <v>129</v>
      </c>
      <c r="G227" s="5" t="s">
        <v>215</v>
      </c>
      <c r="H227" s="84"/>
    </row>
    <row r="228" spans="2:8" x14ac:dyDescent="0.35">
      <c r="B228" s="104" t="s">
        <v>135</v>
      </c>
      <c r="C228" s="5" t="s">
        <v>117</v>
      </c>
      <c r="D228" s="87"/>
      <c r="E228" s="101">
        <v>30897.98</v>
      </c>
      <c r="F228" s="5" t="s">
        <v>129</v>
      </c>
      <c r="G228" s="5" t="s">
        <v>215</v>
      </c>
      <c r="H228" s="84"/>
    </row>
    <row r="229" spans="2:8" x14ac:dyDescent="0.35">
      <c r="B229" s="104" t="s">
        <v>135</v>
      </c>
      <c r="C229" s="5" t="s">
        <v>117</v>
      </c>
      <c r="D229" s="87"/>
      <c r="E229" s="101">
        <v>35772.22</v>
      </c>
      <c r="F229" s="5" t="s">
        <v>129</v>
      </c>
      <c r="G229" s="5" t="s">
        <v>215</v>
      </c>
      <c r="H229" s="84"/>
    </row>
    <row r="230" spans="2:8" x14ac:dyDescent="0.35">
      <c r="B230" s="104" t="s">
        <v>135</v>
      </c>
      <c r="C230" s="5" t="s">
        <v>117</v>
      </c>
      <c r="D230" s="87"/>
      <c r="E230" s="101">
        <v>38622.480000000003</v>
      </c>
      <c r="F230" s="5" t="s">
        <v>129</v>
      </c>
      <c r="G230" s="5" t="s">
        <v>215</v>
      </c>
      <c r="H230" s="84"/>
    </row>
    <row r="231" spans="2:8" x14ac:dyDescent="0.35">
      <c r="B231" s="104" t="s">
        <v>135</v>
      </c>
      <c r="C231" s="5" t="s">
        <v>117</v>
      </c>
      <c r="D231" s="87"/>
      <c r="E231" s="101">
        <v>38622.480000000003</v>
      </c>
      <c r="F231" s="5" t="s">
        <v>129</v>
      </c>
      <c r="G231" s="5" t="s">
        <v>215</v>
      </c>
      <c r="H231" s="84"/>
    </row>
    <row r="232" spans="2:8" x14ac:dyDescent="0.35">
      <c r="B232" s="104" t="s">
        <v>135</v>
      </c>
      <c r="C232" s="5" t="s">
        <v>117</v>
      </c>
      <c r="D232" s="87"/>
      <c r="E232" s="101">
        <v>38622.480000000003</v>
      </c>
      <c r="F232" s="5" t="s">
        <v>129</v>
      </c>
      <c r="G232" s="5" t="s">
        <v>215</v>
      </c>
      <c r="H232" s="84"/>
    </row>
    <row r="233" spans="2:8" x14ac:dyDescent="0.35">
      <c r="B233" s="104" t="s">
        <v>135</v>
      </c>
      <c r="C233" s="5" t="s">
        <v>117</v>
      </c>
      <c r="D233" s="87"/>
      <c r="E233" s="101">
        <v>38622.480000000003</v>
      </c>
      <c r="F233" s="5" t="s">
        <v>129</v>
      </c>
      <c r="G233" s="5" t="s">
        <v>215</v>
      </c>
      <c r="H233" s="84"/>
    </row>
    <row r="234" spans="2:8" x14ac:dyDescent="0.35">
      <c r="B234" s="104" t="s">
        <v>135</v>
      </c>
      <c r="C234" s="5" t="s">
        <v>117</v>
      </c>
      <c r="D234" s="87"/>
      <c r="E234" s="101">
        <v>38622.480000000003</v>
      </c>
      <c r="F234" s="5" t="s">
        <v>129</v>
      </c>
      <c r="G234" s="5" t="s">
        <v>215</v>
      </c>
      <c r="H234" s="84"/>
    </row>
    <row r="235" spans="2:8" x14ac:dyDescent="0.35">
      <c r="B235" s="104" t="s">
        <v>135</v>
      </c>
      <c r="C235" s="5" t="s">
        <v>117</v>
      </c>
      <c r="D235" s="87"/>
      <c r="E235" s="101">
        <v>38622.480000000003</v>
      </c>
      <c r="F235" s="5" t="s">
        <v>129</v>
      </c>
      <c r="G235" s="5" t="s">
        <v>215</v>
      </c>
      <c r="H235" s="84"/>
    </row>
    <row r="236" spans="2:8" x14ac:dyDescent="0.35">
      <c r="B236" s="104" t="s">
        <v>135</v>
      </c>
      <c r="C236" s="5" t="s">
        <v>117</v>
      </c>
      <c r="D236" s="87"/>
      <c r="E236" s="101">
        <v>38622.480000000003</v>
      </c>
      <c r="F236" s="5" t="s">
        <v>129</v>
      </c>
      <c r="G236" s="5" t="s">
        <v>215</v>
      </c>
      <c r="H236" s="84"/>
    </row>
    <row r="237" spans="2:8" x14ac:dyDescent="0.35">
      <c r="B237" s="104" t="s">
        <v>135</v>
      </c>
      <c r="C237" s="5" t="s">
        <v>117</v>
      </c>
      <c r="D237" s="87"/>
      <c r="E237" s="101">
        <v>38622.480000000003</v>
      </c>
      <c r="F237" s="5" t="s">
        <v>129</v>
      </c>
      <c r="G237" s="5" t="s">
        <v>215</v>
      </c>
      <c r="H237" s="84"/>
    </row>
    <row r="238" spans="2:8" x14ac:dyDescent="0.35">
      <c r="B238" s="104" t="s">
        <v>135</v>
      </c>
      <c r="C238" s="5" t="s">
        <v>117</v>
      </c>
      <c r="D238" s="87"/>
      <c r="E238" s="101">
        <v>38622.480000000003</v>
      </c>
      <c r="F238" s="5" t="s">
        <v>129</v>
      </c>
      <c r="G238" s="5" t="s">
        <v>215</v>
      </c>
      <c r="H238" s="84"/>
    </row>
    <row r="239" spans="2:8" x14ac:dyDescent="0.35">
      <c r="B239" s="104" t="s">
        <v>135</v>
      </c>
      <c r="C239" s="5" t="s">
        <v>117</v>
      </c>
      <c r="D239" s="87"/>
      <c r="E239" s="101">
        <v>38622.480000000003</v>
      </c>
      <c r="F239" s="5" t="s">
        <v>129</v>
      </c>
      <c r="G239" s="5" t="s">
        <v>215</v>
      </c>
      <c r="H239" s="84"/>
    </row>
    <row r="240" spans="2:8" x14ac:dyDescent="0.35">
      <c r="B240" s="104" t="s">
        <v>135</v>
      </c>
      <c r="C240" s="5" t="s">
        <v>117</v>
      </c>
      <c r="D240" s="87"/>
      <c r="E240" s="101">
        <v>38622.480000000003</v>
      </c>
      <c r="F240" s="5" t="s">
        <v>129</v>
      </c>
      <c r="G240" s="5" t="s">
        <v>215</v>
      </c>
      <c r="H240" s="84"/>
    </row>
    <row r="241" spans="2:8" x14ac:dyDescent="0.35">
      <c r="B241" s="104" t="s">
        <v>135</v>
      </c>
      <c r="C241" s="5" t="s">
        <v>117</v>
      </c>
      <c r="D241" s="87"/>
      <c r="E241" s="101">
        <v>38622.480000000003</v>
      </c>
      <c r="F241" s="5" t="s">
        <v>129</v>
      </c>
      <c r="G241" s="5" t="s">
        <v>215</v>
      </c>
      <c r="H241" s="84"/>
    </row>
    <row r="242" spans="2:8" x14ac:dyDescent="0.35">
      <c r="B242" s="104" t="s">
        <v>135</v>
      </c>
      <c r="C242" s="5" t="s">
        <v>117</v>
      </c>
      <c r="D242" s="87"/>
      <c r="E242" s="101">
        <v>38622.480000000003</v>
      </c>
      <c r="F242" s="5" t="s">
        <v>129</v>
      </c>
      <c r="G242" s="5" t="s">
        <v>215</v>
      </c>
      <c r="H242" s="84"/>
    </row>
    <row r="243" spans="2:8" x14ac:dyDescent="0.35">
      <c r="B243" s="104" t="s">
        <v>135</v>
      </c>
      <c r="C243" s="5" t="s">
        <v>117</v>
      </c>
      <c r="D243" s="87"/>
      <c r="E243" s="101">
        <v>38622.480000000003</v>
      </c>
      <c r="F243" s="5" t="s">
        <v>129</v>
      </c>
      <c r="G243" s="5" t="s">
        <v>215</v>
      </c>
      <c r="H243" s="84"/>
    </row>
    <row r="244" spans="2:8" x14ac:dyDescent="0.35">
      <c r="B244" s="104" t="s">
        <v>135</v>
      </c>
      <c r="C244" s="5" t="s">
        <v>117</v>
      </c>
      <c r="D244" s="87"/>
      <c r="E244" s="101">
        <v>38622.480000000003</v>
      </c>
      <c r="F244" s="5" t="s">
        <v>129</v>
      </c>
      <c r="G244" s="5" t="s">
        <v>215</v>
      </c>
      <c r="H244" s="84"/>
    </row>
    <row r="245" spans="2:8" x14ac:dyDescent="0.35">
      <c r="B245" s="104" t="s">
        <v>135</v>
      </c>
      <c r="C245" s="5" t="s">
        <v>117</v>
      </c>
      <c r="D245" s="87"/>
      <c r="E245" s="101">
        <v>38622.480000000003</v>
      </c>
      <c r="F245" s="5" t="s">
        <v>129</v>
      </c>
      <c r="G245" s="5" t="s">
        <v>215</v>
      </c>
      <c r="H245" s="84"/>
    </row>
    <row r="246" spans="2:8" x14ac:dyDescent="0.35">
      <c r="B246" s="104" t="s">
        <v>135</v>
      </c>
      <c r="C246" s="5" t="s">
        <v>117</v>
      </c>
      <c r="D246" s="87"/>
      <c r="E246" s="101">
        <v>38622.480000000003</v>
      </c>
      <c r="F246" s="5" t="s">
        <v>129</v>
      </c>
      <c r="G246" s="5" t="s">
        <v>215</v>
      </c>
      <c r="H246" s="84"/>
    </row>
    <row r="247" spans="2:8" x14ac:dyDescent="0.35">
      <c r="B247" s="104" t="s">
        <v>135</v>
      </c>
      <c r="C247" s="5" t="s">
        <v>117</v>
      </c>
      <c r="D247" s="87"/>
      <c r="E247" s="101">
        <v>38622.480000000003</v>
      </c>
      <c r="F247" s="5" t="s">
        <v>129</v>
      </c>
      <c r="G247" s="5" t="s">
        <v>215</v>
      </c>
      <c r="H247" s="84"/>
    </row>
    <row r="248" spans="2:8" x14ac:dyDescent="0.35">
      <c r="B248" s="104" t="s">
        <v>135</v>
      </c>
      <c r="C248" s="5" t="s">
        <v>117</v>
      </c>
      <c r="D248" s="87"/>
      <c r="E248" s="101">
        <v>38622.480000000003</v>
      </c>
      <c r="F248" s="5" t="s">
        <v>129</v>
      </c>
      <c r="G248" s="5" t="s">
        <v>215</v>
      </c>
      <c r="H248" s="84"/>
    </row>
    <row r="249" spans="2:8" x14ac:dyDescent="0.35">
      <c r="B249" s="104" t="s">
        <v>135</v>
      </c>
      <c r="C249" s="5" t="s">
        <v>117</v>
      </c>
      <c r="D249" s="87"/>
      <c r="E249" s="101">
        <v>38622.480000000003</v>
      </c>
      <c r="F249" s="5" t="s">
        <v>129</v>
      </c>
      <c r="G249" s="5" t="s">
        <v>215</v>
      </c>
      <c r="H249" s="84"/>
    </row>
    <row r="250" spans="2:8" x14ac:dyDescent="0.35">
      <c r="B250" s="104" t="s">
        <v>135</v>
      </c>
      <c r="C250" s="5" t="s">
        <v>117</v>
      </c>
      <c r="D250" s="87"/>
      <c r="E250" s="101">
        <v>38622.480000000003</v>
      </c>
      <c r="F250" s="5" t="s">
        <v>129</v>
      </c>
      <c r="G250" s="5" t="s">
        <v>215</v>
      </c>
      <c r="H250" s="84"/>
    </row>
    <row r="251" spans="2:8" x14ac:dyDescent="0.35">
      <c r="B251" s="104" t="s">
        <v>135</v>
      </c>
      <c r="C251" s="5" t="s">
        <v>117</v>
      </c>
      <c r="D251" s="87"/>
      <c r="E251" s="101">
        <v>38622.480000000003</v>
      </c>
      <c r="F251" s="5" t="s">
        <v>129</v>
      </c>
      <c r="G251" s="5" t="s">
        <v>215</v>
      </c>
      <c r="H251" s="84"/>
    </row>
    <row r="252" spans="2:8" x14ac:dyDescent="0.35">
      <c r="B252" s="104" t="s">
        <v>135</v>
      </c>
      <c r="C252" s="5" t="s">
        <v>117</v>
      </c>
      <c r="D252" s="87"/>
      <c r="E252" s="101">
        <v>38622.480000000003</v>
      </c>
      <c r="F252" s="5" t="s">
        <v>129</v>
      </c>
      <c r="G252" s="5" t="s">
        <v>215</v>
      </c>
      <c r="H252" s="84"/>
    </row>
    <row r="253" spans="2:8" x14ac:dyDescent="0.35">
      <c r="B253" s="104" t="s">
        <v>135</v>
      </c>
      <c r="C253" s="5" t="s">
        <v>117</v>
      </c>
      <c r="D253" s="87"/>
      <c r="E253" s="101">
        <v>38622.480000000003</v>
      </c>
      <c r="F253" s="5" t="s">
        <v>129</v>
      </c>
      <c r="G253" s="5" t="s">
        <v>215</v>
      </c>
      <c r="H253" s="84"/>
    </row>
    <row r="254" spans="2:8" x14ac:dyDescent="0.35">
      <c r="B254" s="104" t="s">
        <v>135</v>
      </c>
      <c r="C254" s="5" t="s">
        <v>117</v>
      </c>
      <c r="D254" s="87"/>
      <c r="E254" s="101">
        <v>38622.480000000003</v>
      </c>
      <c r="F254" s="5" t="s">
        <v>129</v>
      </c>
      <c r="G254" s="5" t="s">
        <v>215</v>
      </c>
      <c r="H254" s="84"/>
    </row>
    <row r="255" spans="2:8" x14ac:dyDescent="0.35">
      <c r="B255" s="104" t="s">
        <v>135</v>
      </c>
      <c r="C255" s="5" t="s">
        <v>117</v>
      </c>
      <c r="D255" s="87"/>
      <c r="E255" s="101">
        <v>38622.480000000003</v>
      </c>
      <c r="F255" s="5" t="s">
        <v>129</v>
      </c>
      <c r="G255" s="5" t="s">
        <v>215</v>
      </c>
      <c r="H255" s="84"/>
    </row>
    <row r="256" spans="2:8" x14ac:dyDescent="0.35">
      <c r="B256" s="104" t="s">
        <v>135</v>
      </c>
      <c r="C256" s="5" t="s">
        <v>117</v>
      </c>
      <c r="D256" s="87"/>
      <c r="E256" s="101">
        <v>38622.480000000003</v>
      </c>
      <c r="F256" s="5" t="s">
        <v>129</v>
      </c>
      <c r="G256" s="5" t="s">
        <v>215</v>
      </c>
      <c r="H256" s="84"/>
    </row>
    <row r="257" spans="2:8" x14ac:dyDescent="0.35">
      <c r="B257" s="104" t="s">
        <v>135</v>
      </c>
      <c r="C257" s="5" t="s">
        <v>117</v>
      </c>
      <c r="D257" s="87"/>
      <c r="E257" s="101">
        <v>38622.480000000003</v>
      </c>
      <c r="F257" s="5" t="s">
        <v>129</v>
      </c>
      <c r="G257" s="5" t="s">
        <v>215</v>
      </c>
      <c r="H257" s="84"/>
    </row>
    <row r="258" spans="2:8" x14ac:dyDescent="0.35">
      <c r="B258" s="104" t="s">
        <v>135</v>
      </c>
      <c r="C258" s="5" t="s">
        <v>117</v>
      </c>
      <c r="D258" s="87"/>
      <c r="E258" s="101">
        <v>44623.82</v>
      </c>
      <c r="F258" s="5" t="s">
        <v>129</v>
      </c>
      <c r="G258" s="5" t="s">
        <v>215</v>
      </c>
      <c r="H258" s="84"/>
    </row>
    <row r="259" spans="2:8" x14ac:dyDescent="0.35">
      <c r="B259" s="104" t="s">
        <v>135</v>
      </c>
      <c r="C259" s="5" t="s">
        <v>104</v>
      </c>
      <c r="D259" s="87"/>
      <c r="E259" s="101">
        <v>51370.8</v>
      </c>
      <c r="F259" s="5" t="s">
        <v>106</v>
      </c>
      <c r="G259" s="5" t="s">
        <v>217</v>
      </c>
      <c r="H259" s="84"/>
    </row>
    <row r="260" spans="2:8" x14ac:dyDescent="0.35">
      <c r="B260" s="104" t="s">
        <v>135</v>
      </c>
      <c r="C260" s="5" t="s">
        <v>117</v>
      </c>
      <c r="D260" s="87"/>
      <c r="E260" s="101">
        <v>51496.639999999999</v>
      </c>
      <c r="F260" s="5" t="s">
        <v>129</v>
      </c>
      <c r="G260" s="5" t="s">
        <v>215</v>
      </c>
      <c r="H260" s="84"/>
    </row>
    <row r="261" spans="2:8" x14ac:dyDescent="0.35">
      <c r="B261" s="104" t="s">
        <v>135</v>
      </c>
      <c r="C261" s="5" t="s">
        <v>117</v>
      </c>
      <c r="D261" s="87"/>
      <c r="E261" s="101">
        <v>51496.639999999999</v>
      </c>
      <c r="F261" s="5" t="s">
        <v>129</v>
      </c>
      <c r="G261" s="5" t="s">
        <v>215</v>
      </c>
      <c r="H261" s="84"/>
    </row>
    <row r="262" spans="2:8" x14ac:dyDescent="0.35">
      <c r="B262" s="104" t="s">
        <v>135</v>
      </c>
      <c r="C262" s="5" t="s">
        <v>117</v>
      </c>
      <c r="D262" s="87"/>
      <c r="E262" s="101">
        <v>51496.639999999999</v>
      </c>
      <c r="F262" s="5" t="s">
        <v>129</v>
      </c>
      <c r="G262" s="5" t="s">
        <v>215</v>
      </c>
      <c r="H262" s="84"/>
    </row>
    <row r="263" spans="2:8" x14ac:dyDescent="0.35">
      <c r="B263" s="104" t="s">
        <v>135</v>
      </c>
      <c r="C263" s="5" t="s">
        <v>104</v>
      </c>
      <c r="D263" s="87"/>
      <c r="E263" s="101">
        <v>59193.54</v>
      </c>
      <c r="F263" s="5" t="s">
        <v>106</v>
      </c>
      <c r="G263" s="5" t="s">
        <v>218</v>
      </c>
      <c r="H263" s="84"/>
    </row>
    <row r="264" spans="2:8" x14ac:dyDescent="0.35">
      <c r="B264" s="104" t="s">
        <v>135</v>
      </c>
      <c r="C264" s="5" t="s">
        <v>117</v>
      </c>
      <c r="D264" s="87"/>
      <c r="E264" s="101">
        <v>67143.7</v>
      </c>
      <c r="F264" s="5" t="s">
        <v>129</v>
      </c>
      <c r="G264" s="5" t="s">
        <v>215</v>
      </c>
      <c r="H264" s="84"/>
    </row>
    <row r="265" spans="2:8" x14ac:dyDescent="0.35">
      <c r="B265" s="104" t="s">
        <v>135</v>
      </c>
      <c r="C265" s="5" t="s">
        <v>104</v>
      </c>
      <c r="D265" s="87"/>
      <c r="E265" s="101">
        <v>69769.7</v>
      </c>
      <c r="F265" s="5" t="s">
        <v>106</v>
      </c>
      <c r="G265" s="5" t="s">
        <v>216</v>
      </c>
      <c r="H265" s="84"/>
    </row>
    <row r="266" spans="2:8" x14ac:dyDescent="0.35">
      <c r="B266" s="104" t="s">
        <v>135</v>
      </c>
      <c r="C266" s="5" t="s">
        <v>117</v>
      </c>
      <c r="D266" s="87"/>
      <c r="E266" s="101">
        <v>77244.960000000006</v>
      </c>
      <c r="F266" s="5" t="s">
        <v>129</v>
      </c>
      <c r="G266" s="5" t="s">
        <v>215</v>
      </c>
      <c r="H266" s="84"/>
    </row>
    <row r="267" spans="2:8" x14ac:dyDescent="0.35">
      <c r="B267" s="104" t="s">
        <v>135</v>
      </c>
      <c r="C267" s="5" t="s">
        <v>117</v>
      </c>
      <c r="D267" s="87"/>
      <c r="E267" s="101">
        <v>84523.54</v>
      </c>
      <c r="F267" s="5" t="s">
        <v>129</v>
      </c>
      <c r="G267" s="5" t="s">
        <v>215</v>
      </c>
      <c r="H267" s="84"/>
    </row>
    <row r="268" spans="2:8" x14ac:dyDescent="0.35">
      <c r="B268" s="104" t="s">
        <v>135</v>
      </c>
      <c r="C268" s="5" t="s">
        <v>117</v>
      </c>
      <c r="D268" s="87"/>
      <c r="E268" s="101">
        <v>93836.87</v>
      </c>
      <c r="F268" s="5" t="s">
        <v>129</v>
      </c>
      <c r="G268" s="5" t="s">
        <v>215</v>
      </c>
      <c r="H268" s="84"/>
    </row>
    <row r="269" spans="2:8" x14ac:dyDescent="0.35">
      <c r="B269" s="104" t="s">
        <v>135</v>
      </c>
      <c r="C269" s="5" t="s">
        <v>117</v>
      </c>
      <c r="D269" s="87"/>
      <c r="E269" s="101">
        <v>96556.2</v>
      </c>
      <c r="F269" s="5" t="s">
        <v>129</v>
      </c>
      <c r="G269" s="5" t="s">
        <v>215</v>
      </c>
      <c r="H269" s="84"/>
    </row>
    <row r="270" spans="2:8" x14ac:dyDescent="0.35">
      <c r="B270" s="104" t="s">
        <v>135</v>
      </c>
      <c r="C270" s="5" t="s">
        <v>117</v>
      </c>
      <c r="D270" s="87"/>
      <c r="E270" s="101">
        <v>111356.09</v>
      </c>
      <c r="F270" s="5" t="s">
        <v>129</v>
      </c>
      <c r="G270" s="5" t="s">
        <v>215</v>
      </c>
      <c r="H270" s="84"/>
    </row>
    <row r="271" spans="2:8" x14ac:dyDescent="0.35">
      <c r="B271" s="104" t="s">
        <v>135</v>
      </c>
      <c r="C271" s="5" t="s">
        <v>104</v>
      </c>
      <c r="D271" s="87"/>
      <c r="E271" s="101">
        <v>119385.83</v>
      </c>
      <c r="F271" s="5" t="s">
        <v>106</v>
      </c>
      <c r="G271" s="5" t="s">
        <v>217</v>
      </c>
      <c r="H271" s="84"/>
    </row>
    <row r="272" spans="2:8" x14ac:dyDescent="0.35">
      <c r="B272" s="104" t="s">
        <v>135</v>
      </c>
      <c r="C272" s="5" t="s">
        <v>117</v>
      </c>
      <c r="D272" s="87"/>
      <c r="E272" s="101">
        <v>164469.38</v>
      </c>
      <c r="F272" s="5" t="s">
        <v>129</v>
      </c>
      <c r="G272" s="5" t="s">
        <v>215</v>
      </c>
      <c r="H272" s="84"/>
    </row>
    <row r="273" spans="2:8" x14ac:dyDescent="0.35">
      <c r="B273" s="104" t="s">
        <v>135</v>
      </c>
      <c r="C273" s="5" t="s">
        <v>104</v>
      </c>
      <c r="D273" s="87"/>
      <c r="E273" s="101">
        <v>192640.5</v>
      </c>
      <c r="F273" s="5" t="s">
        <v>106</v>
      </c>
      <c r="G273" s="5" t="s">
        <v>217</v>
      </c>
      <c r="H273" s="84"/>
    </row>
    <row r="274" spans="2:8" x14ac:dyDescent="0.35">
      <c r="B274" s="104" t="s">
        <v>135</v>
      </c>
      <c r="C274" s="5" t="s">
        <v>117</v>
      </c>
      <c r="D274" s="87"/>
      <c r="E274" s="101">
        <v>229814.49</v>
      </c>
      <c r="F274" s="5" t="s">
        <v>129</v>
      </c>
      <c r="G274" s="5" t="s">
        <v>215</v>
      </c>
      <c r="H274" s="84"/>
    </row>
    <row r="275" spans="2:8" x14ac:dyDescent="0.35">
      <c r="B275" s="104" t="s">
        <v>135</v>
      </c>
      <c r="C275" s="5" t="s">
        <v>104</v>
      </c>
      <c r="D275" s="87"/>
      <c r="E275" s="101">
        <v>230602.32</v>
      </c>
      <c r="F275" s="5" t="s">
        <v>106</v>
      </c>
      <c r="G275" s="5" t="s">
        <v>217</v>
      </c>
      <c r="H275" s="84"/>
    </row>
    <row r="276" spans="2:8" x14ac:dyDescent="0.35">
      <c r="B276" s="104" t="s">
        <v>135</v>
      </c>
      <c r="C276" s="5" t="s">
        <v>104</v>
      </c>
      <c r="D276" s="87"/>
      <c r="E276" s="101">
        <v>237433.29</v>
      </c>
      <c r="F276" s="5" t="s">
        <v>106</v>
      </c>
      <c r="G276" s="5" t="s">
        <v>217</v>
      </c>
      <c r="H276" s="84"/>
    </row>
    <row r="277" spans="2:8" x14ac:dyDescent="0.35">
      <c r="B277" s="104" t="s">
        <v>135</v>
      </c>
      <c r="C277" s="5" t="s">
        <v>104</v>
      </c>
      <c r="D277" s="87"/>
      <c r="E277" s="101">
        <v>321067.5</v>
      </c>
      <c r="F277" s="5" t="s">
        <v>106</v>
      </c>
      <c r="G277" s="5" t="s">
        <v>217</v>
      </c>
      <c r="H277" s="84"/>
    </row>
    <row r="278" spans="2:8" x14ac:dyDescent="0.35">
      <c r="B278" s="104" t="s">
        <v>135</v>
      </c>
      <c r="C278" s="5" t="s">
        <v>117</v>
      </c>
      <c r="D278" s="87"/>
      <c r="E278" s="101">
        <v>322574.96000000002</v>
      </c>
      <c r="F278" s="5" t="s">
        <v>129</v>
      </c>
      <c r="G278" s="5" t="s">
        <v>215</v>
      </c>
      <c r="H278" s="84"/>
    </row>
    <row r="279" spans="2:8" x14ac:dyDescent="0.35">
      <c r="B279" s="104" t="s">
        <v>135</v>
      </c>
      <c r="C279" s="5" t="s">
        <v>117</v>
      </c>
      <c r="D279" s="87"/>
      <c r="E279" s="101">
        <v>322574.96000000002</v>
      </c>
      <c r="F279" s="5" t="s">
        <v>129</v>
      </c>
      <c r="G279" s="5" t="s">
        <v>215</v>
      </c>
      <c r="H279" s="84"/>
    </row>
    <row r="280" spans="2:8" x14ac:dyDescent="0.35">
      <c r="B280" s="104" t="s">
        <v>135</v>
      </c>
      <c r="C280" s="5" t="s">
        <v>104</v>
      </c>
      <c r="D280" s="87"/>
      <c r="E280" s="101">
        <v>635719.81999999995</v>
      </c>
      <c r="F280" s="5" t="s">
        <v>106</v>
      </c>
      <c r="G280" s="5" t="s">
        <v>217</v>
      </c>
      <c r="H280" s="84"/>
    </row>
    <row r="281" spans="2:8" x14ac:dyDescent="0.35">
      <c r="B281" s="104" t="s">
        <v>135</v>
      </c>
      <c r="C281" s="5" t="s">
        <v>117</v>
      </c>
      <c r="D281" s="87"/>
      <c r="E281" s="101">
        <v>693343.24</v>
      </c>
      <c r="F281" s="5" t="s">
        <v>118</v>
      </c>
      <c r="G281" s="5" t="s">
        <v>219</v>
      </c>
      <c r="H281" s="84"/>
    </row>
    <row r="282" spans="2:8" x14ac:dyDescent="0.35">
      <c r="B282" s="104" t="s">
        <v>138</v>
      </c>
      <c r="C282" s="5" t="s">
        <v>104</v>
      </c>
      <c r="D282" s="87"/>
      <c r="E282" s="101">
        <v>38056.199999999997</v>
      </c>
      <c r="F282" s="5" t="s">
        <v>106</v>
      </c>
      <c r="G282" s="5" t="s">
        <v>220</v>
      </c>
      <c r="H282" s="84"/>
    </row>
    <row r="283" spans="2:8" x14ac:dyDescent="0.35">
      <c r="B283" s="104" t="s">
        <v>138</v>
      </c>
      <c r="C283" s="5" t="s">
        <v>104</v>
      </c>
      <c r="D283" s="87"/>
      <c r="E283" s="101">
        <v>57650.58</v>
      </c>
      <c r="F283" s="5" t="s">
        <v>106</v>
      </c>
      <c r="G283" s="5" t="s">
        <v>220</v>
      </c>
      <c r="H283" s="84"/>
    </row>
    <row r="284" spans="2:8" x14ac:dyDescent="0.35">
      <c r="B284" s="104" t="s">
        <v>138</v>
      </c>
      <c r="C284" s="5" t="s">
        <v>104</v>
      </c>
      <c r="D284" s="87"/>
      <c r="E284" s="101">
        <v>88797.8</v>
      </c>
      <c r="F284" s="5" t="s">
        <v>106</v>
      </c>
      <c r="G284" s="5" t="s">
        <v>220</v>
      </c>
      <c r="H284" s="84"/>
    </row>
    <row r="285" spans="2:8" x14ac:dyDescent="0.35">
      <c r="B285" s="104" t="s">
        <v>138</v>
      </c>
      <c r="C285" s="5" t="s">
        <v>104</v>
      </c>
      <c r="D285" s="87"/>
      <c r="E285" s="101">
        <v>93022.66</v>
      </c>
      <c r="F285" s="5" t="s">
        <v>106</v>
      </c>
      <c r="G285" s="5" t="s">
        <v>221</v>
      </c>
      <c r="H285" s="84"/>
    </row>
    <row r="286" spans="2:8" x14ac:dyDescent="0.35">
      <c r="B286" s="104" t="s">
        <v>138</v>
      </c>
      <c r="C286" s="5" t="s">
        <v>104</v>
      </c>
      <c r="D286" s="87"/>
      <c r="E286" s="101">
        <v>96084.3</v>
      </c>
      <c r="F286" s="5" t="s">
        <v>106</v>
      </c>
      <c r="G286" s="5" t="s">
        <v>220</v>
      </c>
      <c r="H286" s="84"/>
    </row>
    <row r="287" spans="2:8" x14ac:dyDescent="0.35">
      <c r="B287" s="104" t="s">
        <v>138</v>
      </c>
      <c r="C287" s="5" t="s">
        <v>104</v>
      </c>
      <c r="D287" s="87"/>
      <c r="E287" s="101">
        <v>114168.6</v>
      </c>
      <c r="F287" s="5" t="s">
        <v>106</v>
      </c>
      <c r="G287" s="5" t="s">
        <v>220</v>
      </c>
      <c r="H287" s="84"/>
    </row>
    <row r="288" spans="2:8" x14ac:dyDescent="0.35">
      <c r="B288" s="104" t="s">
        <v>138</v>
      </c>
      <c r="C288" s="5" t="s">
        <v>104</v>
      </c>
      <c r="D288" s="87"/>
      <c r="E288" s="101">
        <v>133386.93</v>
      </c>
      <c r="F288" s="5" t="s">
        <v>106</v>
      </c>
      <c r="G288" s="5" t="s">
        <v>220</v>
      </c>
      <c r="H288" s="84"/>
    </row>
    <row r="289" spans="2:8" x14ac:dyDescent="0.35">
      <c r="B289" s="104" t="s">
        <v>138</v>
      </c>
      <c r="C289" s="5" t="s">
        <v>104</v>
      </c>
      <c r="D289" s="87"/>
      <c r="E289" s="101">
        <v>153757.06</v>
      </c>
      <c r="F289" s="5" t="s">
        <v>106</v>
      </c>
      <c r="G289" s="5" t="s">
        <v>220</v>
      </c>
      <c r="H289" s="84"/>
    </row>
    <row r="290" spans="2:8" x14ac:dyDescent="0.35">
      <c r="B290" s="104" t="s">
        <v>138</v>
      </c>
      <c r="C290" s="5" t="s">
        <v>104</v>
      </c>
      <c r="D290" s="87"/>
      <c r="E290" s="101">
        <v>204000.81</v>
      </c>
      <c r="F290" s="5" t="s">
        <v>106</v>
      </c>
      <c r="G290" s="5" t="s">
        <v>220</v>
      </c>
      <c r="H290" s="84"/>
    </row>
    <row r="291" spans="2:8" x14ac:dyDescent="0.35">
      <c r="B291" s="104" t="s">
        <v>138</v>
      </c>
      <c r="C291" s="5" t="s">
        <v>104</v>
      </c>
      <c r="D291" s="87"/>
      <c r="E291" s="101">
        <v>214383.26</v>
      </c>
      <c r="F291" s="5" t="s">
        <v>106</v>
      </c>
      <c r="G291" s="5" t="s">
        <v>220</v>
      </c>
      <c r="H291" s="84"/>
    </row>
    <row r="292" spans="2:8" x14ac:dyDescent="0.35">
      <c r="B292" s="104" t="s">
        <v>138</v>
      </c>
      <c r="C292" s="5" t="s">
        <v>104</v>
      </c>
      <c r="D292" s="87"/>
      <c r="E292" s="101">
        <v>231168.6</v>
      </c>
      <c r="F292" s="5" t="s">
        <v>106</v>
      </c>
      <c r="G292" s="5" t="s">
        <v>220</v>
      </c>
      <c r="H292" s="84"/>
    </row>
    <row r="293" spans="2:8" x14ac:dyDescent="0.35">
      <c r="B293" s="104" t="s">
        <v>138</v>
      </c>
      <c r="C293" s="5" t="s">
        <v>104</v>
      </c>
      <c r="D293" s="87"/>
      <c r="E293" s="101">
        <v>259191.01</v>
      </c>
      <c r="F293" s="5" t="s">
        <v>106</v>
      </c>
      <c r="G293" s="5" t="s">
        <v>220</v>
      </c>
      <c r="H293" s="84"/>
    </row>
    <row r="294" spans="2:8" x14ac:dyDescent="0.35">
      <c r="B294" s="104" t="s">
        <v>138</v>
      </c>
      <c r="C294" s="5" t="s">
        <v>104</v>
      </c>
      <c r="D294" s="87"/>
      <c r="E294" s="101">
        <v>382521.44</v>
      </c>
      <c r="F294" s="5" t="s">
        <v>106</v>
      </c>
      <c r="G294" s="5" t="s">
        <v>220</v>
      </c>
      <c r="H294" s="84"/>
    </row>
    <row r="295" spans="2:8" x14ac:dyDescent="0.35">
      <c r="B295" s="104" t="s">
        <v>138</v>
      </c>
      <c r="C295" s="5" t="s">
        <v>104</v>
      </c>
      <c r="D295" s="87"/>
      <c r="E295" s="101">
        <v>417747.35</v>
      </c>
      <c r="F295" s="5" t="s">
        <v>106</v>
      </c>
      <c r="G295" s="5" t="s">
        <v>220</v>
      </c>
      <c r="H295" s="84"/>
    </row>
    <row r="296" spans="2:8" x14ac:dyDescent="0.35">
      <c r="B296" s="104" t="s">
        <v>138</v>
      </c>
      <c r="C296" s="5" t="s">
        <v>104</v>
      </c>
      <c r="D296" s="87"/>
      <c r="E296" s="101">
        <v>481118.81</v>
      </c>
      <c r="F296" s="5" t="s">
        <v>106</v>
      </c>
      <c r="G296" s="5" t="s">
        <v>220</v>
      </c>
      <c r="H296" s="84"/>
    </row>
    <row r="297" spans="2:8" x14ac:dyDescent="0.35">
      <c r="B297" s="104" t="s">
        <v>138</v>
      </c>
      <c r="C297" s="5" t="s">
        <v>117</v>
      </c>
      <c r="D297" s="87"/>
      <c r="E297" s="101">
        <v>891814.33</v>
      </c>
      <c r="F297" s="5" t="s">
        <v>118</v>
      </c>
      <c r="G297" s="5" t="s">
        <v>222</v>
      </c>
      <c r="H297" s="84"/>
    </row>
    <row r="298" spans="2:8" x14ac:dyDescent="0.35">
      <c r="B298" s="104" t="s">
        <v>138</v>
      </c>
      <c r="C298" s="5" t="s">
        <v>104</v>
      </c>
      <c r="D298" s="87"/>
      <c r="E298" s="101">
        <v>961629.13</v>
      </c>
      <c r="F298" s="5" t="s">
        <v>106</v>
      </c>
      <c r="G298" s="5" t="s">
        <v>220</v>
      </c>
      <c r="H298" s="84"/>
    </row>
    <row r="299" spans="2:8" x14ac:dyDescent="0.35">
      <c r="B299" s="104" t="s">
        <v>140</v>
      </c>
      <c r="C299" s="5" t="s">
        <v>117</v>
      </c>
      <c r="D299" s="87"/>
      <c r="E299" s="101">
        <v>5632.41</v>
      </c>
      <c r="F299" s="5" t="s">
        <v>129</v>
      </c>
      <c r="G299" s="5" t="s">
        <v>223</v>
      </c>
      <c r="H299" s="84"/>
    </row>
    <row r="300" spans="2:8" x14ac:dyDescent="0.35">
      <c r="B300" s="104" t="s">
        <v>140</v>
      </c>
      <c r="C300" s="5" t="s">
        <v>117</v>
      </c>
      <c r="D300" s="87"/>
      <c r="E300" s="101">
        <v>6073.6</v>
      </c>
      <c r="F300" s="5" t="s">
        <v>129</v>
      </c>
      <c r="G300" s="5" t="s">
        <v>223</v>
      </c>
      <c r="H300" s="84"/>
    </row>
    <row r="301" spans="2:8" x14ac:dyDescent="0.35">
      <c r="B301" s="104" t="s">
        <v>140</v>
      </c>
      <c r="C301" s="5" t="s">
        <v>117</v>
      </c>
      <c r="D301" s="87"/>
      <c r="E301" s="101">
        <v>8662.92</v>
      </c>
      <c r="F301" s="5" t="s">
        <v>129</v>
      </c>
      <c r="G301" s="5" t="s">
        <v>223</v>
      </c>
      <c r="H301" s="84"/>
    </row>
    <row r="302" spans="2:8" x14ac:dyDescent="0.35">
      <c r="B302" s="104" t="s">
        <v>140</v>
      </c>
      <c r="C302" s="5" t="s">
        <v>117</v>
      </c>
      <c r="D302" s="87"/>
      <c r="E302" s="101">
        <v>19311.240000000002</v>
      </c>
      <c r="F302" s="5" t="s">
        <v>129</v>
      </c>
      <c r="G302" s="5" t="s">
        <v>223</v>
      </c>
      <c r="H302" s="84"/>
    </row>
    <row r="303" spans="2:8" x14ac:dyDescent="0.35">
      <c r="B303" s="104" t="s">
        <v>140</v>
      </c>
      <c r="C303" s="5" t="s">
        <v>104</v>
      </c>
      <c r="D303" s="87"/>
      <c r="E303" s="101">
        <v>19662.57</v>
      </c>
      <c r="F303" s="5" t="s">
        <v>106</v>
      </c>
      <c r="G303" s="5" t="s">
        <v>224</v>
      </c>
      <c r="H303" s="84"/>
    </row>
    <row r="304" spans="2:8" x14ac:dyDescent="0.35">
      <c r="B304" s="104" t="s">
        <v>140</v>
      </c>
      <c r="C304" s="5" t="s">
        <v>104</v>
      </c>
      <c r="D304" s="87"/>
      <c r="E304" s="101">
        <v>25370.799999999999</v>
      </c>
      <c r="F304" s="5" t="s">
        <v>106</v>
      </c>
      <c r="G304" s="5" t="s">
        <v>225</v>
      </c>
      <c r="H304" s="84"/>
    </row>
    <row r="305" spans="2:8" x14ac:dyDescent="0.35">
      <c r="B305" s="104" t="s">
        <v>140</v>
      </c>
      <c r="C305" s="5" t="s">
        <v>117</v>
      </c>
      <c r="D305" s="87"/>
      <c r="E305" s="101">
        <v>25748.32</v>
      </c>
      <c r="F305" s="5" t="s">
        <v>129</v>
      </c>
      <c r="G305" s="5" t="s">
        <v>223</v>
      </c>
      <c r="H305" s="84"/>
    </row>
    <row r="306" spans="2:8" x14ac:dyDescent="0.35">
      <c r="B306" s="104" t="s">
        <v>140</v>
      </c>
      <c r="C306" s="5" t="s">
        <v>117</v>
      </c>
      <c r="D306" s="87"/>
      <c r="E306" s="101">
        <v>25748.32</v>
      </c>
      <c r="F306" s="5" t="s">
        <v>129</v>
      </c>
      <c r="G306" s="5" t="s">
        <v>223</v>
      </c>
      <c r="H306" s="84"/>
    </row>
    <row r="307" spans="2:8" x14ac:dyDescent="0.35">
      <c r="B307" s="104" t="s">
        <v>140</v>
      </c>
      <c r="C307" s="5" t="s">
        <v>117</v>
      </c>
      <c r="D307" s="87"/>
      <c r="E307" s="101">
        <v>25748.32</v>
      </c>
      <c r="F307" s="5" t="s">
        <v>129</v>
      </c>
      <c r="G307" s="5" t="s">
        <v>223</v>
      </c>
      <c r="H307" s="84"/>
    </row>
    <row r="308" spans="2:8" x14ac:dyDescent="0.35">
      <c r="B308" s="104" t="s">
        <v>140</v>
      </c>
      <c r="C308" s="5" t="s">
        <v>117</v>
      </c>
      <c r="D308" s="87"/>
      <c r="E308" s="101">
        <v>29610.57</v>
      </c>
      <c r="F308" s="5" t="s">
        <v>129</v>
      </c>
      <c r="G308" s="5" t="s">
        <v>223</v>
      </c>
      <c r="H308" s="84"/>
    </row>
    <row r="309" spans="2:8" x14ac:dyDescent="0.35">
      <c r="B309" s="104" t="s">
        <v>140</v>
      </c>
      <c r="C309" s="5" t="s">
        <v>117</v>
      </c>
      <c r="D309" s="87"/>
      <c r="E309" s="101">
        <v>29610.57</v>
      </c>
      <c r="F309" s="5" t="s">
        <v>129</v>
      </c>
      <c r="G309" s="5" t="s">
        <v>223</v>
      </c>
      <c r="H309" s="84"/>
    </row>
    <row r="310" spans="2:8" x14ac:dyDescent="0.35">
      <c r="B310" s="104" t="s">
        <v>140</v>
      </c>
      <c r="C310" s="5" t="s">
        <v>117</v>
      </c>
      <c r="D310" s="87"/>
      <c r="E310" s="101">
        <v>36950.730000000003</v>
      </c>
      <c r="F310" s="5" t="s">
        <v>129</v>
      </c>
      <c r="G310" s="5" t="s">
        <v>223</v>
      </c>
      <c r="H310" s="84"/>
    </row>
    <row r="311" spans="2:8" x14ac:dyDescent="0.35">
      <c r="B311" s="104" t="s">
        <v>140</v>
      </c>
      <c r="C311" s="5" t="s">
        <v>104</v>
      </c>
      <c r="D311" s="87"/>
      <c r="E311" s="101">
        <v>38056.199999999997</v>
      </c>
      <c r="F311" s="5" t="s">
        <v>106</v>
      </c>
      <c r="G311" s="5" t="s">
        <v>225</v>
      </c>
      <c r="H311" s="84"/>
    </row>
    <row r="312" spans="2:8" x14ac:dyDescent="0.35">
      <c r="B312" s="104" t="s">
        <v>140</v>
      </c>
      <c r="C312" s="5" t="s">
        <v>117</v>
      </c>
      <c r="D312" s="87"/>
      <c r="E312" s="101">
        <v>38622.480000000003</v>
      </c>
      <c r="F312" s="5" t="s">
        <v>129</v>
      </c>
      <c r="G312" s="5" t="s">
        <v>223</v>
      </c>
      <c r="H312" s="84"/>
    </row>
    <row r="313" spans="2:8" x14ac:dyDescent="0.35">
      <c r="B313" s="104" t="s">
        <v>140</v>
      </c>
      <c r="C313" s="5" t="s">
        <v>117</v>
      </c>
      <c r="D313" s="87"/>
      <c r="E313" s="101">
        <v>38622.480000000003</v>
      </c>
      <c r="F313" s="5" t="s">
        <v>129</v>
      </c>
      <c r="G313" s="5" t="s">
        <v>223</v>
      </c>
      <c r="H313" s="84"/>
    </row>
    <row r="314" spans="2:8" x14ac:dyDescent="0.35">
      <c r="B314" s="104" t="s">
        <v>140</v>
      </c>
      <c r="C314" s="5" t="s">
        <v>117</v>
      </c>
      <c r="D314" s="87"/>
      <c r="E314" s="101">
        <v>38622.480000000003</v>
      </c>
      <c r="F314" s="5" t="s">
        <v>129</v>
      </c>
      <c r="G314" s="5" t="s">
        <v>223</v>
      </c>
      <c r="H314" s="84"/>
    </row>
    <row r="315" spans="2:8" x14ac:dyDescent="0.35">
      <c r="B315" s="104" t="s">
        <v>140</v>
      </c>
      <c r="C315" s="5" t="s">
        <v>117</v>
      </c>
      <c r="D315" s="87"/>
      <c r="E315" s="101">
        <v>38622.480000000003</v>
      </c>
      <c r="F315" s="5" t="s">
        <v>129</v>
      </c>
      <c r="G315" s="5" t="s">
        <v>223</v>
      </c>
      <c r="H315" s="84"/>
    </row>
    <row r="316" spans="2:8" x14ac:dyDescent="0.35">
      <c r="B316" s="104" t="s">
        <v>140</v>
      </c>
      <c r="C316" s="5" t="s">
        <v>117</v>
      </c>
      <c r="D316" s="87"/>
      <c r="E316" s="101">
        <v>38622.480000000003</v>
      </c>
      <c r="F316" s="5" t="s">
        <v>129</v>
      </c>
      <c r="G316" s="5" t="s">
        <v>223</v>
      </c>
      <c r="H316" s="84"/>
    </row>
    <row r="317" spans="2:8" x14ac:dyDescent="0.35">
      <c r="B317" s="104" t="s">
        <v>140</v>
      </c>
      <c r="C317" s="5" t="s">
        <v>117</v>
      </c>
      <c r="D317" s="87"/>
      <c r="E317" s="101">
        <v>38622.480000000003</v>
      </c>
      <c r="F317" s="5" t="s">
        <v>129</v>
      </c>
      <c r="G317" s="5" t="s">
        <v>223</v>
      </c>
      <c r="H317" s="84"/>
    </row>
    <row r="318" spans="2:8" x14ac:dyDescent="0.35">
      <c r="B318" s="104" t="s">
        <v>140</v>
      </c>
      <c r="C318" s="5" t="s">
        <v>117</v>
      </c>
      <c r="D318" s="87"/>
      <c r="E318" s="101">
        <v>38622.480000000003</v>
      </c>
      <c r="F318" s="5" t="s">
        <v>129</v>
      </c>
      <c r="G318" s="5" t="s">
        <v>223</v>
      </c>
      <c r="H318" s="84"/>
    </row>
    <row r="319" spans="2:8" x14ac:dyDescent="0.35">
      <c r="B319" s="104" t="s">
        <v>140</v>
      </c>
      <c r="C319" s="5" t="s">
        <v>117</v>
      </c>
      <c r="D319" s="87"/>
      <c r="E319" s="101">
        <v>38622.480000000003</v>
      </c>
      <c r="F319" s="5" t="s">
        <v>129</v>
      </c>
      <c r="G319" s="5" t="s">
        <v>223</v>
      </c>
      <c r="H319" s="84"/>
    </row>
    <row r="320" spans="2:8" x14ac:dyDescent="0.35">
      <c r="B320" s="104" t="s">
        <v>140</v>
      </c>
      <c r="C320" s="5" t="s">
        <v>117</v>
      </c>
      <c r="D320" s="87"/>
      <c r="E320" s="101">
        <v>38622.480000000003</v>
      </c>
      <c r="F320" s="5" t="s">
        <v>129</v>
      </c>
      <c r="G320" s="5" t="s">
        <v>223</v>
      </c>
      <c r="H320" s="84"/>
    </row>
    <row r="321" spans="2:8" x14ac:dyDescent="0.35">
      <c r="B321" s="104" t="s">
        <v>140</v>
      </c>
      <c r="C321" s="5" t="s">
        <v>117</v>
      </c>
      <c r="D321" s="87"/>
      <c r="E321" s="101">
        <v>38622.480000000003</v>
      </c>
      <c r="F321" s="5" t="s">
        <v>129</v>
      </c>
      <c r="G321" s="5" t="s">
        <v>223</v>
      </c>
      <c r="H321" s="84"/>
    </row>
    <row r="322" spans="2:8" x14ac:dyDescent="0.35">
      <c r="B322" s="104" t="s">
        <v>140</v>
      </c>
      <c r="C322" s="5" t="s">
        <v>117</v>
      </c>
      <c r="D322" s="87"/>
      <c r="E322" s="101">
        <v>38622.480000000003</v>
      </c>
      <c r="F322" s="5" t="s">
        <v>129</v>
      </c>
      <c r="G322" s="5" t="s">
        <v>223</v>
      </c>
      <c r="H322" s="84"/>
    </row>
    <row r="323" spans="2:8" x14ac:dyDescent="0.35">
      <c r="B323" s="104" t="s">
        <v>140</v>
      </c>
      <c r="C323" s="5" t="s">
        <v>117</v>
      </c>
      <c r="D323" s="87"/>
      <c r="E323" s="101">
        <v>38622.480000000003</v>
      </c>
      <c r="F323" s="5" t="s">
        <v>129</v>
      </c>
      <c r="G323" s="5" t="s">
        <v>223</v>
      </c>
      <c r="H323" s="84"/>
    </row>
    <row r="324" spans="2:8" x14ac:dyDescent="0.35">
      <c r="B324" s="104" t="s">
        <v>140</v>
      </c>
      <c r="C324" s="5" t="s">
        <v>117</v>
      </c>
      <c r="D324" s="87"/>
      <c r="E324" s="101">
        <v>38622.480000000003</v>
      </c>
      <c r="F324" s="5" t="s">
        <v>129</v>
      </c>
      <c r="G324" s="5" t="s">
        <v>223</v>
      </c>
      <c r="H324" s="84"/>
    </row>
    <row r="325" spans="2:8" x14ac:dyDescent="0.35">
      <c r="B325" s="104" t="s">
        <v>140</v>
      </c>
      <c r="C325" s="5" t="s">
        <v>117</v>
      </c>
      <c r="D325" s="87"/>
      <c r="E325" s="101">
        <v>38622.480000000003</v>
      </c>
      <c r="F325" s="5" t="s">
        <v>129</v>
      </c>
      <c r="G325" s="5" t="s">
        <v>223</v>
      </c>
      <c r="H325" s="84"/>
    </row>
    <row r="326" spans="2:8" x14ac:dyDescent="0.35">
      <c r="B326" s="104" t="s">
        <v>140</v>
      </c>
      <c r="C326" s="5" t="s">
        <v>117</v>
      </c>
      <c r="D326" s="87"/>
      <c r="E326" s="101">
        <v>38622.480000000003</v>
      </c>
      <c r="F326" s="5" t="s">
        <v>129</v>
      </c>
      <c r="G326" s="5" t="s">
        <v>223</v>
      </c>
      <c r="H326" s="84"/>
    </row>
    <row r="327" spans="2:8" x14ac:dyDescent="0.35">
      <c r="B327" s="104" t="s">
        <v>140</v>
      </c>
      <c r="C327" s="5" t="s">
        <v>117</v>
      </c>
      <c r="D327" s="87"/>
      <c r="E327" s="101">
        <v>38622.480000000003</v>
      </c>
      <c r="F327" s="5" t="s">
        <v>129</v>
      </c>
      <c r="G327" s="5" t="s">
        <v>223</v>
      </c>
      <c r="H327" s="84"/>
    </row>
    <row r="328" spans="2:8" x14ac:dyDescent="0.35">
      <c r="B328" s="104" t="s">
        <v>140</v>
      </c>
      <c r="C328" s="5" t="s">
        <v>117</v>
      </c>
      <c r="D328" s="87"/>
      <c r="E328" s="101">
        <v>38622.480000000003</v>
      </c>
      <c r="F328" s="5" t="s">
        <v>129</v>
      </c>
      <c r="G328" s="5" t="s">
        <v>223</v>
      </c>
      <c r="H328" s="84"/>
    </row>
    <row r="329" spans="2:8" x14ac:dyDescent="0.35">
      <c r="B329" s="104" t="s">
        <v>140</v>
      </c>
      <c r="C329" s="5" t="s">
        <v>117</v>
      </c>
      <c r="D329" s="87"/>
      <c r="E329" s="101">
        <v>38622.480000000003</v>
      </c>
      <c r="F329" s="5" t="s">
        <v>129</v>
      </c>
      <c r="G329" s="5" t="s">
        <v>223</v>
      </c>
      <c r="H329" s="84"/>
    </row>
    <row r="330" spans="2:8" x14ac:dyDescent="0.35">
      <c r="B330" s="104" t="s">
        <v>140</v>
      </c>
      <c r="C330" s="5" t="s">
        <v>117</v>
      </c>
      <c r="D330" s="87"/>
      <c r="E330" s="101">
        <v>38622.480000000003</v>
      </c>
      <c r="F330" s="5" t="s">
        <v>129</v>
      </c>
      <c r="G330" s="5" t="s">
        <v>223</v>
      </c>
      <c r="H330" s="84"/>
    </row>
    <row r="331" spans="2:8" x14ac:dyDescent="0.35">
      <c r="B331" s="104" t="s">
        <v>140</v>
      </c>
      <c r="C331" s="5" t="s">
        <v>117</v>
      </c>
      <c r="D331" s="87"/>
      <c r="E331" s="101">
        <v>38622.480000000003</v>
      </c>
      <c r="F331" s="5" t="s">
        <v>129</v>
      </c>
      <c r="G331" s="5" t="s">
        <v>223</v>
      </c>
      <c r="H331" s="84"/>
    </row>
    <row r="332" spans="2:8" x14ac:dyDescent="0.35">
      <c r="B332" s="104" t="s">
        <v>140</v>
      </c>
      <c r="C332" s="5" t="s">
        <v>117</v>
      </c>
      <c r="D332" s="87"/>
      <c r="E332" s="101">
        <v>38622.480000000003</v>
      </c>
      <c r="F332" s="5" t="s">
        <v>129</v>
      </c>
      <c r="G332" s="5" t="s">
        <v>223</v>
      </c>
      <c r="H332" s="84"/>
    </row>
    <row r="333" spans="2:8" x14ac:dyDescent="0.35">
      <c r="B333" s="104" t="s">
        <v>140</v>
      </c>
      <c r="C333" s="5" t="s">
        <v>117</v>
      </c>
      <c r="D333" s="87"/>
      <c r="E333" s="101">
        <v>38622.480000000003</v>
      </c>
      <c r="F333" s="5" t="s">
        <v>129</v>
      </c>
      <c r="G333" s="5" t="s">
        <v>223</v>
      </c>
      <c r="H333" s="84"/>
    </row>
    <row r="334" spans="2:8" x14ac:dyDescent="0.35">
      <c r="B334" s="104" t="s">
        <v>140</v>
      </c>
      <c r="C334" s="5" t="s">
        <v>117</v>
      </c>
      <c r="D334" s="87"/>
      <c r="E334" s="101">
        <v>38622.480000000003</v>
      </c>
      <c r="F334" s="5" t="s">
        <v>129</v>
      </c>
      <c r="G334" s="5" t="s">
        <v>223</v>
      </c>
      <c r="H334" s="84"/>
    </row>
    <row r="335" spans="2:8" x14ac:dyDescent="0.35">
      <c r="B335" s="104" t="s">
        <v>140</v>
      </c>
      <c r="C335" s="5" t="s">
        <v>117</v>
      </c>
      <c r="D335" s="87"/>
      <c r="E335" s="101">
        <v>38622.480000000003</v>
      </c>
      <c r="F335" s="5" t="s">
        <v>129</v>
      </c>
      <c r="G335" s="5" t="s">
        <v>223</v>
      </c>
      <c r="H335" s="84"/>
    </row>
    <row r="336" spans="2:8" x14ac:dyDescent="0.35">
      <c r="B336" s="104" t="s">
        <v>140</v>
      </c>
      <c r="C336" s="5" t="s">
        <v>117</v>
      </c>
      <c r="D336" s="87"/>
      <c r="E336" s="101">
        <v>38622.480000000003</v>
      </c>
      <c r="F336" s="5" t="s">
        <v>129</v>
      </c>
      <c r="G336" s="5" t="s">
        <v>223</v>
      </c>
      <c r="H336" s="84"/>
    </row>
    <row r="337" spans="2:8" x14ac:dyDescent="0.35">
      <c r="B337" s="104" t="s">
        <v>140</v>
      </c>
      <c r="C337" s="5" t="s">
        <v>117</v>
      </c>
      <c r="D337" s="87"/>
      <c r="E337" s="101">
        <v>38622.480000000003</v>
      </c>
      <c r="F337" s="5" t="s">
        <v>129</v>
      </c>
      <c r="G337" s="5" t="s">
        <v>223</v>
      </c>
      <c r="H337" s="84"/>
    </row>
    <row r="338" spans="2:8" x14ac:dyDescent="0.35">
      <c r="B338" s="104" t="s">
        <v>140</v>
      </c>
      <c r="C338" s="5" t="s">
        <v>117</v>
      </c>
      <c r="D338" s="87"/>
      <c r="E338" s="101">
        <v>38622.480000000003</v>
      </c>
      <c r="F338" s="5" t="s">
        <v>129</v>
      </c>
      <c r="G338" s="5" t="s">
        <v>223</v>
      </c>
      <c r="H338" s="84"/>
    </row>
    <row r="339" spans="2:8" x14ac:dyDescent="0.35">
      <c r="B339" s="104" t="s">
        <v>140</v>
      </c>
      <c r="C339" s="5" t="s">
        <v>117</v>
      </c>
      <c r="D339" s="87"/>
      <c r="E339" s="101">
        <v>38622.480000000003</v>
      </c>
      <c r="F339" s="5" t="s">
        <v>129</v>
      </c>
      <c r="G339" s="5" t="s">
        <v>223</v>
      </c>
      <c r="H339" s="84"/>
    </row>
    <row r="340" spans="2:8" x14ac:dyDescent="0.35">
      <c r="B340" s="104" t="s">
        <v>140</v>
      </c>
      <c r="C340" s="5" t="s">
        <v>117</v>
      </c>
      <c r="D340" s="87"/>
      <c r="E340" s="101">
        <v>38622.480000000003</v>
      </c>
      <c r="F340" s="5" t="s">
        <v>129</v>
      </c>
      <c r="G340" s="5" t="s">
        <v>223</v>
      </c>
      <c r="H340" s="84"/>
    </row>
    <row r="341" spans="2:8" x14ac:dyDescent="0.35">
      <c r="B341" s="104" t="s">
        <v>140</v>
      </c>
      <c r="C341" s="5" t="s">
        <v>117</v>
      </c>
      <c r="D341" s="87"/>
      <c r="E341" s="101">
        <v>38622.480000000003</v>
      </c>
      <c r="F341" s="5" t="s">
        <v>129</v>
      </c>
      <c r="G341" s="5" t="s">
        <v>223</v>
      </c>
      <c r="H341" s="84"/>
    </row>
    <row r="342" spans="2:8" x14ac:dyDescent="0.35">
      <c r="B342" s="104" t="s">
        <v>140</v>
      </c>
      <c r="C342" s="5" t="s">
        <v>117</v>
      </c>
      <c r="D342" s="87"/>
      <c r="E342" s="101">
        <v>38622.480000000003</v>
      </c>
      <c r="F342" s="5" t="s">
        <v>129</v>
      </c>
      <c r="G342" s="5" t="s">
        <v>223</v>
      </c>
      <c r="H342" s="84"/>
    </row>
    <row r="343" spans="2:8" x14ac:dyDescent="0.35">
      <c r="B343" s="104" t="s">
        <v>140</v>
      </c>
      <c r="C343" s="5" t="s">
        <v>117</v>
      </c>
      <c r="D343" s="87"/>
      <c r="E343" s="101">
        <v>38622.480000000003</v>
      </c>
      <c r="F343" s="5" t="s">
        <v>129</v>
      </c>
      <c r="G343" s="5" t="s">
        <v>223</v>
      </c>
      <c r="H343" s="84"/>
    </row>
    <row r="344" spans="2:8" x14ac:dyDescent="0.35">
      <c r="B344" s="104" t="s">
        <v>140</v>
      </c>
      <c r="C344" s="5" t="s">
        <v>117</v>
      </c>
      <c r="D344" s="87"/>
      <c r="E344" s="101">
        <v>38622.480000000003</v>
      </c>
      <c r="F344" s="5" t="s">
        <v>129</v>
      </c>
      <c r="G344" s="5" t="s">
        <v>223</v>
      </c>
      <c r="H344" s="84"/>
    </row>
    <row r="345" spans="2:8" x14ac:dyDescent="0.35">
      <c r="B345" s="104" t="s">
        <v>140</v>
      </c>
      <c r="C345" s="5" t="s">
        <v>117</v>
      </c>
      <c r="D345" s="87"/>
      <c r="E345" s="101">
        <v>38622.480000000003</v>
      </c>
      <c r="F345" s="5" t="s">
        <v>129</v>
      </c>
      <c r="G345" s="5" t="s">
        <v>223</v>
      </c>
      <c r="H345" s="84"/>
    </row>
    <row r="346" spans="2:8" x14ac:dyDescent="0.35">
      <c r="B346" s="104" t="s">
        <v>140</v>
      </c>
      <c r="C346" s="5" t="s">
        <v>117</v>
      </c>
      <c r="D346" s="87"/>
      <c r="E346" s="101">
        <v>38622.480000000003</v>
      </c>
      <c r="F346" s="5" t="s">
        <v>129</v>
      </c>
      <c r="G346" s="5" t="s">
        <v>223</v>
      </c>
      <c r="H346" s="84"/>
    </row>
    <row r="347" spans="2:8" x14ac:dyDescent="0.35">
      <c r="B347" s="104" t="s">
        <v>140</v>
      </c>
      <c r="C347" s="5" t="s">
        <v>117</v>
      </c>
      <c r="D347" s="87"/>
      <c r="E347" s="101">
        <v>38622.480000000003</v>
      </c>
      <c r="F347" s="5" t="s">
        <v>129</v>
      </c>
      <c r="G347" s="5" t="s">
        <v>223</v>
      </c>
      <c r="H347" s="84"/>
    </row>
    <row r="348" spans="2:8" x14ac:dyDescent="0.35">
      <c r="B348" s="104" t="s">
        <v>140</v>
      </c>
      <c r="C348" s="5" t="s">
        <v>117</v>
      </c>
      <c r="D348" s="87"/>
      <c r="E348" s="101">
        <v>38622.480000000003</v>
      </c>
      <c r="F348" s="5" t="s">
        <v>129</v>
      </c>
      <c r="G348" s="5" t="s">
        <v>223</v>
      </c>
      <c r="H348" s="84"/>
    </row>
    <row r="349" spans="2:8" x14ac:dyDescent="0.35">
      <c r="B349" s="104" t="s">
        <v>140</v>
      </c>
      <c r="C349" s="5" t="s">
        <v>117</v>
      </c>
      <c r="D349" s="87"/>
      <c r="E349" s="101">
        <v>38622.480000000003</v>
      </c>
      <c r="F349" s="5" t="s">
        <v>129</v>
      </c>
      <c r="G349" s="5" t="s">
        <v>223</v>
      </c>
      <c r="H349" s="84"/>
    </row>
    <row r="350" spans="2:8" x14ac:dyDescent="0.35">
      <c r="B350" s="104" t="s">
        <v>140</v>
      </c>
      <c r="C350" s="5" t="s">
        <v>117</v>
      </c>
      <c r="D350" s="87"/>
      <c r="E350" s="101">
        <v>38622.480000000003</v>
      </c>
      <c r="F350" s="5" t="s">
        <v>129</v>
      </c>
      <c r="G350" s="5" t="s">
        <v>223</v>
      </c>
      <c r="H350" s="84"/>
    </row>
    <row r="351" spans="2:8" x14ac:dyDescent="0.35">
      <c r="B351" s="104" t="s">
        <v>140</v>
      </c>
      <c r="C351" s="5" t="s">
        <v>117</v>
      </c>
      <c r="D351" s="87"/>
      <c r="E351" s="101">
        <v>38622.480000000003</v>
      </c>
      <c r="F351" s="5" t="s">
        <v>129</v>
      </c>
      <c r="G351" s="5" t="s">
        <v>223</v>
      </c>
      <c r="H351" s="84"/>
    </row>
    <row r="352" spans="2:8" x14ac:dyDescent="0.35">
      <c r="B352" s="104" t="s">
        <v>140</v>
      </c>
      <c r="C352" s="5" t="s">
        <v>117</v>
      </c>
      <c r="D352" s="87"/>
      <c r="E352" s="101">
        <v>38622.480000000003</v>
      </c>
      <c r="F352" s="5" t="s">
        <v>129</v>
      </c>
      <c r="G352" s="5" t="s">
        <v>223</v>
      </c>
      <c r="H352" s="84"/>
    </row>
    <row r="353" spans="2:8" x14ac:dyDescent="0.35">
      <c r="B353" s="104" t="s">
        <v>140</v>
      </c>
      <c r="C353" s="5" t="s">
        <v>117</v>
      </c>
      <c r="D353" s="87"/>
      <c r="E353" s="101">
        <v>38622.480000000003</v>
      </c>
      <c r="F353" s="5" t="s">
        <v>129</v>
      </c>
      <c r="G353" s="5" t="s">
        <v>223</v>
      </c>
      <c r="H353" s="84"/>
    </row>
    <row r="354" spans="2:8" x14ac:dyDescent="0.35">
      <c r="B354" s="104" t="s">
        <v>140</v>
      </c>
      <c r="C354" s="5" t="s">
        <v>117</v>
      </c>
      <c r="D354" s="87"/>
      <c r="E354" s="101">
        <v>44623.82</v>
      </c>
      <c r="F354" s="5" t="s">
        <v>129</v>
      </c>
      <c r="G354" s="5" t="s">
        <v>223</v>
      </c>
      <c r="H354" s="84"/>
    </row>
    <row r="355" spans="2:8" x14ac:dyDescent="0.35">
      <c r="B355" s="104" t="s">
        <v>140</v>
      </c>
      <c r="C355" s="5" t="s">
        <v>117</v>
      </c>
      <c r="D355" s="87"/>
      <c r="E355" s="101">
        <v>46581.89</v>
      </c>
      <c r="F355" s="5" t="s">
        <v>129</v>
      </c>
      <c r="G355" s="5" t="s">
        <v>223</v>
      </c>
      <c r="H355" s="84"/>
    </row>
    <row r="356" spans="2:8" x14ac:dyDescent="0.35">
      <c r="B356" s="104" t="s">
        <v>140</v>
      </c>
      <c r="C356" s="5" t="s">
        <v>117</v>
      </c>
      <c r="D356" s="87"/>
      <c r="E356" s="101">
        <v>51496.639999999999</v>
      </c>
      <c r="F356" s="5" t="s">
        <v>129</v>
      </c>
      <c r="G356" s="5" t="s">
        <v>223</v>
      </c>
      <c r="H356" s="84"/>
    </row>
    <row r="357" spans="2:8" x14ac:dyDescent="0.35">
      <c r="B357" s="104" t="s">
        <v>140</v>
      </c>
      <c r="C357" s="5" t="s">
        <v>117</v>
      </c>
      <c r="D357" s="87"/>
      <c r="E357" s="101">
        <v>51496.639999999999</v>
      </c>
      <c r="F357" s="5" t="s">
        <v>129</v>
      </c>
      <c r="G357" s="5" t="s">
        <v>223</v>
      </c>
      <c r="H357" s="84"/>
    </row>
    <row r="358" spans="2:8" x14ac:dyDescent="0.35">
      <c r="B358" s="104" t="s">
        <v>140</v>
      </c>
      <c r="C358" s="5" t="s">
        <v>117</v>
      </c>
      <c r="D358" s="87"/>
      <c r="E358" s="101">
        <v>51496.639999999999</v>
      </c>
      <c r="F358" s="5" t="s">
        <v>129</v>
      </c>
      <c r="G358" s="5" t="s">
        <v>223</v>
      </c>
      <c r="H358" s="84"/>
    </row>
    <row r="359" spans="2:8" x14ac:dyDescent="0.35">
      <c r="B359" s="104" t="s">
        <v>140</v>
      </c>
      <c r="C359" s="5" t="s">
        <v>117</v>
      </c>
      <c r="D359" s="87"/>
      <c r="E359" s="101">
        <v>51496.639999999999</v>
      </c>
      <c r="F359" s="5" t="s">
        <v>129</v>
      </c>
      <c r="G359" s="5" t="s">
        <v>223</v>
      </c>
      <c r="H359" s="84"/>
    </row>
    <row r="360" spans="2:8" x14ac:dyDescent="0.35">
      <c r="B360" s="104" t="s">
        <v>140</v>
      </c>
      <c r="C360" s="5" t="s">
        <v>117</v>
      </c>
      <c r="D360" s="87"/>
      <c r="E360" s="101">
        <v>51496.639999999999</v>
      </c>
      <c r="F360" s="5" t="s">
        <v>129</v>
      </c>
      <c r="G360" s="5" t="s">
        <v>223</v>
      </c>
      <c r="H360" s="84"/>
    </row>
    <row r="361" spans="2:8" x14ac:dyDescent="0.35">
      <c r="B361" s="104" t="s">
        <v>140</v>
      </c>
      <c r="C361" s="5" t="s">
        <v>117</v>
      </c>
      <c r="D361" s="87"/>
      <c r="E361" s="101">
        <v>51496.639999999999</v>
      </c>
      <c r="F361" s="5" t="s">
        <v>129</v>
      </c>
      <c r="G361" s="5" t="s">
        <v>223</v>
      </c>
      <c r="H361" s="84"/>
    </row>
    <row r="362" spans="2:8" x14ac:dyDescent="0.35">
      <c r="B362" s="104" t="s">
        <v>140</v>
      </c>
      <c r="C362" s="5" t="s">
        <v>117</v>
      </c>
      <c r="D362" s="87"/>
      <c r="E362" s="101">
        <v>51496.639999999999</v>
      </c>
      <c r="F362" s="5" t="s">
        <v>129</v>
      </c>
      <c r="G362" s="5" t="s">
        <v>223</v>
      </c>
      <c r="H362" s="84"/>
    </row>
    <row r="363" spans="2:8" x14ac:dyDescent="0.35">
      <c r="B363" s="104" t="s">
        <v>140</v>
      </c>
      <c r="C363" s="5" t="s">
        <v>117</v>
      </c>
      <c r="D363" s="87"/>
      <c r="E363" s="101">
        <v>51496.639999999999</v>
      </c>
      <c r="F363" s="5" t="s">
        <v>129</v>
      </c>
      <c r="G363" s="5" t="s">
        <v>223</v>
      </c>
      <c r="H363" s="84"/>
    </row>
    <row r="364" spans="2:8" x14ac:dyDescent="0.35">
      <c r="B364" s="104" t="s">
        <v>140</v>
      </c>
      <c r="C364" s="5" t="s">
        <v>117</v>
      </c>
      <c r="D364" s="87"/>
      <c r="E364" s="101">
        <v>51496.639999999999</v>
      </c>
      <c r="F364" s="5" t="s">
        <v>129</v>
      </c>
      <c r="G364" s="5" t="s">
        <v>223</v>
      </c>
      <c r="H364" s="84"/>
    </row>
    <row r="365" spans="2:8" x14ac:dyDescent="0.35">
      <c r="B365" s="104" t="s">
        <v>140</v>
      </c>
      <c r="C365" s="5" t="s">
        <v>117</v>
      </c>
      <c r="D365" s="87"/>
      <c r="E365" s="101">
        <v>51496.639999999999</v>
      </c>
      <c r="F365" s="5" t="s">
        <v>129</v>
      </c>
      <c r="G365" s="5" t="s">
        <v>223</v>
      </c>
      <c r="H365" s="84"/>
    </row>
    <row r="366" spans="2:8" x14ac:dyDescent="0.35">
      <c r="B366" s="104" t="s">
        <v>140</v>
      </c>
      <c r="C366" s="5" t="s">
        <v>117</v>
      </c>
      <c r="D366" s="87"/>
      <c r="E366" s="101">
        <v>51496.639999999999</v>
      </c>
      <c r="F366" s="5" t="s">
        <v>129</v>
      </c>
      <c r="G366" s="5" t="s">
        <v>223</v>
      </c>
      <c r="H366" s="84"/>
    </row>
    <row r="367" spans="2:8" x14ac:dyDescent="0.35">
      <c r="B367" s="104" t="s">
        <v>140</v>
      </c>
      <c r="C367" s="5" t="s">
        <v>104</v>
      </c>
      <c r="D367" s="87"/>
      <c r="E367" s="101">
        <v>56215.17</v>
      </c>
      <c r="F367" s="5" t="s">
        <v>106</v>
      </c>
      <c r="G367" s="5" t="s">
        <v>224</v>
      </c>
      <c r="H367" s="84"/>
    </row>
    <row r="368" spans="2:8" x14ac:dyDescent="0.35">
      <c r="B368" s="104" t="s">
        <v>140</v>
      </c>
      <c r="C368" s="5" t="s">
        <v>104</v>
      </c>
      <c r="D368" s="87"/>
      <c r="E368" s="101">
        <v>58000.71</v>
      </c>
      <c r="F368" s="5" t="s">
        <v>106</v>
      </c>
      <c r="G368" s="5" t="s">
        <v>224</v>
      </c>
      <c r="H368" s="84"/>
    </row>
    <row r="369" spans="2:8" x14ac:dyDescent="0.35">
      <c r="B369" s="104" t="s">
        <v>140</v>
      </c>
      <c r="C369" s="5" t="s">
        <v>104</v>
      </c>
      <c r="D369" s="87"/>
      <c r="E369" s="101">
        <v>76112.399999999994</v>
      </c>
      <c r="F369" s="5" t="s">
        <v>106</v>
      </c>
      <c r="G369" s="5" t="s">
        <v>225</v>
      </c>
      <c r="H369" s="84"/>
    </row>
    <row r="370" spans="2:8" x14ac:dyDescent="0.35">
      <c r="B370" s="104" t="s">
        <v>140</v>
      </c>
      <c r="C370" s="5" t="s">
        <v>117</v>
      </c>
      <c r="D370" s="87"/>
      <c r="E370" s="101">
        <v>77244.960000000006</v>
      </c>
      <c r="F370" s="5" t="s">
        <v>129</v>
      </c>
      <c r="G370" s="5" t="s">
        <v>223</v>
      </c>
      <c r="H370" s="84"/>
    </row>
    <row r="371" spans="2:8" x14ac:dyDescent="0.35">
      <c r="B371" s="104" t="s">
        <v>140</v>
      </c>
      <c r="C371" s="5" t="s">
        <v>117</v>
      </c>
      <c r="D371" s="87"/>
      <c r="E371" s="101">
        <v>77244.960000000006</v>
      </c>
      <c r="F371" s="5" t="s">
        <v>129</v>
      </c>
      <c r="G371" s="5" t="s">
        <v>223</v>
      </c>
      <c r="H371" s="84"/>
    </row>
    <row r="372" spans="2:8" x14ac:dyDescent="0.35">
      <c r="B372" s="104" t="s">
        <v>140</v>
      </c>
      <c r="C372" s="5" t="s">
        <v>117</v>
      </c>
      <c r="D372" s="87"/>
      <c r="E372" s="101">
        <v>77244.960000000006</v>
      </c>
      <c r="F372" s="5" t="s">
        <v>129</v>
      </c>
      <c r="G372" s="5" t="s">
        <v>223</v>
      </c>
      <c r="H372" s="84"/>
    </row>
    <row r="373" spans="2:8" x14ac:dyDescent="0.35">
      <c r="B373" s="104" t="s">
        <v>140</v>
      </c>
      <c r="C373" s="5" t="s">
        <v>117</v>
      </c>
      <c r="D373" s="87"/>
      <c r="E373" s="101">
        <v>102993.28</v>
      </c>
      <c r="F373" s="5" t="s">
        <v>129</v>
      </c>
      <c r="G373" s="5" t="s">
        <v>223</v>
      </c>
      <c r="H373" s="84"/>
    </row>
    <row r="374" spans="2:8" x14ac:dyDescent="0.35">
      <c r="B374" s="104" t="s">
        <v>140</v>
      </c>
      <c r="C374" s="5" t="s">
        <v>104</v>
      </c>
      <c r="D374" s="87"/>
      <c r="E374" s="101">
        <v>119444.76</v>
      </c>
      <c r="F374" s="5" t="s">
        <v>106</v>
      </c>
      <c r="G374" s="5" t="s">
        <v>224</v>
      </c>
      <c r="H374" s="84"/>
    </row>
    <row r="375" spans="2:8" x14ac:dyDescent="0.35">
      <c r="B375" s="104" t="s">
        <v>140</v>
      </c>
      <c r="C375" s="5" t="s">
        <v>117</v>
      </c>
      <c r="D375" s="87"/>
      <c r="E375" s="101">
        <v>128741.6</v>
      </c>
      <c r="F375" s="5" t="s">
        <v>129</v>
      </c>
      <c r="G375" s="5" t="s">
        <v>223</v>
      </c>
      <c r="H375" s="84"/>
    </row>
    <row r="376" spans="2:8" x14ac:dyDescent="0.35">
      <c r="B376" s="104" t="s">
        <v>140</v>
      </c>
      <c r="C376" s="5" t="s">
        <v>117</v>
      </c>
      <c r="D376" s="87"/>
      <c r="E376" s="101">
        <v>196455.67999999999</v>
      </c>
      <c r="F376" s="5" t="s">
        <v>129</v>
      </c>
      <c r="G376" s="5" t="s">
        <v>223</v>
      </c>
      <c r="H376" s="84"/>
    </row>
    <row r="377" spans="2:8" x14ac:dyDescent="0.35">
      <c r="B377" s="104" t="s">
        <v>140</v>
      </c>
      <c r="C377" s="5" t="s">
        <v>117</v>
      </c>
      <c r="D377" s="87"/>
      <c r="E377" s="101">
        <v>215049.96</v>
      </c>
      <c r="F377" s="5" t="s">
        <v>129</v>
      </c>
      <c r="G377" s="5" t="s">
        <v>223</v>
      </c>
      <c r="H377" s="84"/>
    </row>
    <row r="378" spans="2:8" x14ac:dyDescent="0.35">
      <c r="B378" s="104" t="s">
        <v>140</v>
      </c>
      <c r="C378" s="5" t="s">
        <v>117</v>
      </c>
      <c r="D378" s="87"/>
      <c r="E378" s="101">
        <v>215049.96</v>
      </c>
      <c r="F378" s="5" t="s">
        <v>129</v>
      </c>
      <c r="G378" s="5" t="s">
        <v>223</v>
      </c>
      <c r="H378" s="84"/>
    </row>
    <row r="379" spans="2:8" x14ac:dyDescent="0.35">
      <c r="B379" s="104" t="s">
        <v>140</v>
      </c>
      <c r="C379" s="5" t="s">
        <v>104</v>
      </c>
      <c r="D379" s="87"/>
      <c r="E379" s="101">
        <v>317468.76</v>
      </c>
      <c r="F379" s="5" t="s">
        <v>106</v>
      </c>
      <c r="G379" s="5" t="s">
        <v>224</v>
      </c>
      <c r="H379" s="84"/>
    </row>
    <row r="380" spans="2:8" x14ac:dyDescent="0.35">
      <c r="B380" s="104" t="s">
        <v>140</v>
      </c>
      <c r="C380" s="5" t="s">
        <v>117</v>
      </c>
      <c r="D380" s="87"/>
      <c r="E380" s="101">
        <v>351024.25</v>
      </c>
      <c r="F380" s="5" t="s">
        <v>129</v>
      </c>
      <c r="G380" s="5" t="s">
        <v>223</v>
      </c>
      <c r="H380" s="84"/>
    </row>
    <row r="381" spans="2:8" x14ac:dyDescent="0.35">
      <c r="B381" s="104" t="s">
        <v>140</v>
      </c>
      <c r="C381" s="5" t="s">
        <v>117</v>
      </c>
      <c r="D381" s="87"/>
      <c r="E381" s="101">
        <v>450595.6</v>
      </c>
      <c r="F381" s="5" t="s">
        <v>129</v>
      </c>
      <c r="G381" s="5" t="s">
        <v>223</v>
      </c>
      <c r="H381" s="84"/>
    </row>
    <row r="382" spans="2:8" x14ac:dyDescent="0.35">
      <c r="B382" s="104" t="s">
        <v>140</v>
      </c>
      <c r="C382" s="5" t="s">
        <v>117</v>
      </c>
      <c r="D382" s="87"/>
      <c r="E382" s="101">
        <v>557386.46</v>
      </c>
      <c r="F382" s="5" t="s">
        <v>118</v>
      </c>
      <c r="G382" s="5" t="s">
        <v>226</v>
      </c>
      <c r="H382" s="84"/>
    </row>
    <row r="383" spans="2:8" x14ac:dyDescent="0.35">
      <c r="B383" s="104" t="s">
        <v>140</v>
      </c>
      <c r="C383" s="5" t="s">
        <v>104</v>
      </c>
      <c r="D383" s="87"/>
      <c r="E383" s="101">
        <v>657160.32999999996</v>
      </c>
      <c r="F383" s="5" t="s">
        <v>106</v>
      </c>
      <c r="G383" s="5" t="s">
        <v>224</v>
      </c>
      <c r="H383" s="84"/>
    </row>
    <row r="384" spans="2:8" x14ac:dyDescent="0.35">
      <c r="B384" s="104" t="s">
        <v>140</v>
      </c>
      <c r="C384" s="5" t="s">
        <v>104</v>
      </c>
      <c r="D384" s="87"/>
      <c r="E384" s="101">
        <v>1366120</v>
      </c>
      <c r="F384" s="5" t="s">
        <v>106</v>
      </c>
      <c r="G384" s="5" t="s">
        <v>224</v>
      </c>
      <c r="H384" s="84"/>
    </row>
    <row r="385" spans="2:8" x14ac:dyDescent="0.35">
      <c r="B385" s="104" t="s">
        <v>140</v>
      </c>
      <c r="C385" s="5" t="s">
        <v>132</v>
      </c>
      <c r="D385" s="101">
        <v>153867.09</v>
      </c>
      <c r="E385" s="101"/>
      <c r="F385" s="5" t="s">
        <v>142</v>
      </c>
      <c r="G385" s="5" t="s">
        <v>226</v>
      </c>
      <c r="H385" s="84"/>
    </row>
    <row r="386" spans="2:8" x14ac:dyDescent="0.35">
      <c r="B386" s="104" t="s">
        <v>143</v>
      </c>
      <c r="C386" s="5" t="s">
        <v>117</v>
      </c>
      <c r="D386" s="87"/>
      <c r="E386" s="101">
        <v>3346.78</v>
      </c>
      <c r="F386" s="5" t="s">
        <v>129</v>
      </c>
      <c r="G386" s="5" t="s">
        <v>227</v>
      </c>
      <c r="H386" s="84"/>
    </row>
    <row r="387" spans="2:8" x14ac:dyDescent="0.35">
      <c r="B387" s="104" t="s">
        <v>143</v>
      </c>
      <c r="C387" s="5" t="s">
        <v>117</v>
      </c>
      <c r="D387" s="87"/>
      <c r="E387" s="101">
        <v>7912.16</v>
      </c>
      <c r="F387" s="5" t="s">
        <v>129</v>
      </c>
      <c r="G387" s="5" t="s">
        <v>227</v>
      </c>
      <c r="H387" s="84"/>
    </row>
    <row r="388" spans="2:8" x14ac:dyDescent="0.35">
      <c r="B388" s="104" t="s">
        <v>143</v>
      </c>
      <c r="C388" s="5" t="s">
        <v>117</v>
      </c>
      <c r="D388" s="87"/>
      <c r="E388" s="101">
        <v>8614.6299999999992</v>
      </c>
      <c r="F388" s="5" t="s">
        <v>129</v>
      </c>
      <c r="G388" s="5" t="s">
        <v>227</v>
      </c>
      <c r="H388" s="84"/>
    </row>
    <row r="389" spans="2:8" x14ac:dyDescent="0.35">
      <c r="B389" s="104" t="s">
        <v>143</v>
      </c>
      <c r="C389" s="5" t="s">
        <v>117</v>
      </c>
      <c r="D389" s="87"/>
      <c r="E389" s="101">
        <v>9008.9699999999993</v>
      </c>
      <c r="F389" s="5" t="s">
        <v>129</v>
      </c>
      <c r="G389" s="5" t="s">
        <v>227</v>
      </c>
      <c r="H389" s="84"/>
    </row>
    <row r="390" spans="2:8" x14ac:dyDescent="0.35">
      <c r="B390" s="104" t="s">
        <v>143</v>
      </c>
      <c r="C390" s="5" t="s">
        <v>117</v>
      </c>
      <c r="D390" s="87"/>
      <c r="E390" s="101">
        <v>16280.86</v>
      </c>
      <c r="F390" s="5" t="s">
        <v>129</v>
      </c>
      <c r="G390" s="5" t="s">
        <v>227</v>
      </c>
      <c r="H390" s="84"/>
    </row>
    <row r="391" spans="2:8" x14ac:dyDescent="0.35">
      <c r="B391" s="104" t="s">
        <v>143</v>
      </c>
      <c r="C391" s="5" t="s">
        <v>117</v>
      </c>
      <c r="D391" s="87"/>
      <c r="E391" s="101">
        <v>19311.240000000002</v>
      </c>
      <c r="F391" s="5" t="s">
        <v>129</v>
      </c>
      <c r="G391" s="5" t="s">
        <v>227</v>
      </c>
      <c r="H391" s="84"/>
    </row>
    <row r="392" spans="2:8" x14ac:dyDescent="0.35">
      <c r="B392" s="104" t="s">
        <v>143</v>
      </c>
      <c r="C392" s="5" t="s">
        <v>117</v>
      </c>
      <c r="D392" s="87"/>
      <c r="E392" s="101">
        <v>19311.240000000002</v>
      </c>
      <c r="F392" s="5" t="s">
        <v>129</v>
      </c>
      <c r="G392" s="5" t="s">
        <v>227</v>
      </c>
      <c r="H392" s="84"/>
    </row>
    <row r="393" spans="2:8" x14ac:dyDescent="0.35">
      <c r="B393" s="104" t="s">
        <v>143</v>
      </c>
      <c r="C393" s="5" t="s">
        <v>117</v>
      </c>
      <c r="D393" s="87"/>
      <c r="E393" s="101">
        <v>19311.240000000002</v>
      </c>
      <c r="F393" s="5" t="s">
        <v>129</v>
      </c>
      <c r="G393" s="5" t="s">
        <v>227</v>
      </c>
      <c r="H393" s="84"/>
    </row>
    <row r="394" spans="2:8" x14ac:dyDescent="0.35">
      <c r="B394" s="104" t="s">
        <v>143</v>
      </c>
      <c r="C394" s="5" t="s">
        <v>117</v>
      </c>
      <c r="D394" s="87"/>
      <c r="E394" s="101">
        <v>19311.240000000002</v>
      </c>
      <c r="F394" s="5" t="s">
        <v>129</v>
      </c>
      <c r="G394" s="5" t="s">
        <v>227</v>
      </c>
      <c r="H394" s="84"/>
    </row>
    <row r="395" spans="2:8" x14ac:dyDescent="0.35">
      <c r="B395" s="104" t="s">
        <v>143</v>
      </c>
      <c r="C395" s="5" t="s">
        <v>117</v>
      </c>
      <c r="D395" s="87"/>
      <c r="E395" s="101">
        <v>21688.01</v>
      </c>
      <c r="F395" s="5" t="s">
        <v>129</v>
      </c>
      <c r="G395" s="5" t="s">
        <v>227</v>
      </c>
      <c r="H395" s="84"/>
    </row>
    <row r="396" spans="2:8" x14ac:dyDescent="0.35">
      <c r="B396" s="104" t="s">
        <v>143</v>
      </c>
      <c r="C396" s="5" t="s">
        <v>117</v>
      </c>
      <c r="D396" s="87"/>
      <c r="E396" s="101">
        <v>25748.32</v>
      </c>
      <c r="F396" s="5" t="s">
        <v>129</v>
      </c>
      <c r="G396" s="5" t="s">
        <v>227</v>
      </c>
      <c r="H396" s="84"/>
    </row>
    <row r="397" spans="2:8" x14ac:dyDescent="0.35">
      <c r="B397" s="104" t="s">
        <v>143</v>
      </c>
      <c r="C397" s="5" t="s">
        <v>117</v>
      </c>
      <c r="D397" s="87"/>
      <c r="E397" s="101">
        <v>25748.32</v>
      </c>
      <c r="F397" s="5" t="s">
        <v>129</v>
      </c>
      <c r="G397" s="5" t="s">
        <v>227</v>
      </c>
      <c r="H397" s="84"/>
    </row>
    <row r="398" spans="2:8" x14ac:dyDescent="0.35">
      <c r="B398" s="104" t="s">
        <v>143</v>
      </c>
      <c r="C398" s="5" t="s">
        <v>117</v>
      </c>
      <c r="D398" s="87"/>
      <c r="E398" s="101">
        <v>30897.98</v>
      </c>
      <c r="F398" s="5" t="s">
        <v>129</v>
      </c>
      <c r="G398" s="5" t="s">
        <v>227</v>
      </c>
      <c r="H398" s="84"/>
    </row>
    <row r="399" spans="2:8" x14ac:dyDescent="0.35">
      <c r="B399" s="104" t="s">
        <v>143</v>
      </c>
      <c r="C399" s="5" t="s">
        <v>117</v>
      </c>
      <c r="D399" s="87"/>
      <c r="E399" s="101">
        <v>30897.98</v>
      </c>
      <c r="F399" s="5" t="s">
        <v>129</v>
      </c>
      <c r="G399" s="5" t="s">
        <v>227</v>
      </c>
      <c r="H399" s="84"/>
    </row>
    <row r="400" spans="2:8" x14ac:dyDescent="0.35">
      <c r="B400" s="104" t="s">
        <v>143</v>
      </c>
      <c r="C400" s="5" t="s">
        <v>117</v>
      </c>
      <c r="D400" s="87"/>
      <c r="E400" s="101">
        <v>30897.98</v>
      </c>
      <c r="F400" s="5" t="s">
        <v>129</v>
      </c>
      <c r="G400" s="5" t="s">
        <v>227</v>
      </c>
      <c r="H400" s="84"/>
    </row>
    <row r="401" spans="2:8" x14ac:dyDescent="0.35">
      <c r="B401" s="104" t="s">
        <v>143</v>
      </c>
      <c r="C401" s="5" t="s">
        <v>117</v>
      </c>
      <c r="D401" s="87"/>
      <c r="E401" s="101">
        <v>30897.98</v>
      </c>
      <c r="F401" s="5" t="s">
        <v>129</v>
      </c>
      <c r="G401" s="5" t="s">
        <v>227</v>
      </c>
      <c r="H401" s="84"/>
    </row>
    <row r="402" spans="2:8" x14ac:dyDescent="0.35">
      <c r="B402" s="104" t="s">
        <v>143</v>
      </c>
      <c r="C402" s="5" t="s">
        <v>104</v>
      </c>
      <c r="D402" s="87"/>
      <c r="E402" s="101">
        <v>38056.199999999997</v>
      </c>
      <c r="F402" s="5" t="s">
        <v>106</v>
      </c>
      <c r="G402" s="5" t="s">
        <v>228</v>
      </c>
      <c r="H402" s="84"/>
    </row>
    <row r="403" spans="2:8" x14ac:dyDescent="0.35">
      <c r="B403" s="104" t="s">
        <v>143</v>
      </c>
      <c r="C403" s="5" t="s">
        <v>104</v>
      </c>
      <c r="D403" s="87"/>
      <c r="E403" s="101">
        <v>38056.199999999997</v>
      </c>
      <c r="F403" s="5" t="s">
        <v>106</v>
      </c>
      <c r="G403" s="5" t="s">
        <v>228</v>
      </c>
      <c r="H403" s="84"/>
    </row>
    <row r="404" spans="2:8" x14ac:dyDescent="0.35">
      <c r="B404" s="104" t="s">
        <v>143</v>
      </c>
      <c r="C404" s="5" t="s">
        <v>104</v>
      </c>
      <c r="D404" s="87"/>
      <c r="E404" s="101">
        <v>38056.199999999997</v>
      </c>
      <c r="F404" s="5" t="s">
        <v>106</v>
      </c>
      <c r="G404" s="5" t="s">
        <v>228</v>
      </c>
      <c r="H404" s="84"/>
    </row>
    <row r="405" spans="2:8" x14ac:dyDescent="0.35">
      <c r="B405" s="104" t="s">
        <v>143</v>
      </c>
      <c r="C405" s="5" t="s">
        <v>117</v>
      </c>
      <c r="D405" s="87"/>
      <c r="E405" s="101">
        <v>38622.480000000003</v>
      </c>
      <c r="F405" s="5" t="s">
        <v>129</v>
      </c>
      <c r="G405" s="5" t="s">
        <v>227</v>
      </c>
      <c r="H405" s="84"/>
    </row>
    <row r="406" spans="2:8" x14ac:dyDescent="0.35">
      <c r="B406" s="104" t="s">
        <v>143</v>
      </c>
      <c r="C406" s="5" t="s">
        <v>117</v>
      </c>
      <c r="D406" s="87"/>
      <c r="E406" s="101">
        <v>38622.480000000003</v>
      </c>
      <c r="F406" s="5" t="s">
        <v>129</v>
      </c>
      <c r="G406" s="5" t="s">
        <v>227</v>
      </c>
      <c r="H406" s="84"/>
    </row>
    <row r="407" spans="2:8" x14ac:dyDescent="0.35">
      <c r="B407" s="104" t="s">
        <v>143</v>
      </c>
      <c r="C407" s="5" t="s">
        <v>117</v>
      </c>
      <c r="D407" s="87"/>
      <c r="E407" s="101">
        <v>38622.480000000003</v>
      </c>
      <c r="F407" s="5" t="s">
        <v>129</v>
      </c>
      <c r="G407" s="5" t="s">
        <v>227</v>
      </c>
      <c r="H407" s="84"/>
    </row>
    <row r="408" spans="2:8" x14ac:dyDescent="0.35">
      <c r="B408" s="104" t="s">
        <v>143</v>
      </c>
      <c r="C408" s="5" t="s">
        <v>117</v>
      </c>
      <c r="D408" s="87"/>
      <c r="E408" s="101">
        <v>38622.480000000003</v>
      </c>
      <c r="F408" s="5" t="s">
        <v>129</v>
      </c>
      <c r="G408" s="5" t="s">
        <v>227</v>
      </c>
      <c r="H408" s="84"/>
    </row>
    <row r="409" spans="2:8" x14ac:dyDescent="0.35">
      <c r="B409" s="104" t="s">
        <v>143</v>
      </c>
      <c r="C409" s="5" t="s">
        <v>117</v>
      </c>
      <c r="D409" s="87"/>
      <c r="E409" s="101">
        <v>38622.480000000003</v>
      </c>
      <c r="F409" s="5" t="s">
        <v>129</v>
      </c>
      <c r="G409" s="5" t="s">
        <v>227</v>
      </c>
      <c r="H409" s="84"/>
    </row>
    <row r="410" spans="2:8" x14ac:dyDescent="0.35">
      <c r="B410" s="104" t="s">
        <v>143</v>
      </c>
      <c r="C410" s="5" t="s">
        <v>117</v>
      </c>
      <c r="D410" s="87"/>
      <c r="E410" s="101">
        <v>38622.480000000003</v>
      </c>
      <c r="F410" s="5" t="s">
        <v>129</v>
      </c>
      <c r="G410" s="5" t="s">
        <v>227</v>
      </c>
      <c r="H410" s="84"/>
    </row>
    <row r="411" spans="2:8" x14ac:dyDescent="0.35">
      <c r="B411" s="104" t="s">
        <v>143</v>
      </c>
      <c r="C411" s="5" t="s">
        <v>117</v>
      </c>
      <c r="D411" s="87"/>
      <c r="E411" s="101">
        <v>38622.480000000003</v>
      </c>
      <c r="F411" s="5" t="s">
        <v>129</v>
      </c>
      <c r="G411" s="5" t="s">
        <v>227</v>
      </c>
      <c r="H411" s="84"/>
    </row>
    <row r="412" spans="2:8" x14ac:dyDescent="0.35">
      <c r="B412" s="104" t="s">
        <v>143</v>
      </c>
      <c r="C412" s="5" t="s">
        <v>117</v>
      </c>
      <c r="D412" s="87"/>
      <c r="E412" s="101">
        <v>38622.480000000003</v>
      </c>
      <c r="F412" s="5" t="s">
        <v>129</v>
      </c>
      <c r="G412" s="5" t="s">
        <v>227</v>
      </c>
      <c r="H412" s="84"/>
    </row>
    <row r="413" spans="2:8" x14ac:dyDescent="0.35">
      <c r="B413" s="104" t="s">
        <v>143</v>
      </c>
      <c r="C413" s="5" t="s">
        <v>117</v>
      </c>
      <c r="D413" s="87"/>
      <c r="E413" s="101">
        <v>38622.480000000003</v>
      </c>
      <c r="F413" s="5" t="s">
        <v>129</v>
      </c>
      <c r="G413" s="5" t="s">
        <v>227</v>
      </c>
      <c r="H413" s="84"/>
    </row>
    <row r="414" spans="2:8" x14ac:dyDescent="0.35">
      <c r="B414" s="104" t="s">
        <v>143</v>
      </c>
      <c r="C414" s="5" t="s">
        <v>117</v>
      </c>
      <c r="D414" s="87"/>
      <c r="E414" s="101">
        <v>38622.480000000003</v>
      </c>
      <c r="F414" s="5" t="s">
        <v>129</v>
      </c>
      <c r="G414" s="5" t="s">
        <v>227</v>
      </c>
      <c r="H414" s="84"/>
    </row>
    <row r="415" spans="2:8" x14ac:dyDescent="0.35">
      <c r="B415" s="104" t="s">
        <v>143</v>
      </c>
      <c r="C415" s="5" t="s">
        <v>117</v>
      </c>
      <c r="D415" s="87"/>
      <c r="E415" s="101">
        <v>38622.480000000003</v>
      </c>
      <c r="F415" s="5" t="s">
        <v>129</v>
      </c>
      <c r="G415" s="5" t="s">
        <v>227</v>
      </c>
      <c r="H415" s="84"/>
    </row>
    <row r="416" spans="2:8" x14ac:dyDescent="0.35">
      <c r="B416" s="104" t="s">
        <v>143</v>
      </c>
      <c r="C416" s="5" t="s">
        <v>117</v>
      </c>
      <c r="D416" s="87"/>
      <c r="E416" s="101">
        <v>38622.480000000003</v>
      </c>
      <c r="F416" s="5" t="s">
        <v>129</v>
      </c>
      <c r="G416" s="5" t="s">
        <v>227</v>
      </c>
      <c r="H416" s="84"/>
    </row>
    <row r="417" spans="2:8" x14ac:dyDescent="0.35">
      <c r="B417" s="104" t="s">
        <v>143</v>
      </c>
      <c r="C417" s="5" t="s">
        <v>117</v>
      </c>
      <c r="D417" s="87"/>
      <c r="E417" s="101">
        <v>38622.480000000003</v>
      </c>
      <c r="F417" s="5" t="s">
        <v>129</v>
      </c>
      <c r="G417" s="5" t="s">
        <v>227</v>
      </c>
      <c r="H417" s="84"/>
    </row>
    <row r="418" spans="2:8" x14ac:dyDescent="0.35">
      <c r="B418" s="104" t="s">
        <v>143</v>
      </c>
      <c r="C418" s="5" t="s">
        <v>117</v>
      </c>
      <c r="D418" s="87"/>
      <c r="E418" s="101">
        <v>38622.480000000003</v>
      </c>
      <c r="F418" s="5" t="s">
        <v>129</v>
      </c>
      <c r="G418" s="5" t="s">
        <v>227</v>
      </c>
      <c r="H418" s="84"/>
    </row>
    <row r="419" spans="2:8" x14ac:dyDescent="0.35">
      <c r="B419" s="104" t="s">
        <v>143</v>
      </c>
      <c r="C419" s="5" t="s">
        <v>117</v>
      </c>
      <c r="D419" s="87"/>
      <c r="E419" s="101">
        <v>38622.480000000003</v>
      </c>
      <c r="F419" s="5" t="s">
        <v>129</v>
      </c>
      <c r="G419" s="5" t="s">
        <v>227</v>
      </c>
      <c r="H419" s="84"/>
    </row>
    <row r="420" spans="2:8" x14ac:dyDescent="0.35">
      <c r="B420" s="104" t="s">
        <v>143</v>
      </c>
      <c r="C420" s="5" t="s">
        <v>117</v>
      </c>
      <c r="D420" s="87"/>
      <c r="E420" s="101">
        <v>38622.480000000003</v>
      </c>
      <c r="F420" s="5" t="s">
        <v>129</v>
      </c>
      <c r="G420" s="5" t="s">
        <v>227</v>
      </c>
      <c r="H420" s="84"/>
    </row>
    <row r="421" spans="2:8" x14ac:dyDescent="0.35">
      <c r="B421" s="104" t="s">
        <v>143</v>
      </c>
      <c r="C421" s="5" t="s">
        <v>117</v>
      </c>
      <c r="D421" s="87"/>
      <c r="E421" s="101">
        <v>38622.480000000003</v>
      </c>
      <c r="F421" s="5" t="s">
        <v>129</v>
      </c>
      <c r="G421" s="5" t="s">
        <v>227</v>
      </c>
      <c r="H421" s="84"/>
    </row>
    <row r="422" spans="2:8" x14ac:dyDescent="0.35">
      <c r="B422" s="104" t="s">
        <v>143</v>
      </c>
      <c r="C422" s="5" t="s">
        <v>117</v>
      </c>
      <c r="D422" s="87"/>
      <c r="E422" s="101">
        <v>38622.480000000003</v>
      </c>
      <c r="F422" s="5" t="s">
        <v>129</v>
      </c>
      <c r="G422" s="5" t="s">
        <v>227</v>
      </c>
      <c r="H422" s="84"/>
    </row>
    <row r="423" spans="2:8" x14ac:dyDescent="0.35">
      <c r="B423" s="104" t="s">
        <v>143</v>
      </c>
      <c r="C423" s="5" t="s">
        <v>117</v>
      </c>
      <c r="D423" s="87"/>
      <c r="E423" s="101">
        <v>38622.480000000003</v>
      </c>
      <c r="F423" s="5" t="s">
        <v>129</v>
      </c>
      <c r="G423" s="5" t="s">
        <v>227</v>
      </c>
      <c r="H423" s="84"/>
    </row>
    <row r="424" spans="2:8" x14ac:dyDescent="0.35">
      <c r="B424" s="104" t="s">
        <v>143</v>
      </c>
      <c r="C424" s="5" t="s">
        <v>117</v>
      </c>
      <c r="D424" s="87"/>
      <c r="E424" s="101">
        <v>38622.480000000003</v>
      </c>
      <c r="F424" s="5" t="s">
        <v>129</v>
      </c>
      <c r="G424" s="5" t="s">
        <v>227</v>
      </c>
      <c r="H424" s="84"/>
    </row>
    <row r="425" spans="2:8" x14ac:dyDescent="0.35">
      <c r="B425" s="104" t="s">
        <v>143</v>
      </c>
      <c r="C425" s="5" t="s">
        <v>117</v>
      </c>
      <c r="D425" s="87"/>
      <c r="E425" s="101">
        <v>38622.480000000003</v>
      </c>
      <c r="F425" s="5" t="s">
        <v>129</v>
      </c>
      <c r="G425" s="5" t="s">
        <v>227</v>
      </c>
      <c r="H425" s="84"/>
    </row>
    <row r="426" spans="2:8" x14ac:dyDescent="0.35">
      <c r="B426" s="104" t="s">
        <v>143</v>
      </c>
      <c r="C426" s="5" t="s">
        <v>117</v>
      </c>
      <c r="D426" s="87"/>
      <c r="E426" s="101">
        <v>38622.480000000003</v>
      </c>
      <c r="F426" s="5" t="s">
        <v>129</v>
      </c>
      <c r="G426" s="5" t="s">
        <v>227</v>
      </c>
      <c r="H426" s="84"/>
    </row>
    <row r="427" spans="2:8" x14ac:dyDescent="0.35">
      <c r="B427" s="104" t="s">
        <v>143</v>
      </c>
      <c r="C427" s="5" t="s">
        <v>117</v>
      </c>
      <c r="D427" s="87"/>
      <c r="E427" s="101">
        <v>38622.480000000003</v>
      </c>
      <c r="F427" s="5" t="s">
        <v>129</v>
      </c>
      <c r="G427" s="5" t="s">
        <v>227</v>
      </c>
      <c r="H427" s="84"/>
    </row>
    <row r="428" spans="2:8" x14ac:dyDescent="0.35">
      <c r="B428" s="104" t="s">
        <v>143</v>
      </c>
      <c r="C428" s="5" t="s">
        <v>117</v>
      </c>
      <c r="D428" s="87"/>
      <c r="E428" s="101">
        <v>38622.480000000003</v>
      </c>
      <c r="F428" s="5" t="s">
        <v>129</v>
      </c>
      <c r="G428" s="5" t="s">
        <v>227</v>
      </c>
      <c r="H428" s="84"/>
    </row>
    <row r="429" spans="2:8" x14ac:dyDescent="0.35">
      <c r="B429" s="104" t="s">
        <v>143</v>
      </c>
      <c r="C429" s="5" t="s">
        <v>117</v>
      </c>
      <c r="D429" s="87"/>
      <c r="E429" s="101">
        <v>38622.480000000003</v>
      </c>
      <c r="F429" s="5" t="s">
        <v>129</v>
      </c>
      <c r="G429" s="5" t="s">
        <v>227</v>
      </c>
      <c r="H429" s="84"/>
    </row>
    <row r="430" spans="2:8" x14ac:dyDescent="0.35">
      <c r="B430" s="104" t="s">
        <v>143</v>
      </c>
      <c r="C430" s="5" t="s">
        <v>117</v>
      </c>
      <c r="D430" s="87"/>
      <c r="E430" s="101">
        <v>38622.480000000003</v>
      </c>
      <c r="F430" s="5" t="s">
        <v>129</v>
      </c>
      <c r="G430" s="5" t="s">
        <v>227</v>
      </c>
      <c r="H430" s="84"/>
    </row>
    <row r="431" spans="2:8" x14ac:dyDescent="0.35">
      <c r="B431" s="104" t="s">
        <v>143</v>
      </c>
      <c r="C431" s="5" t="s">
        <v>117</v>
      </c>
      <c r="D431" s="87"/>
      <c r="E431" s="101">
        <v>38622.480000000003</v>
      </c>
      <c r="F431" s="5" t="s">
        <v>129</v>
      </c>
      <c r="G431" s="5" t="s">
        <v>227</v>
      </c>
      <c r="H431" s="84"/>
    </row>
    <row r="432" spans="2:8" x14ac:dyDescent="0.35">
      <c r="B432" s="104" t="s">
        <v>143</v>
      </c>
      <c r="C432" s="5" t="s">
        <v>117</v>
      </c>
      <c r="D432" s="87"/>
      <c r="E432" s="101">
        <v>38622.480000000003</v>
      </c>
      <c r="F432" s="5" t="s">
        <v>129</v>
      </c>
      <c r="G432" s="5" t="s">
        <v>227</v>
      </c>
      <c r="H432" s="84"/>
    </row>
    <row r="433" spans="2:8" x14ac:dyDescent="0.35">
      <c r="B433" s="104" t="s">
        <v>143</v>
      </c>
      <c r="C433" s="5" t="s">
        <v>117</v>
      </c>
      <c r="D433" s="87"/>
      <c r="E433" s="101">
        <v>38622.480000000003</v>
      </c>
      <c r="F433" s="5" t="s">
        <v>129</v>
      </c>
      <c r="G433" s="5" t="s">
        <v>227</v>
      </c>
      <c r="H433" s="84"/>
    </row>
    <row r="434" spans="2:8" x14ac:dyDescent="0.35">
      <c r="B434" s="104" t="s">
        <v>143</v>
      </c>
      <c r="C434" s="5" t="s">
        <v>117</v>
      </c>
      <c r="D434" s="87"/>
      <c r="E434" s="101">
        <v>38622.480000000003</v>
      </c>
      <c r="F434" s="5" t="s">
        <v>129</v>
      </c>
      <c r="G434" s="5" t="s">
        <v>227</v>
      </c>
      <c r="H434" s="84"/>
    </row>
    <row r="435" spans="2:8" x14ac:dyDescent="0.35">
      <c r="B435" s="104" t="s">
        <v>143</v>
      </c>
      <c r="C435" s="5" t="s">
        <v>117</v>
      </c>
      <c r="D435" s="87"/>
      <c r="E435" s="101">
        <v>38622.480000000003</v>
      </c>
      <c r="F435" s="5" t="s">
        <v>129</v>
      </c>
      <c r="G435" s="5" t="s">
        <v>227</v>
      </c>
      <c r="H435" s="84"/>
    </row>
    <row r="436" spans="2:8" x14ac:dyDescent="0.35">
      <c r="B436" s="104" t="s">
        <v>143</v>
      </c>
      <c r="C436" s="5" t="s">
        <v>117</v>
      </c>
      <c r="D436" s="87"/>
      <c r="E436" s="101">
        <v>38622.480000000003</v>
      </c>
      <c r="F436" s="5" t="s">
        <v>129</v>
      </c>
      <c r="G436" s="5" t="s">
        <v>227</v>
      </c>
      <c r="H436" s="84"/>
    </row>
    <row r="437" spans="2:8" x14ac:dyDescent="0.35">
      <c r="B437" s="104" t="s">
        <v>143</v>
      </c>
      <c r="C437" s="5" t="s">
        <v>117</v>
      </c>
      <c r="D437" s="87"/>
      <c r="E437" s="101">
        <v>38622.480000000003</v>
      </c>
      <c r="F437" s="5" t="s">
        <v>129</v>
      </c>
      <c r="G437" s="5" t="s">
        <v>227</v>
      </c>
      <c r="H437" s="84"/>
    </row>
    <row r="438" spans="2:8" x14ac:dyDescent="0.35">
      <c r="B438" s="104" t="s">
        <v>143</v>
      </c>
      <c r="C438" s="5" t="s">
        <v>117</v>
      </c>
      <c r="D438" s="87"/>
      <c r="E438" s="101">
        <v>38622.480000000003</v>
      </c>
      <c r="F438" s="5" t="s">
        <v>129</v>
      </c>
      <c r="G438" s="5" t="s">
        <v>227</v>
      </c>
      <c r="H438" s="84"/>
    </row>
    <row r="439" spans="2:8" x14ac:dyDescent="0.35">
      <c r="B439" s="104" t="s">
        <v>143</v>
      </c>
      <c r="C439" s="5" t="s">
        <v>117</v>
      </c>
      <c r="D439" s="87"/>
      <c r="E439" s="101">
        <v>38622.480000000003</v>
      </c>
      <c r="F439" s="5" t="s">
        <v>129</v>
      </c>
      <c r="G439" s="5" t="s">
        <v>227</v>
      </c>
      <c r="H439" s="84"/>
    </row>
    <row r="440" spans="2:8" x14ac:dyDescent="0.35">
      <c r="B440" s="104" t="s">
        <v>143</v>
      </c>
      <c r="C440" s="5" t="s">
        <v>117</v>
      </c>
      <c r="D440" s="87"/>
      <c r="E440" s="101">
        <v>38622.480000000003</v>
      </c>
      <c r="F440" s="5" t="s">
        <v>129</v>
      </c>
      <c r="G440" s="5" t="s">
        <v>227</v>
      </c>
      <c r="H440" s="84"/>
    </row>
    <row r="441" spans="2:8" x14ac:dyDescent="0.35">
      <c r="B441" s="104" t="s">
        <v>143</v>
      </c>
      <c r="C441" s="5" t="s">
        <v>117</v>
      </c>
      <c r="D441" s="87"/>
      <c r="E441" s="101">
        <v>38622.480000000003</v>
      </c>
      <c r="F441" s="5" t="s">
        <v>129</v>
      </c>
      <c r="G441" s="5" t="s">
        <v>227</v>
      </c>
      <c r="H441" s="84"/>
    </row>
    <row r="442" spans="2:8" x14ac:dyDescent="0.35">
      <c r="B442" s="104" t="s">
        <v>143</v>
      </c>
      <c r="C442" s="5" t="s">
        <v>117</v>
      </c>
      <c r="D442" s="87"/>
      <c r="E442" s="101">
        <v>38622.480000000003</v>
      </c>
      <c r="F442" s="5" t="s">
        <v>129</v>
      </c>
      <c r="G442" s="5" t="s">
        <v>227</v>
      </c>
      <c r="H442" s="84"/>
    </row>
    <row r="443" spans="2:8" x14ac:dyDescent="0.35">
      <c r="B443" s="104" t="s">
        <v>143</v>
      </c>
      <c r="C443" s="5" t="s">
        <v>117</v>
      </c>
      <c r="D443" s="87"/>
      <c r="E443" s="101">
        <v>38622.480000000003</v>
      </c>
      <c r="F443" s="5" t="s">
        <v>129</v>
      </c>
      <c r="G443" s="5" t="s">
        <v>227</v>
      </c>
      <c r="H443" s="84"/>
    </row>
    <row r="444" spans="2:8" x14ac:dyDescent="0.35">
      <c r="B444" s="104" t="s">
        <v>143</v>
      </c>
      <c r="C444" s="5" t="s">
        <v>117</v>
      </c>
      <c r="D444" s="87"/>
      <c r="E444" s="101">
        <v>38622.480000000003</v>
      </c>
      <c r="F444" s="5" t="s">
        <v>129</v>
      </c>
      <c r="G444" s="5" t="s">
        <v>227</v>
      </c>
      <c r="H444" s="84"/>
    </row>
    <row r="445" spans="2:8" x14ac:dyDescent="0.35">
      <c r="B445" s="104" t="s">
        <v>143</v>
      </c>
      <c r="C445" s="5" t="s">
        <v>117</v>
      </c>
      <c r="D445" s="87"/>
      <c r="E445" s="101">
        <v>38622.480000000003</v>
      </c>
      <c r="F445" s="5" t="s">
        <v>129</v>
      </c>
      <c r="G445" s="5" t="s">
        <v>227</v>
      </c>
      <c r="H445" s="84"/>
    </row>
    <row r="446" spans="2:8" x14ac:dyDescent="0.35">
      <c r="B446" s="104" t="s">
        <v>143</v>
      </c>
      <c r="C446" s="5" t="s">
        <v>117</v>
      </c>
      <c r="D446" s="87"/>
      <c r="E446" s="101">
        <v>38622.480000000003</v>
      </c>
      <c r="F446" s="5" t="s">
        <v>129</v>
      </c>
      <c r="G446" s="5" t="s">
        <v>227</v>
      </c>
      <c r="H446" s="84"/>
    </row>
    <row r="447" spans="2:8" x14ac:dyDescent="0.35">
      <c r="B447" s="104" t="s">
        <v>143</v>
      </c>
      <c r="C447" s="5" t="s">
        <v>117</v>
      </c>
      <c r="D447" s="87"/>
      <c r="E447" s="101">
        <v>38622.480000000003</v>
      </c>
      <c r="F447" s="5" t="s">
        <v>129</v>
      </c>
      <c r="G447" s="5" t="s">
        <v>227</v>
      </c>
      <c r="H447" s="84"/>
    </row>
    <row r="448" spans="2:8" x14ac:dyDescent="0.35">
      <c r="B448" s="104" t="s">
        <v>143</v>
      </c>
      <c r="C448" s="5" t="s">
        <v>117</v>
      </c>
      <c r="D448" s="87"/>
      <c r="E448" s="101">
        <v>38622.480000000003</v>
      </c>
      <c r="F448" s="5" t="s">
        <v>129</v>
      </c>
      <c r="G448" s="5" t="s">
        <v>227</v>
      </c>
      <c r="H448" s="84"/>
    </row>
    <row r="449" spans="2:8" x14ac:dyDescent="0.35">
      <c r="B449" s="104" t="s">
        <v>143</v>
      </c>
      <c r="C449" s="5" t="s">
        <v>117</v>
      </c>
      <c r="D449" s="87"/>
      <c r="E449" s="101">
        <v>38622.480000000003</v>
      </c>
      <c r="F449" s="5" t="s">
        <v>129</v>
      </c>
      <c r="G449" s="5" t="s">
        <v>227</v>
      </c>
      <c r="H449" s="84"/>
    </row>
    <row r="450" spans="2:8" x14ac:dyDescent="0.35">
      <c r="B450" s="104" t="s">
        <v>143</v>
      </c>
      <c r="C450" s="5" t="s">
        <v>117</v>
      </c>
      <c r="D450" s="87"/>
      <c r="E450" s="101">
        <v>38622.480000000003</v>
      </c>
      <c r="F450" s="5" t="s">
        <v>129</v>
      </c>
      <c r="G450" s="5" t="s">
        <v>227</v>
      </c>
      <c r="H450" s="84"/>
    </row>
    <row r="451" spans="2:8" x14ac:dyDescent="0.35">
      <c r="B451" s="104" t="s">
        <v>143</v>
      </c>
      <c r="C451" s="5" t="s">
        <v>117</v>
      </c>
      <c r="D451" s="87"/>
      <c r="E451" s="101">
        <v>38622.480000000003</v>
      </c>
      <c r="F451" s="5" t="s">
        <v>129</v>
      </c>
      <c r="G451" s="5" t="s">
        <v>227</v>
      </c>
      <c r="H451" s="84"/>
    </row>
    <row r="452" spans="2:8" x14ac:dyDescent="0.35">
      <c r="B452" s="104" t="s">
        <v>143</v>
      </c>
      <c r="C452" s="5" t="s">
        <v>117</v>
      </c>
      <c r="D452" s="87"/>
      <c r="E452" s="101">
        <v>38622.480000000003</v>
      </c>
      <c r="F452" s="5" t="s">
        <v>129</v>
      </c>
      <c r="G452" s="5" t="s">
        <v>227</v>
      </c>
      <c r="H452" s="84"/>
    </row>
    <row r="453" spans="2:8" x14ac:dyDescent="0.35">
      <c r="B453" s="104" t="s">
        <v>143</v>
      </c>
      <c r="C453" s="5" t="s">
        <v>117</v>
      </c>
      <c r="D453" s="87"/>
      <c r="E453" s="101">
        <v>38622.480000000003</v>
      </c>
      <c r="F453" s="5" t="s">
        <v>129</v>
      </c>
      <c r="G453" s="5" t="s">
        <v>227</v>
      </c>
      <c r="H453" s="84"/>
    </row>
    <row r="454" spans="2:8" x14ac:dyDescent="0.35">
      <c r="B454" s="104" t="s">
        <v>143</v>
      </c>
      <c r="C454" s="5" t="s">
        <v>117</v>
      </c>
      <c r="D454" s="87"/>
      <c r="E454" s="101">
        <v>38622.480000000003</v>
      </c>
      <c r="F454" s="5" t="s">
        <v>129</v>
      </c>
      <c r="G454" s="5" t="s">
        <v>227</v>
      </c>
      <c r="H454" s="84"/>
    </row>
    <row r="455" spans="2:8" x14ac:dyDescent="0.35">
      <c r="B455" s="104" t="s">
        <v>143</v>
      </c>
      <c r="C455" s="5" t="s">
        <v>117</v>
      </c>
      <c r="D455" s="87"/>
      <c r="E455" s="101">
        <v>38622.480000000003</v>
      </c>
      <c r="F455" s="5" t="s">
        <v>129</v>
      </c>
      <c r="G455" s="5" t="s">
        <v>227</v>
      </c>
      <c r="H455" s="84"/>
    </row>
    <row r="456" spans="2:8" x14ac:dyDescent="0.35">
      <c r="B456" s="104" t="s">
        <v>143</v>
      </c>
      <c r="C456" s="5" t="s">
        <v>117</v>
      </c>
      <c r="D456" s="87"/>
      <c r="E456" s="101">
        <v>44623.82</v>
      </c>
      <c r="F456" s="5" t="s">
        <v>129</v>
      </c>
      <c r="G456" s="5" t="s">
        <v>227</v>
      </c>
      <c r="H456" s="84"/>
    </row>
    <row r="457" spans="2:8" x14ac:dyDescent="0.35">
      <c r="B457" s="104" t="s">
        <v>143</v>
      </c>
      <c r="C457" s="5" t="s">
        <v>117</v>
      </c>
      <c r="D457" s="87"/>
      <c r="E457" s="101">
        <v>44623.82</v>
      </c>
      <c r="F457" s="5" t="s">
        <v>129</v>
      </c>
      <c r="G457" s="5" t="s">
        <v>227</v>
      </c>
      <c r="H457" s="84"/>
    </row>
    <row r="458" spans="2:8" x14ac:dyDescent="0.35">
      <c r="B458" s="104" t="s">
        <v>143</v>
      </c>
      <c r="C458" s="5" t="s">
        <v>117</v>
      </c>
      <c r="D458" s="87"/>
      <c r="E458" s="101">
        <v>47634.39</v>
      </c>
      <c r="F458" s="5" t="s">
        <v>129</v>
      </c>
      <c r="G458" s="5" t="s">
        <v>227</v>
      </c>
      <c r="H458" s="84"/>
    </row>
    <row r="459" spans="2:8" x14ac:dyDescent="0.35">
      <c r="B459" s="104" t="s">
        <v>143</v>
      </c>
      <c r="C459" s="5" t="s">
        <v>117</v>
      </c>
      <c r="D459" s="87"/>
      <c r="E459" s="101">
        <v>47634.39</v>
      </c>
      <c r="F459" s="5" t="s">
        <v>129</v>
      </c>
      <c r="G459" s="5" t="s">
        <v>227</v>
      </c>
      <c r="H459" s="84"/>
    </row>
    <row r="460" spans="2:8" x14ac:dyDescent="0.35">
      <c r="B460" s="104" t="s">
        <v>143</v>
      </c>
      <c r="C460" s="5" t="s">
        <v>117</v>
      </c>
      <c r="D460" s="87"/>
      <c r="E460" s="101">
        <v>51496.639999999999</v>
      </c>
      <c r="F460" s="5" t="s">
        <v>129</v>
      </c>
      <c r="G460" s="5" t="s">
        <v>227</v>
      </c>
      <c r="H460" s="84"/>
    </row>
    <row r="461" spans="2:8" x14ac:dyDescent="0.35">
      <c r="B461" s="104" t="s">
        <v>143</v>
      </c>
      <c r="C461" s="5" t="s">
        <v>117</v>
      </c>
      <c r="D461" s="87"/>
      <c r="E461" s="101">
        <v>51496.639999999999</v>
      </c>
      <c r="F461" s="5" t="s">
        <v>129</v>
      </c>
      <c r="G461" s="5" t="s">
        <v>227</v>
      </c>
      <c r="H461" s="84"/>
    </row>
    <row r="462" spans="2:8" x14ac:dyDescent="0.35">
      <c r="B462" s="104" t="s">
        <v>143</v>
      </c>
      <c r="C462" s="5" t="s">
        <v>117</v>
      </c>
      <c r="D462" s="87"/>
      <c r="E462" s="101">
        <v>51496.639999999999</v>
      </c>
      <c r="F462" s="5" t="s">
        <v>129</v>
      </c>
      <c r="G462" s="5" t="s">
        <v>227</v>
      </c>
      <c r="H462" s="84"/>
    </row>
    <row r="463" spans="2:8" x14ac:dyDescent="0.35">
      <c r="B463" s="104" t="s">
        <v>143</v>
      </c>
      <c r="C463" s="5" t="s">
        <v>117</v>
      </c>
      <c r="D463" s="87"/>
      <c r="E463" s="101">
        <v>51496.639999999999</v>
      </c>
      <c r="F463" s="5" t="s">
        <v>129</v>
      </c>
      <c r="G463" s="5" t="s">
        <v>227</v>
      </c>
      <c r="H463" s="84"/>
    </row>
    <row r="464" spans="2:8" x14ac:dyDescent="0.35">
      <c r="B464" s="104" t="s">
        <v>143</v>
      </c>
      <c r="C464" s="5" t="s">
        <v>117</v>
      </c>
      <c r="D464" s="87"/>
      <c r="E464" s="101">
        <v>51496.639999999999</v>
      </c>
      <c r="F464" s="5" t="s">
        <v>129</v>
      </c>
      <c r="G464" s="5" t="s">
        <v>227</v>
      </c>
      <c r="H464" s="84"/>
    </row>
    <row r="465" spans="2:8" x14ac:dyDescent="0.35">
      <c r="B465" s="104" t="s">
        <v>143</v>
      </c>
      <c r="C465" s="5" t="s">
        <v>117</v>
      </c>
      <c r="D465" s="87"/>
      <c r="E465" s="101">
        <v>51496.639999999999</v>
      </c>
      <c r="F465" s="5" t="s">
        <v>129</v>
      </c>
      <c r="G465" s="5" t="s">
        <v>227</v>
      </c>
      <c r="H465" s="84"/>
    </row>
    <row r="466" spans="2:8" x14ac:dyDescent="0.35">
      <c r="B466" s="104" t="s">
        <v>143</v>
      </c>
      <c r="C466" s="5" t="s">
        <v>117</v>
      </c>
      <c r="D466" s="87"/>
      <c r="E466" s="101">
        <v>51496.639999999999</v>
      </c>
      <c r="F466" s="5" t="s">
        <v>129</v>
      </c>
      <c r="G466" s="5" t="s">
        <v>227</v>
      </c>
      <c r="H466" s="84"/>
    </row>
    <row r="467" spans="2:8" x14ac:dyDescent="0.35">
      <c r="B467" s="104" t="s">
        <v>143</v>
      </c>
      <c r="C467" s="5" t="s">
        <v>117</v>
      </c>
      <c r="D467" s="87"/>
      <c r="E467" s="101">
        <v>51496.639999999999</v>
      </c>
      <c r="F467" s="5" t="s">
        <v>129</v>
      </c>
      <c r="G467" s="5" t="s">
        <v>227</v>
      </c>
      <c r="H467" s="84"/>
    </row>
    <row r="468" spans="2:8" x14ac:dyDescent="0.35">
      <c r="B468" s="104" t="s">
        <v>143</v>
      </c>
      <c r="C468" s="5" t="s">
        <v>117</v>
      </c>
      <c r="D468" s="87"/>
      <c r="E468" s="101">
        <v>51496.639999999999</v>
      </c>
      <c r="F468" s="5" t="s">
        <v>129</v>
      </c>
      <c r="G468" s="5" t="s">
        <v>227</v>
      </c>
      <c r="H468" s="84"/>
    </row>
    <row r="469" spans="2:8" x14ac:dyDescent="0.35">
      <c r="B469" s="104" t="s">
        <v>143</v>
      </c>
      <c r="C469" s="5" t="s">
        <v>117</v>
      </c>
      <c r="D469" s="87"/>
      <c r="E469" s="101">
        <v>51496.639999999999</v>
      </c>
      <c r="F469" s="5" t="s">
        <v>129</v>
      </c>
      <c r="G469" s="5" t="s">
        <v>227</v>
      </c>
      <c r="H469" s="84"/>
    </row>
    <row r="470" spans="2:8" x14ac:dyDescent="0.35">
      <c r="B470" s="104" t="s">
        <v>143</v>
      </c>
      <c r="C470" s="5" t="s">
        <v>117</v>
      </c>
      <c r="D470" s="87"/>
      <c r="E470" s="101">
        <v>51496.639999999999</v>
      </c>
      <c r="F470" s="5" t="s">
        <v>129</v>
      </c>
      <c r="G470" s="5" t="s">
        <v>227</v>
      </c>
      <c r="H470" s="84"/>
    </row>
    <row r="471" spans="2:8" x14ac:dyDescent="0.35">
      <c r="B471" s="104" t="s">
        <v>143</v>
      </c>
      <c r="C471" s="5" t="s">
        <v>117</v>
      </c>
      <c r="D471" s="87"/>
      <c r="E471" s="101">
        <v>51496.639999999999</v>
      </c>
      <c r="F471" s="5" t="s">
        <v>129</v>
      </c>
      <c r="G471" s="5" t="s">
        <v>227</v>
      </c>
      <c r="H471" s="84"/>
    </row>
    <row r="472" spans="2:8" x14ac:dyDescent="0.35">
      <c r="B472" s="104" t="s">
        <v>143</v>
      </c>
      <c r="C472" s="5" t="s">
        <v>117</v>
      </c>
      <c r="D472" s="87"/>
      <c r="E472" s="101">
        <v>51496.639999999999</v>
      </c>
      <c r="F472" s="5" t="s">
        <v>129</v>
      </c>
      <c r="G472" s="5" t="s">
        <v>227</v>
      </c>
      <c r="H472" s="84"/>
    </row>
    <row r="473" spans="2:8" x14ac:dyDescent="0.35">
      <c r="B473" s="104" t="s">
        <v>143</v>
      </c>
      <c r="C473" s="5" t="s">
        <v>117</v>
      </c>
      <c r="D473" s="87"/>
      <c r="E473" s="101">
        <v>51496.639999999999</v>
      </c>
      <c r="F473" s="5" t="s">
        <v>129</v>
      </c>
      <c r="G473" s="5" t="s">
        <v>227</v>
      </c>
      <c r="H473" s="84"/>
    </row>
    <row r="474" spans="2:8" x14ac:dyDescent="0.35">
      <c r="B474" s="104" t="s">
        <v>143</v>
      </c>
      <c r="C474" s="5" t="s">
        <v>117</v>
      </c>
      <c r="D474" s="87"/>
      <c r="E474" s="101">
        <v>51496.639999999999</v>
      </c>
      <c r="F474" s="5" t="s">
        <v>129</v>
      </c>
      <c r="G474" s="5" t="s">
        <v>227</v>
      </c>
      <c r="H474" s="84"/>
    </row>
    <row r="475" spans="2:8" x14ac:dyDescent="0.35">
      <c r="B475" s="104" t="s">
        <v>143</v>
      </c>
      <c r="C475" s="5" t="s">
        <v>117</v>
      </c>
      <c r="D475" s="87"/>
      <c r="E475" s="101">
        <v>73357.95</v>
      </c>
      <c r="F475" s="5" t="s">
        <v>129</v>
      </c>
      <c r="G475" s="5" t="s">
        <v>227</v>
      </c>
      <c r="H475" s="84"/>
    </row>
    <row r="476" spans="2:8" x14ac:dyDescent="0.35">
      <c r="B476" s="104" t="s">
        <v>143</v>
      </c>
      <c r="C476" s="5" t="s">
        <v>117</v>
      </c>
      <c r="D476" s="87"/>
      <c r="E476" s="101">
        <v>77244.960000000006</v>
      </c>
      <c r="F476" s="5" t="s">
        <v>129</v>
      </c>
      <c r="G476" s="5" t="s">
        <v>227</v>
      </c>
      <c r="H476" s="84"/>
    </row>
    <row r="477" spans="2:8" x14ac:dyDescent="0.35">
      <c r="B477" s="104" t="s">
        <v>143</v>
      </c>
      <c r="C477" s="5" t="s">
        <v>117</v>
      </c>
      <c r="D477" s="87"/>
      <c r="E477" s="101">
        <v>77244.960000000006</v>
      </c>
      <c r="F477" s="5" t="s">
        <v>129</v>
      </c>
      <c r="G477" s="5" t="s">
        <v>227</v>
      </c>
      <c r="H477" s="84"/>
    </row>
    <row r="478" spans="2:8" x14ac:dyDescent="0.35">
      <c r="B478" s="104" t="s">
        <v>143</v>
      </c>
      <c r="C478" s="5" t="s">
        <v>117</v>
      </c>
      <c r="D478" s="87"/>
      <c r="E478" s="101">
        <v>77244.960000000006</v>
      </c>
      <c r="F478" s="5" t="s">
        <v>129</v>
      </c>
      <c r="G478" s="5" t="s">
        <v>227</v>
      </c>
      <c r="H478" s="84"/>
    </row>
    <row r="479" spans="2:8" x14ac:dyDescent="0.35">
      <c r="B479" s="104" t="s">
        <v>143</v>
      </c>
      <c r="C479" s="5" t="s">
        <v>117</v>
      </c>
      <c r="D479" s="87"/>
      <c r="E479" s="101">
        <v>77244.960000000006</v>
      </c>
      <c r="F479" s="5" t="s">
        <v>129</v>
      </c>
      <c r="G479" s="5" t="s">
        <v>227</v>
      </c>
      <c r="H479" s="84"/>
    </row>
    <row r="480" spans="2:8" x14ac:dyDescent="0.35">
      <c r="B480" s="104" t="s">
        <v>143</v>
      </c>
      <c r="C480" s="5" t="s">
        <v>117</v>
      </c>
      <c r="D480" s="87"/>
      <c r="E480" s="101">
        <v>77244.960000000006</v>
      </c>
      <c r="F480" s="5" t="s">
        <v>129</v>
      </c>
      <c r="G480" s="5" t="s">
        <v>227</v>
      </c>
      <c r="H480" s="84"/>
    </row>
    <row r="481" spans="2:8" x14ac:dyDescent="0.35">
      <c r="B481" s="104" t="s">
        <v>143</v>
      </c>
      <c r="C481" s="5" t="s">
        <v>117</v>
      </c>
      <c r="D481" s="87"/>
      <c r="E481" s="101">
        <v>77244.960000000006</v>
      </c>
      <c r="F481" s="5" t="s">
        <v>129</v>
      </c>
      <c r="G481" s="5" t="s">
        <v>227</v>
      </c>
      <c r="H481" s="84"/>
    </row>
    <row r="482" spans="2:8" x14ac:dyDescent="0.35">
      <c r="B482" s="104" t="s">
        <v>143</v>
      </c>
      <c r="C482" s="5" t="s">
        <v>117</v>
      </c>
      <c r="D482" s="87"/>
      <c r="E482" s="101">
        <v>81528.09</v>
      </c>
      <c r="F482" s="5" t="s">
        <v>129</v>
      </c>
      <c r="G482" s="5" t="s">
        <v>227</v>
      </c>
      <c r="H482" s="84"/>
    </row>
    <row r="483" spans="2:8" x14ac:dyDescent="0.35">
      <c r="B483" s="104" t="s">
        <v>143</v>
      </c>
      <c r="C483" s="5" t="s">
        <v>117</v>
      </c>
      <c r="D483" s="87"/>
      <c r="E483" s="101">
        <v>102993.28</v>
      </c>
      <c r="F483" s="5" t="s">
        <v>129</v>
      </c>
      <c r="G483" s="5" t="s">
        <v>227</v>
      </c>
      <c r="H483" s="84"/>
    </row>
    <row r="484" spans="2:8" x14ac:dyDescent="0.35">
      <c r="B484" s="104" t="s">
        <v>143</v>
      </c>
      <c r="C484" s="5" t="s">
        <v>117</v>
      </c>
      <c r="D484" s="87"/>
      <c r="E484" s="101">
        <v>122185.53</v>
      </c>
      <c r="F484" s="5" t="s">
        <v>129</v>
      </c>
      <c r="G484" s="5" t="s">
        <v>227</v>
      </c>
      <c r="H484" s="84"/>
    </row>
    <row r="485" spans="2:8" x14ac:dyDescent="0.35">
      <c r="B485" s="104" t="s">
        <v>143</v>
      </c>
      <c r="C485" s="5" t="s">
        <v>117</v>
      </c>
      <c r="D485" s="87"/>
      <c r="E485" s="101">
        <v>128741.6</v>
      </c>
      <c r="F485" s="5" t="s">
        <v>129</v>
      </c>
      <c r="G485" s="5" t="s">
        <v>227</v>
      </c>
      <c r="H485" s="84"/>
    </row>
    <row r="486" spans="2:8" x14ac:dyDescent="0.35">
      <c r="B486" s="104" t="s">
        <v>143</v>
      </c>
      <c r="C486" s="5" t="s">
        <v>117</v>
      </c>
      <c r="D486" s="87"/>
      <c r="E486" s="101">
        <v>149901.72</v>
      </c>
      <c r="F486" s="5" t="s">
        <v>129</v>
      </c>
      <c r="G486" s="5" t="s">
        <v>227</v>
      </c>
      <c r="H486" s="84"/>
    </row>
    <row r="487" spans="2:8" x14ac:dyDescent="0.35">
      <c r="B487" s="104" t="s">
        <v>143</v>
      </c>
      <c r="C487" s="5" t="s">
        <v>104</v>
      </c>
      <c r="D487" s="87"/>
      <c r="E487" s="101">
        <v>160771.82</v>
      </c>
      <c r="F487" s="5" t="s">
        <v>106</v>
      </c>
      <c r="G487" s="5" t="s">
        <v>229</v>
      </c>
      <c r="H487" s="84"/>
    </row>
    <row r="488" spans="2:8" x14ac:dyDescent="0.35">
      <c r="B488" s="104" t="s">
        <v>143</v>
      </c>
      <c r="C488" s="5" t="s">
        <v>104</v>
      </c>
      <c r="D488" s="87"/>
      <c r="E488" s="101">
        <v>174730.98</v>
      </c>
      <c r="F488" s="5" t="s">
        <v>106</v>
      </c>
      <c r="G488" s="5" t="s">
        <v>230</v>
      </c>
      <c r="H488" s="84"/>
    </row>
    <row r="489" spans="2:8" x14ac:dyDescent="0.35">
      <c r="B489" s="104" t="s">
        <v>143</v>
      </c>
      <c r="C489" s="5" t="s">
        <v>117</v>
      </c>
      <c r="D489" s="87"/>
      <c r="E489" s="101">
        <v>180238.24</v>
      </c>
      <c r="F489" s="5" t="s">
        <v>129</v>
      </c>
      <c r="G489" s="5" t="s">
        <v>227</v>
      </c>
      <c r="H489" s="84"/>
    </row>
    <row r="490" spans="2:8" x14ac:dyDescent="0.35">
      <c r="B490" s="104" t="s">
        <v>143</v>
      </c>
      <c r="C490" s="5" t="s">
        <v>117</v>
      </c>
      <c r="D490" s="87"/>
      <c r="E490" s="101">
        <v>192702.8</v>
      </c>
      <c r="F490" s="5" t="s">
        <v>129</v>
      </c>
      <c r="G490" s="5" t="s">
        <v>227</v>
      </c>
      <c r="H490" s="84"/>
    </row>
    <row r="491" spans="2:8" x14ac:dyDescent="0.35">
      <c r="B491" s="104" t="s">
        <v>143</v>
      </c>
      <c r="C491" s="5" t="s">
        <v>117</v>
      </c>
      <c r="D491" s="87"/>
      <c r="E491" s="101">
        <v>215049.96</v>
      </c>
      <c r="F491" s="5" t="s">
        <v>129</v>
      </c>
      <c r="G491" s="5" t="s">
        <v>227</v>
      </c>
      <c r="H491" s="84"/>
    </row>
    <row r="492" spans="2:8" x14ac:dyDescent="0.35">
      <c r="B492" s="104" t="s">
        <v>143</v>
      </c>
      <c r="C492" s="5" t="s">
        <v>117</v>
      </c>
      <c r="D492" s="87"/>
      <c r="E492" s="101">
        <v>215049.96</v>
      </c>
      <c r="F492" s="5" t="s">
        <v>129</v>
      </c>
      <c r="G492" s="5" t="s">
        <v>227</v>
      </c>
      <c r="H492" s="84"/>
    </row>
    <row r="493" spans="2:8" x14ac:dyDescent="0.35">
      <c r="B493" s="104" t="s">
        <v>143</v>
      </c>
      <c r="C493" s="5" t="s">
        <v>104</v>
      </c>
      <c r="D493" s="87"/>
      <c r="E493" s="101">
        <v>248549.02</v>
      </c>
      <c r="F493" s="5" t="s">
        <v>106</v>
      </c>
      <c r="G493" s="5" t="s">
        <v>229</v>
      </c>
      <c r="H493" s="84"/>
    </row>
    <row r="494" spans="2:8" x14ac:dyDescent="0.35">
      <c r="B494" s="104" t="s">
        <v>143</v>
      </c>
      <c r="C494" s="5" t="s">
        <v>117</v>
      </c>
      <c r="D494" s="87"/>
      <c r="E494" s="101">
        <v>322574.96000000002</v>
      </c>
      <c r="F494" s="5" t="s">
        <v>129</v>
      </c>
      <c r="G494" s="5" t="s">
        <v>227</v>
      </c>
      <c r="H494" s="84"/>
    </row>
    <row r="495" spans="2:8" x14ac:dyDescent="0.35">
      <c r="B495" s="104" t="s">
        <v>143</v>
      </c>
      <c r="C495" s="5" t="s">
        <v>117</v>
      </c>
      <c r="D495" s="87"/>
      <c r="E495" s="101">
        <v>322574.96000000002</v>
      </c>
      <c r="F495" s="5" t="s">
        <v>129</v>
      </c>
      <c r="G495" s="5" t="s">
        <v>227</v>
      </c>
      <c r="H495" s="84"/>
    </row>
    <row r="496" spans="2:8" x14ac:dyDescent="0.35">
      <c r="B496" s="104" t="s">
        <v>143</v>
      </c>
      <c r="C496" s="5" t="s">
        <v>104</v>
      </c>
      <c r="D496" s="87"/>
      <c r="E496" s="101">
        <v>378282.7</v>
      </c>
      <c r="F496" s="5" t="s">
        <v>106</v>
      </c>
      <c r="G496" s="5" t="s">
        <v>228</v>
      </c>
      <c r="H496" s="84"/>
    </row>
    <row r="497" spans="2:8" x14ac:dyDescent="0.35">
      <c r="B497" s="104" t="s">
        <v>143</v>
      </c>
      <c r="C497" s="5" t="s">
        <v>104</v>
      </c>
      <c r="D497" s="87"/>
      <c r="E497" s="101">
        <v>378649.02</v>
      </c>
      <c r="F497" s="5" t="s">
        <v>106</v>
      </c>
      <c r="G497" s="5" t="s">
        <v>231</v>
      </c>
      <c r="H497" s="84"/>
    </row>
    <row r="498" spans="2:8" x14ac:dyDescent="0.35">
      <c r="B498" s="104" t="s">
        <v>143</v>
      </c>
      <c r="C498" s="5" t="s">
        <v>104</v>
      </c>
      <c r="D498" s="87"/>
      <c r="E498" s="101">
        <v>398343.84</v>
      </c>
      <c r="F498" s="5" t="s">
        <v>106</v>
      </c>
      <c r="G498" s="5" t="s">
        <v>231</v>
      </c>
      <c r="H498" s="84"/>
    </row>
    <row r="499" spans="2:8" x14ac:dyDescent="0.35">
      <c r="B499" s="104" t="s">
        <v>143</v>
      </c>
      <c r="C499" s="5" t="s">
        <v>104</v>
      </c>
      <c r="D499" s="87"/>
      <c r="E499" s="101">
        <v>413586.32</v>
      </c>
      <c r="F499" s="5" t="s">
        <v>106</v>
      </c>
      <c r="G499" s="5" t="s">
        <v>231</v>
      </c>
      <c r="H499" s="84"/>
    </row>
    <row r="500" spans="2:8" x14ac:dyDescent="0.35">
      <c r="B500" s="104" t="s">
        <v>143</v>
      </c>
      <c r="C500" s="5" t="s">
        <v>117</v>
      </c>
      <c r="D500" s="87"/>
      <c r="E500" s="101">
        <v>423524.37</v>
      </c>
      <c r="F500" s="5" t="s">
        <v>129</v>
      </c>
      <c r="G500" s="5" t="s">
        <v>227</v>
      </c>
      <c r="H500" s="84"/>
    </row>
    <row r="501" spans="2:8" x14ac:dyDescent="0.35">
      <c r="B501" s="104" t="s">
        <v>143</v>
      </c>
      <c r="C501" s="5" t="s">
        <v>104</v>
      </c>
      <c r="D501" s="87"/>
      <c r="E501" s="101">
        <v>501202.59</v>
      </c>
      <c r="F501" s="5" t="s">
        <v>106</v>
      </c>
      <c r="G501" s="5" t="s">
        <v>229</v>
      </c>
      <c r="H501" s="84"/>
    </row>
    <row r="502" spans="2:8" x14ac:dyDescent="0.35">
      <c r="B502" s="104" t="s">
        <v>143</v>
      </c>
      <c r="C502" s="5" t="s">
        <v>117</v>
      </c>
      <c r="D502" s="87"/>
      <c r="E502" s="101">
        <v>594192</v>
      </c>
      <c r="F502" s="5" t="s">
        <v>129</v>
      </c>
      <c r="G502" s="5" t="s">
        <v>227</v>
      </c>
      <c r="H502" s="84"/>
    </row>
    <row r="503" spans="2:8" x14ac:dyDescent="0.35">
      <c r="B503" s="104" t="s">
        <v>143</v>
      </c>
      <c r="C503" s="5" t="s">
        <v>104</v>
      </c>
      <c r="D503" s="87"/>
      <c r="E503" s="101">
        <v>655227.48</v>
      </c>
      <c r="F503" s="5" t="s">
        <v>106</v>
      </c>
      <c r="G503" s="5" t="s">
        <v>229</v>
      </c>
      <c r="H503" s="84"/>
    </row>
    <row r="504" spans="2:8" x14ac:dyDescent="0.35">
      <c r="B504" s="104" t="s">
        <v>143</v>
      </c>
      <c r="C504" s="5" t="s">
        <v>104</v>
      </c>
      <c r="D504" s="87"/>
      <c r="E504" s="101">
        <v>766170.31</v>
      </c>
      <c r="F504" s="5" t="s">
        <v>106</v>
      </c>
      <c r="G504" s="5" t="s">
        <v>231</v>
      </c>
      <c r="H504" s="84"/>
    </row>
    <row r="505" spans="2:8" x14ac:dyDescent="0.35">
      <c r="B505" s="104" t="s">
        <v>143</v>
      </c>
      <c r="C505" s="5" t="s">
        <v>104</v>
      </c>
      <c r="D505" s="87"/>
      <c r="E505" s="101">
        <v>873891.68</v>
      </c>
      <c r="F505" s="5" t="s">
        <v>106</v>
      </c>
      <c r="G505" s="5" t="s">
        <v>231</v>
      </c>
      <c r="H505" s="84"/>
    </row>
    <row r="506" spans="2:8" x14ac:dyDescent="0.35">
      <c r="B506" s="104" t="s">
        <v>143</v>
      </c>
      <c r="C506" s="5" t="s">
        <v>104</v>
      </c>
      <c r="D506" s="87"/>
      <c r="E506" s="101">
        <v>1203119.03</v>
      </c>
      <c r="F506" s="5" t="s">
        <v>106</v>
      </c>
      <c r="G506" s="5" t="s">
        <v>229</v>
      </c>
      <c r="H506" s="84"/>
    </row>
    <row r="507" spans="2:8" x14ac:dyDescent="0.35">
      <c r="B507" s="104" t="s">
        <v>143</v>
      </c>
      <c r="C507" s="5" t="s">
        <v>104</v>
      </c>
      <c r="D507" s="87"/>
      <c r="E507" s="101">
        <v>1410166.49</v>
      </c>
      <c r="F507" s="5" t="s">
        <v>106</v>
      </c>
      <c r="G507" s="5" t="s">
        <v>231</v>
      </c>
      <c r="H507" s="84"/>
    </row>
    <row r="508" spans="2:8" x14ac:dyDescent="0.35">
      <c r="B508" s="104" t="s">
        <v>143</v>
      </c>
      <c r="C508" s="5" t="s">
        <v>117</v>
      </c>
      <c r="D508" s="87"/>
      <c r="E508" s="101">
        <v>3718100.92</v>
      </c>
      <c r="F508" s="5" t="s">
        <v>118</v>
      </c>
      <c r="G508" s="5" t="s">
        <v>232</v>
      </c>
      <c r="H508" s="84"/>
    </row>
    <row r="509" spans="2:8" x14ac:dyDescent="0.35">
      <c r="B509" s="104" t="s">
        <v>149</v>
      </c>
      <c r="C509" s="5" t="s">
        <v>117</v>
      </c>
      <c r="D509" s="87"/>
      <c r="E509" s="101">
        <v>3346.78</v>
      </c>
      <c r="F509" s="5" t="s">
        <v>129</v>
      </c>
      <c r="G509" s="5" t="s">
        <v>233</v>
      </c>
      <c r="H509" s="84"/>
    </row>
    <row r="510" spans="2:8" x14ac:dyDescent="0.35">
      <c r="B510" s="104" t="s">
        <v>149</v>
      </c>
      <c r="C510" s="5" t="s">
        <v>117</v>
      </c>
      <c r="D510" s="87"/>
      <c r="E510" s="101">
        <v>3353.82</v>
      </c>
      <c r="F510" s="5" t="s">
        <v>129</v>
      </c>
      <c r="G510" s="5" t="s">
        <v>233</v>
      </c>
      <c r="H510" s="84"/>
    </row>
    <row r="511" spans="2:8" x14ac:dyDescent="0.35">
      <c r="B511" s="104" t="s">
        <v>149</v>
      </c>
      <c r="C511" s="5" t="s">
        <v>117</v>
      </c>
      <c r="D511" s="87"/>
      <c r="E511" s="101">
        <v>12874.16</v>
      </c>
      <c r="F511" s="5" t="s">
        <v>129</v>
      </c>
      <c r="G511" s="5" t="s">
        <v>233</v>
      </c>
      <c r="H511" s="84"/>
    </row>
    <row r="512" spans="2:8" x14ac:dyDescent="0.35">
      <c r="B512" s="104" t="s">
        <v>149</v>
      </c>
      <c r="C512" s="5" t="s">
        <v>117</v>
      </c>
      <c r="D512" s="87"/>
      <c r="E512" s="101">
        <v>19311.240000000002</v>
      </c>
      <c r="F512" s="5" t="s">
        <v>129</v>
      </c>
      <c r="G512" s="5" t="s">
        <v>233</v>
      </c>
      <c r="H512" s="84"/>
    </row>
    <row r="513" spans="2:8" x14ac:dyDescent="0.35">
      <c r="B513" s="104" t="s">
        <v>149</v>
      </c>
      <c r="C513" s="5" t="s">
        <v>117</v>
      </c>
      <c r="D513" s="87"/>
      <c r="E513" s="101">
        <v>19311.240000000002</v>
      </c>
      <c r="F513" s="5" t="s">
        <v>129</v>
      </c>
      <c r="G513" s="5" t="s">
        <v>233</v>
      </c>
      <c r="H513" s="84"/>
    </row>
    <row r="514" spans="2:8" x14ac:dyDescent="0.35">
      <c r="B514" s="104" t="s">
        <v>149</v>
      </c>
      <c r="C514" s="5" t="s">
        <v>117</v>
      </c>
      <c r="D514" s="87"/>
      <c r="E514" s="101">
        <v>19311.240000000002</v>
      </c>
      <c r="F514" s="5" t="s">
        <v>129</v>
      </c>
      <c r="G514" s="5" t="s">
        <v>233</v>
      </c>
      <c r="H514" s="84"/>
    </row>
    <row r="515" spans="2:8" x14ac:dyDescent="0.35">
      <c r="B515" s="104" t="s">
        <v>149</v>
      </c>
      <c r="C515" s="5" t="s">
        <v>117</v>
      </c>
      <c r="D515" s="87"/>
      <c r="E515" s="101">
        <v>19311.240000000002</v>
      </c>
      <c r="F515" s="5" t="s">
        <v>129</v>
      </c>
      <c r="G515" s="5" t="s">
        <v>233</v>
      </c>
      <c r="H515" s="84"/>
    </row>
    <row r="516" spans="2:8" x14ac:dyDescent="0.35">
      <c r="B516" s="104" t="s">
        <v>149</v>
      </c>
      <c r="C516" s="5" t="s">
        <v>117</v>
      </c>
      <c r="D516" s="87"/>
      <c r="E516" s="101">
        <v>25748.32</v>
      </c>
      <c r="F516" s="5" t="s">
        <v>129</v>
      </c>
      <c r="G516" s="5" t="s">
        <v>233</v>
      </c>
      <c r="H516" s="84"/>
    </row>
    <row r="517" spans="2:8" x14ac:dyDescent="0.35">
      <c r="B517" s="104" t="s">
        <v>149</v>
      </c>
      <c r="C517" s="5" t="s">
        <v>117</v>
      </c>
      <c r="D517" s="87"/>
      <c r="E517" s="101">
        <v>25748.32</v>
      </c>
      <c r="F517" s="5" t="s">
        <v>129</v>
      </c>
      <c r="G517" s="5" t="s">
        <v>233</v>
      </c>
      <c r="H517" s="84"/>
    </row>
    <row r="518" spans="2:8" x14ac:dyDescent="0.35">
      <c r="B518" s="104" t="s">
        <v>149</v>
      </c>
      <c r="C518" s="5" t="s">
        <v>117</v>
      </c>
      <c r="D518" s="87"/>
      <c r="E518" s="101">
        <v>30897.98</v>
      </c>
      <c r="F518" s="5" t="s">
        <v>129</v>
      </c>
      <c r="G518" s="5" t="s">
        <v>233</v>
      </c>
      <c r="H518" s="84"/>
    </row>
    <row r="519" spans="2:8" x14ac:dyDescent="0.35">
      <c r="B519" s="104" t="s">
        <v>149</v>
      </c>
      <c r="C519" s="5" t="s">
        <v>117</v>
      </c>
      <c r="D519" s="87"/>
      <c r="E519" s="101">
        <v>30897.98</v>
      </c>
      <c r="F519" s="5" t="s">
        <v>129</v>
      </c>
      <c r="G519" s="5" t="s">
        <v>233</v>
      </c>
      <c r="H519" s="84"/>
    </row>
    <row r="520" spans="2:8" x14ac:dyDescent="0.35">
      <c r="B520" s="104" t="s">
        <v>149</v>
      </c>
      <c r="C520" s="5" t="s">
        <v>117</v>
      </c>
      <c r="D520" s="87"/>
      <c r="E520" s="101">
        <v>30897.98</v>
      </c>
      <c r="F520" s="5" t="s">
        <v>129</v>
      </c>
      <c r="G520" s="5" t="s">
        <v>233</v>
      </c>
      <c r="H520" s="84"/>
    </row>
    <row r="521" spans="2:8" x14ac:dyDescent="0.35">
      <c r="B521" s="104" t="s">
        <v>149</v>
      </c>
      <c r="C521" s="5" t="s">
        <v>117</v>
      </c>
      <c r="D521" s="87"/>
      <c r="E521" s="101">
        <v>30897.98</v>
      </c>
      <c r="F521" s="5" t="s">
        <v>129</v>
      </c>
      <c r="G521" s="5" t="s">
        <v>233</v>
      </c>
      <c r="H521" s="84"/>
    </row>
    <row r="522" spans="2:8" x14ac:dyDescent="0.35">
      <c r="B522" s="104" t="s">
        <v>149</v>
      </c>
      <c r="C522" s="5" t="s">
        <v>104</v>
      </c>
      <c r="D522" s="87"/>
      <c r="E522" s="101">
        <v>38056.199999999997</v>
      </c>
      <c r="F522" s="5" t="s">
        <v>106</v>
      </c>
      <c r="G522" s="5" t="s">
        <v>234</v>
      </c>
      <c r="H522" s="84"/>
    </row>
    <row r="523" spans="2:8" x14ac:dyDescent="0.35">
      <c r="B523" s="104" t="s">
        <v>149</v>
      </c>
      <c r="C523" s="5" t="s">
        <v>104</v>
      </c>
      <c r="D523" s="87"/>
      <c r="E523" s="101">
        <v>38528.1</v>
      </c>
      <c r="F523" s="5" t="s">
        <v>106</v>
      </c>
      <c r="G523" s="5" t="s">
        <v>235</v>
      </c>
      <c r="H523" s="84"/>
    </row>
    <row r="524" spans="2:8" x14ac:dyDescent="0.35">
      <c r="B524" s="104" t="s">
        <v>149</v>
      </c>
      <c r="C524" s="5" t="s">
        <v>117</v>
      </c>
      <c r="D524" s="87"/>
      <c r="E524" s="101">
        <v>38622.480000000003</v>
      </c>
      <c r="F524" s="5" t="s">
        <v>129</v>
      </c>
      <c r="G524" s="5" t="s">
        <v>233</v>
      </c>
      <c r="H524" s="84"/>
    </row>
    <row r="525" spans="2:8" x14ac:dyDescent="0.35">
      <c r="B525" s="104" t="s">
        <v>149</v>
      </c>
      <c r="C525" s="5" t="s">
        <v>117</v>
      </c>
      <c r="D525" s="87"/>
      <c r="E525" s="101">
        <v>38622.480000000003</v>
      </c>
      <c r="F525" s="5" t="s">
        <v>129</v>
      </c>
      <c r="G525" s="5" t="s">
        <v>233</v>
      </c>
      <c r="H525" s="84"/>
    </row>
    <row r="526" spans="2:8" x14ac:dyDescent="0.35">
      <c r="B526" s="104" t="s">
        <v>149</v>
      </c>
      <c r="C526" s="5" t="s">
        <v>117</v>
      </c>
      <c r="D526" s="87"/>
      <c r="E526" s="101">
        <v>38622.480000000003</v>
      </c>
      <c r="F526" s="5" t="s">
        <v>129</v>
      </c>
      <c r="G526" s="5" t="s">
        <v>233</v>
      </c>
      <c r="H526" s="84"/>
    </row>
    <row r="527" spans="2:8" x14ac:dyDescent="0.35">
      <c r="B527" s="104" t="s">
        <v>149</v>
      </c>
      <c r="C527" s="5" t="s">
        <v>117</v>
      </c>
      <c r="D527" s="87"/>
      <c r="E527" s="101">
        <v>38622.480000000003</v>
      </c>
      <c r="F527" s="5" t="s">
        <v>129</v>
      </c>
      <c r="G527" s="5" t="s">
        <v>233</v>
      </c>
      <c r="H527" s="84"/>
    </row>
    <row r="528" spans="2:8" x14ac:dyDescent="0.35">
      <c r="B528" s="104" t="s">
        <v>149</v>
      </c>
      <c r="C528" s="5" t="s">
        <v>117</v>
      </c>
      <c r="D528" s="87"/>
      <c r="E528" s="101">
        <v>38622.480000000003</v>
      </c>
      <c r="F528" s="5" t="s">
        <v>129</v>
      </c>
      <c r="G528" s="5" t="s">
        <v>233</v>
      </c>
      <c r="H528" s="84"/>
    </row>
    <row r="529" spans="2:8" x14ac:dyDescent="0.35">
      <c r="B529" s="104" t="s">
        <v>149</v>
      </c>
      <c r="C529" s="5" t="s">
        <v>117</v>
      </c>
      <c r="D529" s="87"/>
      <c r="E529" s="101">
        <v>38622.480000000003</v>
      </c>
      <c r="F529" s="5" t="s">
        <v>129</v>
      </c>
      <c r="G529" s="5" t="s">
        <v>233</v>
      </c>
      <c r="H529" s="84"/>
    </row>
    <row r="530" spans="2:8" x14ac:dyDescent="0.35">
      <c r="B530" s="104" t="s">
        <v>149</v>
      </c>
      <c r="C530" s="5" t="s">
        <v>117</v>
      </c>
      <c r="D530" s="87"/>
      <c r="E530" s="101">
        <v>38622.480000000003</v>
      </c>
      <c r="F530" s="5" t="s">
        <v>129</v>
      </c>
      <c r="G530" s="5" t="s">
        <v>233</v>
      </c>
      <c r="H530" s="84"/>
    </row>
    <row r="531" spans="2:8" x14ac:dyDescent="0.35">
      <c r="B531" s="104" t="s">
        <v>149</v>
      </c>
      <c r="C531" s="5" t="s">
        <v>117</v>
      </c>
      <c r="D531" s="87"/>
      <c r="E531" s="101">
        <v>38622.480000000003</v>
      </c>
      <c r="F531" s="5" t="s">
        <v>129</v>
      </c>
      <c r="G531" s="5" t="s">
        <v>233</v>
      </c>
      <c r="H531" s="84"/>
    </row>
    <row r="532" spans="2:8" x14ac:dyDescent="0.35">
      <c r="B532" s="104" t="s">
        <v>149</v>
      </c>
      <c r="C532" s="5" t="s">
        <v>117</v>
      </c>
      <c r="D532" s="87"/>
      <c r="E532" s="101">
        <v>38622.480000000003</v>
      </c>
      <c r="F532" s="5" t="s">
        <v>129</v>
      </c>
      <c r="G532" s="5" t="s">
        <v>233</v>
      </c>
      <c r="H532" s="84"/>
    </row>
    <row r="533" spans="2:8" x14ac:dyDescent="0.35">
      <c r="B533" s="104" t="s">
        <v>149</v>
      </c>
      <c r="C533" s="5" t="s">
        <v>117</v>
      </c>
      <c r="D533" s="87"/>
      <c r="E533" s="101">
        <v>38622.480000000003</v>
      </c>
      <c r="F533" s="5" t="s">
        <v>129</v>
      </c>
      <c r="G533" s="5" t="s">
        <v>233</v>
      </c>
      <c r="H533" s="84"/>
    </row>
    <row r="534" spans="2:8" x14ac:dyDescent="0.35">
      <c r="B534" s="104" t="s">
        <v>149</v>
      </c>
      <c r="C534" s="5" t="s">
        <v>117</v>
      </c>
      <c r="D534" s="87"/>
      <c r="E534" s="101">
        <v>38622.480000000003</v>
      </c>
      <c r="F534" s="5" t="s">
        <v>129</v>
      </c>
      <c r="G534" s="5" t="s">
        <v>233</v>
      </c>
      <c r="H534" s="84"/>
    </row>
    <row r="535" spans="2:8" x14ac:dyDescent="0.35">
      <c r="B535" s="104" t="s">
        <v>149</v>
      </c>
      <c r="C535" s="5" t="s">
        <v>117</v>
      </c>
      <c r="D535" s="87"/>
      <c r="E535" s="101">
        <v>38622.480000000003</v>
      </c>
      <c r="F535" s="5" t="s">
        <v>129</v>
      </c>
      <c r="G535" s="5" t="s">
        <v>233</v>
      </c>
      <c r="H535" s="84"/>
    </row>
    <row r="536" spans="2:8" x14ac:dyDescent="0.35">
      <c r="B536" s="104" t="s">
        <v>149</v>
      </c>
      <c r="C536" s="5" t="s">
        <v>117</v>
      </c>
      <c r="D536" s="87"/>
      <c r="E536" s="101">
        <v>38622.480000000003</v>
      </c>
      <c r="F536" s="5" t="s">
        <v>129</v>
      </c>
      <c r="G536" s="5" t="s">
        <v>233</v>
      </c>
      <c r="H536" s="84"/>
    </row>
    <row r="537" spans="2:8" x14ac:dyDescent="0.35">
      <c r="B537" s="104" t="s">
        <v>149</v>
      </c>
      <c r="C537" s="5" t="s">
        <v>117</v>
      </c>
      <c r="D537" s="87"/>
      <c r="E537" s="101">
        <v>38622.480000000003</v>
      </c>
      <c r="F537" s="5" t="s">
        <v>129</v>
      </c>
      <c r="G537" s="5" t="s">
        <v>233</v>
      </c>
      <c r="H537" s="84"/>
    </row>
    <row r="538" spans="2:8" x14ac:dyDescent="0.35">
      <c r="B538" s="104" t="s">
        <v>149</v>
      </c>
      <c r="C538" s="5" t="s">
        <v>117</v>
      </c>
      <c r="D538" s="87"/>
      <c r="E538" s="101">
        <v>38622.480000000003</v>
      </c>
      <c r="F538" s="5" t="s">
        <v>129</v>
      </c>
      <c r="G538" s="5" t="s">
        <v>233</v>
      </c>
      <c r="H538" s="84"/>
    </row>
    <row r="539" spans="2:8" x14ac:dyDescent="0.35">
      <c r="B539" s="104" t="s">
        <v>149</v>
      </c>
      <c r="C539" s="5" t="s">
        <v>117</v>
      </c>
      <c r="D539" s="87"/>
      <c r="E539" s="101">
        <v>38622.480000000003</v>
      </c>
      <c r="F539" s="5" t="s">
        <v>129</v>
      </c>
      <c r="G539" s="5" t="s">
        <v>233</v>
      </c>
      <c r="H539" s="84"/>
    </row>
    <row r="540" spans="2:8" x14ac:dyDescent="0.35">
      <c r="B540" s="104" t="s">
        <v>149</v>
      </c>
      <c r="C540" s="5" t="s">
        <v>117</v>
      </c>
      <c r="D540" s="87"/>
      <c r="E540" s="101">
        <v>38622.480000000003</v>
      </c>
      <c r="F540" s="5" t="s">
        <v>129</v>
      </c>
      <c r="G540" s="5" t="s">
        <v>233</v>
      </c>
      <c r="H540" s="84"/>
    </row>
    <row r="541" spans="2:8" x14ac:dyDescent="0.35">
      <c r="B541" s="104" t="s">
        <v>149</v>
      </c>
      <c r="C541" s="5" t="s">
        <v>117</v>
      </c>
      <c r="D541" s="87"/>
      <c r="E541" s="101">
        <v>38622.480000000003</v>
      </c>
      <c r="F541" s="5" t="s">
        <v>129</v>
      </c>
      <c r="G541" s="5" t="s">
        <v>233</v>
      </c>
      <c r="H541" s="84"/>
    </row>
    <row r="542" spans="2:8" x14ac:dyDescent="0.35">
      <c r="B542" s="104" t="s">
        <v>149</v>
      </c>
      <c r="C542" s="5" t="s">
        <v>117</v>
      </c>
      <c r="D542" s="87"/>
      <c r="E542" s="101">
        <v>38622.480000000003</v>
      </c>
      <c r="F542" s="5" t="s">
        <v>129</v>
      </c>
      <c r="G542" s="5" t="s">
        <v>233</v>
      </c>
      <c r="H542" s="84"/>
    </row>
    <row r="543" spans="2:8" x14ac:dyDescent="0.35">
      <c r="B543" s="104" t="s">
        <v>149</v>
      </c>
      <c r="C543" s="5" t="s">
        <v>117</v>
      </c>
      <c r="D543" s="87"/>
      <c r="E543" s="101">
        <v>38622.480000000003</v>
      </c>
      <c r="F543" s="5" t="s">
        <v>129</v>
      </c>
      <c r="G543" s="5" t="s">
        <v>233</v>
      </c>
      <c r="H543" s="84"/>
    </row>
    <row r="544" spans="2:8" x14ac:dyDescent="0.35">
      <c r="B544" s="104" t="s">
        <v>149</v>
      </c>
      <c r="C544" s="5" t="s">
        <v>117</v>
      </c>
      <c r="D544" s="87"/>
      <c r="E544" s="101">
        <v>38622.480000000003</v>
      </c>
      <c r="F544" s="5" t="s">
        <v>129</v>
      </c>
      <c r="G544" s="5" t="s">
        <v>233</v>
      </c>
      <c r="H544" s="84"/>
    </row>
    <row r="545" spans="2:8" x14ac:dyDescent="0.35">
      <c r="B545" s="104" t="s">
        <v>149</v>
      </c>
      <c r="C545" s="5" t="s">
        <v>117</v>
      </c>
      <c r="D545" s="87"/>
      <c r="E545" s="101">
        <v>38622.480000000003</v>
      </c>
      <c r="F545" s="5" t="s">
        <v>129</v>
      </c>
      <c r="G545" s="5" t="s">
        <v>233</v>
      </c>
      <c r="H545" s="84"/>
    </row>
    <row r="546" spans="2:8" x14ac:dyDescent="0.35">
      <c r="B546" s="104" t="s">
        <v>149</v>
      </c>
      <c r="C546" s="5" t="s">
        <v>117</v>
      </c>
      <c r="D546" s="87"/>
      <c r="E546" s="101">
        <v>38622.480000000003</v>
      </c>
      <c r="F546" s="5" t="s">
        <v>129</v>
      </c>
      <c r="G546" s="5" t="s">
        <v>233</v>
      </c>
      <c r="H546" s="84"/>
    </row>
    <row r="547" spans="2:8" x14ac:dyDescent="0.35">
      <c r="B547" s="104" t="s">
        <v>149</v>
      </c>
      <c r="C547" s="5" t="s">
        <v>117</v>
      </c>
      <c r="D547" s="87"/>
      <c r="E547" s="101">
        <v>38622.480000000003</v>
      </c>
      <c r="F547" s="5" t="s">
        <v>129</v>
      </c>
      <c r="G547" s="5" t="s">
        <v>233</v>
      </c>
      <c r="H547" s="84"/>
    </row>
    <row r="548" spans="2:8" x14ac:dyDescent="0.35">
      <c r="B548" s="104" t="s">
        <v>149</v>
      </c>
      <c r="C548" s="5" t="s">
        <v>117</v>
      </c>
      <c r="D548" s="87"/>
      <c r="E548" s="101">
        <v>38622.480000000003</v>
      </c>
      <c r="F548" s="5" t="s">
        <v>129</v>
      </c>
      <c r="G548" s="5" t="s">
        <v>233</v>
      </c>
      <c r="H548" s="84"/>
    </row>
    <row r="549" spans="2:8" x14ac:dyDescent="0.35">
      <c r="B549" s="104" t="s">
        <v>149</v>
      </c>
      <c r="C549" s="5" t="s">
        <v>117</v>
      </c>
      <c r="D549" s="87"/>
      <c r="E549" s="101">
        <v>38622.480000000003</v>
      </c>
      <c r="F549" s="5" t="s">
        <v>129</v>
      </c>
      <c r="G549" s="5" t="s">
        <v>233</v>
      </c>
      <c r="H549" s="84"/>
    </row>
    <row r="550" spans="2:8" x14ac:dyDescent="0.35">
      <c r="B550" s="104" t="s">
        <v>149</v>
      </c>
      <c r="C550" s="5" t="s">
        <v>104</v>
      </c>
      <c r="D550" s="87"/>
      <c r="E550" s="101">
        <v>44986.97</v>
      </c>
      <c r="F550" s="5" t="s">
        <v>106</v>
      </c>
      <c r="G550" s="5" t="s">
        <v>236</v>
      </c>
      <c r="H550" s="84"/>
    </row>
    <row r="551" spans="2:8" x14ac:dyDescent="0.35">
      <c r="B551" s="104" t="s">
        <v>149</v>
      </c>
      <c r="C551" s="5" t="s">
        <v>117</v>
      </c>
      <c r="D551" s="87"/>
      <c r="E551" s="101">
        <v>45005.3</v>
      </c>
      <c r="F551" s="5" t="s">
        <v>129</v>
      </c>
      <c r="G551" s="5" t="s">
        <v>233</v>
      </c>
      <c r="H551" s="84"/>
    </row>
    <row r="552" spans="2:8" x14ac:dyDescent="0.35">
      <c r="B552" s="104" t="s">
        <v>149</v>
      </c>
      <c r="C552" s="5" t="s">
        <v>104</v>
      </c>
      <c r="D552" s="87"/>
      <c r="E552" s="101">
        <v>50741.599999999999</v>
      </c>
      <c r="F552" s="5" t="s">
        <v>106</v>
      </c>
      <c r="G552" s="5" t="s">
        <v>234</v>
      </c>
      <c r="H552" s="84"/>
    </row>
    <row r="553" spans="2:8" x14ac:dyDescent="0.35">
      <c r="B553" s="104" t="s">
        <v>149</v>
      </c>
      <c r="C553" s="5" t="s">
        <v>117</v>
      </c>
      <c r="D553" s="87"/>
      <c r="E553" s="101">
        <v>51496.639999999999</v>
      </c>
      <c r="F553" s="5" t="s">
        <v>129</v>
      </c>
      <c r="G553" s="5" t="s">
        <v>233</v>
      </c>
      <c r="H553" s="84"/>
    </row>
    <row r="554" spans="2:8" x14ac:dyDescent="0.35">
      <c r="B554" s="104" t="s">
        <v>149</v>
      </c>
      <c r="C554" s="5" t="s">
        <v>117</v>
      </c>
      <c r="D554" s="87"/>
      <c r="E554" s="101">
        <v>51496.639999999999</v>
      </c>
      <c r="F554" s="5" t="s">
        <v>129</v>
      </c>
      <c r="G554" s="5" t="s">
        <v>233</v>
      </c>
      <c r="H554" s="84"/>
    </row>
    <row r="555" spans="2:8" x14ac:dyDescent="0.35">
      <c r="B555" s="104" t="s">
        <v>149</v>
      </c>
      <c r="C555" s="5" t="s">
        <v>117</v>
      </c>
      <c r="D555" s="87"/>
      <c r="E555" s="101">
        <v>51496.639999999999</v>
      </c>
      <c r="F555" s="5" t="s">
        <v>129</v>
      </c>
      <c r="G555" s="5" t="s">
        <v>233</v>
      </c>
      <c r="H555" s="84"/>
    </row>
    <row r="556" spans="2:8" x14ac:dyDescent="0.35">
      <c r="B556" s="104" t="s">
        <v>149</v>
      </c>
      <c r="C556" s="5" t="s">
        <v>117</v>
      </c>
      <c r="D556" s="87"/>
      <c r="E556" s="101">
        <v>51496.639999999999</v>
      </c>
      <c r="F556" s="5" t="s">
        <v>129</v>
      </c>
      <c r="G556" s="5" t="s">
        <v>233</v>
      </c>
      <c r="H556" s="84"/>
    </row>
    <row r="557" spans="2:8" x14ac:dyDescent="0.35">
      <c r="B557" s="104" t="s">
        <v>149</v>
      </c>
      <c r="C557" s="5" t="s">
        <v>117</v>
      </c>
      <c r="D557" s="87"/>
      <c r="E557" s="101">
        <v>51496.639999999999</v>
      </c>
      <c r="F557" s="5" t="s">
        <v>129</v>
      </c>
      <c r="G557" s="5" t="s">
        <v>233</v>
      </c>
      <c r="H557" s="84"/>
    </row>
    <row r="558" spans="2:8" x14ac:dyDescent="0.35">
      <c r="B558" s="104" t="s">
        <v>149</v>
      </c>
      <c r="C558" s="5" t="s">
        <v>117</v>
      </c>
      <c r="D558" s="87"/>
      <c r="E558" s="101">
        <v>51496.639999999999</v>
      </c>
      <c r="F558" s="5" t="s">
        <v>129</v>
      </c>
      <c r="G558" s="5" t="s">
        <v>233</v>
      </c>
      <c r="H558" s="84"/>
    </row>
    <row r="559" spans="2:8" x14ac:dyDescent="0.35">
      <c r="B559" s="104" t="s">
        <v>149</v>
      </c>
      <c r="C559" s="5" t="s">
        <v>117</v>
      </c>
      <c r="D559" s="87"/>
      <c r="E559" s="101">
        <v>51496.639999999999</v>
      </c>
      <c r="F559" s="5" t="s">
        <v>129</v>
      </c>
      <c r="G559" s="5" t="s">
        <v>233</v>
      </c>
      <c r="H559" s="84"/>
    </row>
    <row r="560" spans="2:8" x14ac:dyDescent="0.35">
      <c r="B560" s="104" t="s">
        <v>149</v>
      </c>
      <c r="C560" s="5" t="s">
        <v>117</v>
      </c>
      <c r="D560" s="87"/>
      <c r="E560" s="101">
        <v>51496.639999999999</v>
      </c>
      <c r="F560" s="5" t="s">
        <v>129</v>
      </c>
      <c r="G560" s="5" t="s">
        <v>233</v>
      </c>
      <c r="H560" s="84"/>
    </row>
    <row r="561" spans="2:8" x14ac:dyDescent="0.35">
      <c r="B561" s="104" t="s">
        <v>149</v>
      </c>
      <c r="C561" s="5" t="s">
        <v>117</v>
      </c>
      <c r="D561" s="87"/>
      <c r="E561" s="101">
        <v>51496.639999999999</v>
      </c>
      <c r="F561" s="5" t="s">
        <v>129</v>
      </c>
      <c r="G561" s="5" t="s">
        <v>233</v>
      </c>
      <c r="H561" s="84"/>
    </row>
    <row r="562" spans="2:8" x14ac:dyDescent="0.35">
      <c r="B562" s="104" t="s">
        <v>149</v>
      </c>
      <c r="C562" s="5" t="s">
        <v>117</v>
      </c>
      <c r="D562" s="87"/>
      <c r="E562" s="101">
        <v>51496.639999999999</v>
      </c>
      <c r="F562" s="5" t="s">
        <v>129</v>
      </c>
      <c r="G562" s="5" t="s">
        <v>233</v>
      </c>
      <c r="H562" s="84"/>
    </row>
    <row r="563" spans="2:8" x14ac:dyDescent="0.35">
      <c r="B563" s="104" t="s">
        <v>149</v>
      </c>
      <c r="C563" s="5" t="s">
        <v>117</v>
      </c>
      <c r="D563" s="87"/>
      <c r="E563" s="101">
        <v>51496.639999999999</v>
      </c>
      <c r="F563" s="5" t="s">
        <v>129</v>
      </c>
      <c r="G563" s="5" t="s">
        <v>233</v>
      </c>
      <c r="H563" s="84"/>
    </row>
    <row r="564" spans="2:8" x14ac:dyDescent="0.35">
      <c r="B564" s="104" t="s">
        <v>149</v>
      </c>
      <c r="C564" s="5" t="s">
        <v>117</v>
      </c>
      <c r="D564" s="87"/>
      <c r="E564" s="101">
        <v>51496.639999999999</v>
      </c>
      <c r="F564" s="5" t="s">
        <v>129</v>
      </c>
      <c r="G564" s="5" t="s">
        <v>233</v>
      </c>
      <c r="H564" s="84"/>
    </row>
    <row r="565" spans="2:8" x14ac:dyDescent="0.35">
      <c r="B565" s="104" t="s">
        <v>149</v>
      </c>
      <c r="C565" s="5" t="s">
        <v>117</v>
      </c>
      <c r="D565" s="87"/>
      <c r="E565" s="101">
        <v>51496.639999999999</v>
      </c>
      <c r="F565" s="5" t="s">
        <v>129</v>
      </c>
      <c r="G565" s="5" t="s">
        <v>233</v>
      </c>
      <c r="H565" s="84"/>
    </row>
    <row r="566" spans="2:8" x14ac:dyDescent="0.35">
      <c r="B566" s="104" t="s">
        <v>149</v>
      </c>
      <c r="C566" s="5" t="s">
        <v>104</v>
      </c>
      <c r="D566" s="87"/>
      <c r="E566" s="101">
        <v>52027.97</v>
      </c>
      <c r="F566" s="5" t="s">
        <v>106</v>
      </c>
      <c r="G566" s="5" t="s">
        <v>237</v>
      </c>
      <c r="H566" s="84"/>
    </row>
    <row r="567" spans="2:8" x14ac:dyDescent="0.35">
      <c r="B567" s="104" t="s">
        <v>149</v>
      </c>
      <c r="C567" s="5" t="s">
        <v>104</v>
      </c>
      <c r="D567" s="87"/>
      <c r="E567" s="101">
        <v>52338.86</v>
      </c>
      <c r="F567" s="5" t="s">
        <v>106</v>
      </c>
      <c r="G567" s="5" t="s">
        <v>237</v>
      </c>
      <c r="H567" s="84"/>
    </row>
    <row r="568" spans="2:8" x14ac:dyDescent="0.35">
      <c r="B568" s="104" t="s">
        <v>149</v>
      </c>
      <c r="C568" s="5" t="s">
        <v>104</v>
      </c>
      <c r="D568" s="87"/>
      <c r="E568" s="101">
        <v>76112.399999999994</v>
      </c>
      <c r="F568" s="5" t="s">
        <v>106</v>
      </c>
      <c r="G568" s="5" t="s">
        <v>234</v>
      </c>
      <c r="H568" s="84"/>
    </row>
    <row r="569" spans="2:8" x14ac:dyDescent="0.35">
      <c r="B569" s="104" t="s">
        <v>149</v>
      </c>
      <c r="C569" s="5" t="s">
        <v>117</v>
      </c>
      <c r="D569" s="87"/>
      <c r="E569" s="101">
        <v>77244.960000000006</v>
      </c>
      <c r="F569" s="5" t="s">
        <v>129</v>
      </c>
      <c r="G569" s="5" t="s">
        <v>233</v>
      </c>
      <c r="H569" s="84"/>
    </row>
    <row r="570" spans="2:8" x14ac:dyDescent="0.35">
      <c r="B570" s="104" t="s">
        <v>149</v>
      </c>
      <c r="C570" s="5" t="s">
        <v>117</v>
      </c>
      <c r="D570" s="87"/>
      <c r="E570" s="101">
        <v>77244.960000000006</v>
      </c>
      <c r="F570" s="5" t="s">
        <v>129</v>
      </c>
      <c r="G570" s="5" t="s">
        <v>233</v>
      </c>
      <c r="H570" s="84"/>
    </row>
    <row r="571" spans="2:8" x14ac:dyDescent="0.35">
      <c r="B571" s="104" t="s">
        <v>149</v>
      </c>
      <c r="C571" s="5" t="s">
        <v>104</v>
      </c>
      <c r="D571" s="87"/>
      <c r="E571" s="101">
        <v>94018.73</v>
      </c>
      <c r="F571" s="5" t="s">
        <v>106</v>
      </c>
      <c r="G571" s="5" t="s">
        <v>234</v>
      </c>
      <c r="H571" s="84"/>
    </row>
    <row r="572" spans="2:8" x14ac:dyDescent="0.35">
      <c r="B572" s="104" t="s">
        <v>149</v>
      </c>
      <c r="C572" s="5" t="s">
        <v>117</v>
      </c>
      <c r="D572" s="87"/>
      <c r="E572" s="101">
        <v>94183.49</v>
      </c>
      <c r="F572" s="5" t="s">
        <v>129</v>
      </c>
      <c r="G572" s="5" t="s">
        <v>233</v>
      </c>
      <c r="H572" s="84"/>
    </row>
    <row r="573" spans="2:8" x14ac:dyDescent="0.35">
      <c r="B573" s="104" t="s">
        <v>149</v>
      </c>
      <c r="C573" s="5" t="s">
        <v>117</v>
      </c>
      <c r="D573" s="87"/>
      <c r="E573" s="101">
        <v>102993.28</v>
      </c>
      <c r="F573" s="5" t="s">
        <v>129</v>
      </c>
      <c r="G573" s="5" t="s">
        <v>233</v>
      </c>
      <c r="H573" s="84"/>
    </row>
    <row r="574" spans="2:8" x14ac:dyDescent="0.35">
      <c r="B574" s="104" t="s">
        <v>149</v>
      </c>
      <c r="C574" s="5" t="s">
        <v>104</v>
      </c>
      <c r="D574" s="87"/>
      <c r="E574" s="101">
        <v>126831.28</v>
      </c>
      <c r="F574" s="5" t="s">
        <v>106</v>
      </c>
      <c r="G574" s="5" t="s">
        <v>235</v>
      </c>
      <c r="H574" s="84"/>
    </row>
    <row r="575" spans="2:8" x14ac:dyDescent="0.35">
      <c r="B575" s="104" t="s">
        <v>149</v>
      </c>
      <c r="C575" s="5" t="s">
        <v>117</v>
      </c>
      <c r="D575" s="87"/>
      <c r="E575" s="101">
        <v>134094.54999999999</v>
      </c>
      <c r="F575" s="5" t="s">
        <v>129</v>
      </c>
      <c r="G575" s="5" t="s">
        <v>233</v>
      </c>
      <c r="H575" s="84"/>
    </row>
    <row r="576" spans="2:8" x14ac:dyDescent="0.35">
      <c r="B576" s="104" t="s">
        <v>149</v>
      </c>
      <c r="C576" s="5" t="s">
        <v>104</v>
      </c>
      <c r="D576" s="87"/>
      <c r="E576" s="101">
        <v>135701.12</v>
      </c>
      <c r="F576" s="5" t="s">
        <v>106</v>
      </c>
      <c r="G576" s="5" t="s">
        <v>237</v>
      </c>
      <c r="H576" s="84"/>
    </row>
    <row r="577" spans="2:8" x14ac:dyDescent="0.35">
      <c r="B577" s="104" t="s">
        <v>149</v>
      </c>
      <c r="C577" s="5" t="s">
        <v>104</v>
      </c>
      <c r="D577" s="87"/>
      <c r="E577" s="101">
        <v>166955.1</v>
      </c>
      <c r="F577" s="5" t="s">
        <v>106</v>
      </c>
      <c r="G577" s="5" t="s">
        <v>235</v>
      </c>
      <c r="H577" s="84"/>
    </row>
    <row r="578" spans="2:8" x14ac:dyDescent="0.35">
      <c r="B578" s="104" t="s">
        <v>149</v>
      </c>
      <c r="C578" s="5" t="s">
        <v>117</v>
      </c>
      <c r="D578" s="87"/>
      <c r="E578" s="101">
        <v>215049.96</v>
      </c>
      <c r="F578" s="5" t="s">
        <v>129</v>
      </c>
      <c r="G578" s="5" t="s">
        <v>233</v>
      </c>
      <c r="H578" s="84"/>
    </row>
    <row r="579" spans="2:8" x14ac:dyDescent="0.35">
      <c r="B579" s="104" t="s">
        <v>149</v>
      </c>
      <c r="C579" s="5" t="s">
        <v>117</v>
      </c>
      <c r="D579" s="87"/>
      <c r="E579" s="101">
        <v>215049.96</v>
      </c>
      <c r="F579" s="5" t="s">
        <v>129</v>
      </c>
      <c r="G579" s="5" t="s">
        <v>233</v>
      </c>
      <c r="H579" s="84"/>
    </row>
    <row r="580" spans="2:8" x14ac:dyDescent="0.35">
      <c r="B580" s="104" t="s">
        <v>149</v>
      </c>
      <c r="C580" s="5" t="s">
        <v>104</v>
      </c>
      <c r="D580" s="87"/>
      <c r="E580" s="101">
        <v>256224.8</v>
      </c>
      <c r="F580" s="5" t="s">
        <v>106</v>
      </c>
      <c r="G580" s="5" t="s">
        <v>235</v>
      </c>
      <c r="H580" s="84"/>
    </row>
    <row r="581" spans="2:8" x14ac:dyDescent="0.35">
      <c r="B581" s="104" t="s">
        <v>149</v>
      </c>
      <c r="C581" s="5" t="s">
        <v>117</v>
      </c>
      <c r="D581" s="87"/>
      <c r="E581" s="101">
        <v>257483.2</v>
      </c>
      <c r="F581" s="5" t="s">
        <v>129</v>
      </c>
      <c r="G581" s="5" t="s">
        <v>233</v>
      </c>
      <c r="H581" s="84"/>
    </row>
    <row r="582" spans="2:8" x14ac:dyDescent="0.35">
      <c r="B582" s="104" t="s">
        <v>149</v>
      </c>
      <c r="C582" s="5" t="s">
        <v>104</v>
      </c>
      <c r="D582" s="87"/>
      <c r="E582" s="101">
        <v>267088.65000000002</v>
      </c>
      <c r="F582" s="5" t="s">
        <v>106</v>
      </c>
      <c r="G582" s="5" t="s">
        <v>235</v>
      </c>
      <c r="H582" s="84"/>
    </row>
    <row r="583" spans="2:8" x14ac:dyDescent="0.35">
      <c r="B583" s="104" t="s">
        <v>149</v>
      </c>
      <c r="C583" s="5" t="s">
        <v>117</v>
      </c>
      <c r="D583" s="87"/>
      <c r="E583" s="101">
        <v>322574.96000000002</v>
      </c>
      <c r="F583" s="5" t="s">
        <v>129</v>
      </c>
      <c r="G583" s="5" t="s">
        <v>233</v>
      </c>
      <c r="H583" s="84"/>
    </row>
    <row r="584" spans="2:8" x14ac:dyDescent="0.35">
      <c r="B584" s="104" t="s">
        <v>149</v>
      </c>
      <c r="C584" s="5" t="s">
        <v>104</v>
      </c>
      <c r="D584" s="87"/>
      <c r="E584" s="101">
        <v>455406.71</v>
      </c>
      <c r="F584" s="5" t="s">
        <v>106</v>
      </c>
      <c r="G584" s="5" t="s">
        <v>237</v>
      </c>
      <c r="H584" s="84"/>
    </row>
    <row r="585" spans="2:8" x14ac:dyDescent="0.35">
      <c r="B585" s="104" t="s">
        <v>149</v>
      </c>
      <c r="C585" s="5" t="s">
        <v>104</v>
      </c>
      <c r="D585" s="87"/>
      <c r="E585" s="101">
        <v>463337.07</v>
      </c>
      <c r="F585" s="5" t="s">
        <v>106</v>
      </c>
      <c r="G585" s="5" t="s">
        <v>235</v>
      </c>
      <c r="H585" s="84"/>
    </row>
    <row r="586" spans="2:8" x14ac:dyDescent="0.35">
      <c r="B586" s="104" t="s">
        <v>149</v>
      </c>
      <c r="C586" s="5" t="s">
        <v>104</v>
      </c>
      <c r="D586" s="87"/>
      <c r="E586" s="101">
        <v>500951.03</v>
      </c>
      <c r="F586" s="5" t="s">
        <v>106</v>
      </c>
      <c r="G586" s="5" t="s">
        <v>235</v>
      </c>
      <c r="H586" s="84"/>
    </row>
    <row r="587" spans="2:8" x14ac:dyDescent="0.35">
      <c r="B587" s="104" t="s">
        <v>149</v>
      </c>
      <c r="C587" s="5" t="s">
        <v>104</v>
      </c>
      <c r="D587" s="87"/>
      <c r="E587" s="101">
        <v>757911.74</v>
      </c>
      <c r="F587" s="5" t="s">
        <v>106</v>
      </c>
      <c r="G587" s="5" t="s">
        <v>235</v>
      </c>
      <c r="H587" s="84"/>
    </row>
    <row r="588" spans="2:8" x14ac:dyDescent="0.35">
      <c r="B588" s="104" t="s">
        <v>149</v>
      </c>
      <c r="C588" s="5" t="s">
        <v>117</v>
      </c>
      <c r="D588" s="87"/>
      <c r="E588" s="101">
        <v>1813992.84</v>
      </c>
      <c r="F588" s="5" t="s">
        <v>118</v>
      </c>
      <c r="G588" s="5" t="s">
        <v>238</v>
      </c>
      <c r="H588" s="84"/>
    </row>
    <row r="589" spans="2:8" x14ac:dyDescent="0.35">
      <c r="B589" s="104" t="s">
        <v>151</v>
      </c>
      <c r="C589" s="5" t="s">
        <v>117</v>
      </c>
      <c r="D589" s="87"/>
      <c r="E589" s="101">
        <v>3346.78</v>
      </c>
      <c r="F589" s="5" t="s">
        <v>129</v>
      </c>
      <c r="G589" s="5" t="s">
        <v>239</v>
      </c>
      <c r="H589" s="84"/>
    </row>
    <row r="590" spans="2:8" x14ac:dyDescent="0.35">
      <c r="B590" s="104" t="s">
        <v>151</v>
      </c>
      <c r="C590" s="5" t="s">
        <v>117</v>
      </c>
      <c r="D590" s="87"/>
      <c r="E590" s="101">
        <v>3346.78</v>
      </c>
      <c r="F590" s="5" t="s">
        <v>129</v>
      </c>
      <c r="G590" s="5" t="s">
        <v>239</v>
      </c>
      <c r="H590" s="84"/>
    </row>
    <row r="591" spans="2:8" x14ac:dyDescent="0.35">
      <c r="B591" s="104" t="s">
        <v>151</v>
      </c>
      <c r="C591" s="5" t="s">
        <v>117</v>
      </c>
      <c r="D591" s="87"/>
      <c r="E591" s="101">
        <v>12874.16</v>
      </c>
      <c r="F591" s="5" t="s">
        <v>129</v>
      </c>
      <c r="G591" s="5" t="s">
        <v>239</v>
      </c>
      <c r="H591" s="84"/>
    </row>
    <row r="592" spans="2:8" x14ac:dyDescent="0.35">
      <c r="B592" s="104" t="s">
        <v>151</v>
      </c>
      <c r="C592" s="5" t="s">
        <v>117</v>
      </c>
      <c r="D592" s="87"/>
      <c r="E592" s="101">
        <v>19311.240000000002</v>
      </c>
      <c r="F592" s="5" t="s">
        <v>129</v>
      </c>
      <c r="G592" s="5" t="s">
        <v>239</v>
      </c>
      <c r="H592" s="84"/>
    </row>
    <row r="593" spans="2:8" x14ac:dyDescent="0.35">
      <c r="B593" s="104" t="s">
        <v>151</v>
      </c>
      <c r="C593" s="5" t="s">
        <v>117</v>
      </c>
      <c r="D593" s="87"/>
      <c r="E593" s="101">
        <v>19311.240000000002</v>
      </c>
      <c r="F593" s="5" t="s">
        <v>129</v>
      </c>
      <c r="G593" s="5" t="s">
        <v>239</v>
      </c>
      <c r="H593" s="84"/>
    </row>
    <row r="594" spans="2:8" x14ac:dyDescent="0.35">
      <c r="B594" s="104" t="s">
        <v>151</v>
      </c>
      <c r="C594" s="5" t="s">
        <v>117</v>
      </c>
      <c r="D594" s="87"/>
      <c r="E594" s="101">
        <v>25748.32</v>
      </c>
      <c r="F594" s="5" t="s">
        <v>129</v>
      </c>
      <c r="G594" s="5" t="s">
        <v>239</v>
      </c>
      <c r="H594" s="84"/>
    </row>
    <row r="595" spans="2:8" x14ac:dyDescent="0.35">
      <c r="B595" s="104" t="s">
        <v>151</v>
      </c>
      <c r="C595" s="5" t="s">
        <v>117</v>
      </c>
      <c r="D595" s="87"/>
      <c r="E595" s="101">
        <v>25748.32</v>
      </c>
      <c r="F595" s="5" t="s">
        <v>129</v>
      </c>
      <c r="G595" s="5" t="s">
        <v>239</v>
      </c>
      <c r="H595" s="84"/>
    </row>
    <row r="596" spans="2:8" x14ac:dyDescent="0.35">
      <c r="B596" s="104" t="s">
        <v>151</v>
      </c>
      <c r="C596" s="5" t="s">
        <v>117</v>
      </c>
      <c r="D596" s="87"/>
      <c r="E596" s="101">
        <v>30897.98</v>
      </c>
      <c r="F596" s="5" t="s">
        <v>129</v>
      </c>
      <c r="G596" s="5" t="s">
        <v>239</v>
      </c>
      <c r="H596" s="84"/>
    </row>
    <row r="597" spans="2:8" x14ac:dyDescent="0.35">
      <c r="B597" s="104" t="s">
        <v>151</v>
      </c>
      <c r="C597" s="5" t="s">
        <v>117</v>
      </c>
      <c r="D597" s="87"/>
      <c r="E597" s="101">
        <v>38622.480000000003</v>
      </c>
      <c r="F597" s="5" t="s">
        <v>129</v>
      </c>
      <c r="G597" s="5" t="s">
        <v>239</v>
      </c>
      <c r="H597" s="84"/>
    </row>
    <row r="598" spans="2:8" x14ac:dyDescent="0.35">
      <c r="B598" s="104" t="s">
        <v>151</v>
      </c>
      <c r="C598" s="5" t="s">
        <v>117</v>
      </c>
      <c r="D598" s="87"/>
      <c r="E598" s="101">
        <v>38622.480000000003</v>
      </c>
      <c r="F598" s="5" t="s">
        <v>129</v>
      </c>
      <c r="G598" s="5" t="s">
        <v>239</v>
      </c>
      <c r="H598" s="84"/>
    </row>
    <row r="599" spans="2:8" x14ac:dyDescent="0.35">
      <c r="B599" s="104" t="s">
        <v>151</v>
      </c>
      <c r="C599" s="5" t="s">
        <v>117</v>
      </c>
      <c r="D599" s="87"/>
      <c r="E599" s="101">
        <v>38622.480000000003</v>
      </c>
      <c r="F599" s="5" t="s">
        <v>129</v>
      </c>
      <c r="G599" s="5" t="s">
        <v>239</v>
      </c>
      <c r="H599" s="84"/>
    </row>
    <row r="600" spans="2:8" x14ac:dyDescent="0.35">
      <c r="B600" s="104" t="s">
        <v>151</v>
      </c>
      <c r="C600" s="5" t="s">
        <v>117</v>
      </c>
      <c r="D600" s="87"/>
      <c r="E600" s="101">
        <v>38622.480000000003</v>
      </c>
      <c r="F600" s="5" t="s">
        <v>129</v>
      </c>
      <c r="G600" s="5" t="s">
        <v>239</v>
      </c>
      <c r="H600" s="84"/>
    </row>
    <row r="601" spans="2:8" x14ac:dyDescent="0.35">
      <c r="B601" s="104" t="s">
        <v>151</v>
      </c>
      <c r="C601" s="5" t="s">
        <v>117</v>
      </c>
      <c r="D601" s="87"/>
      <c r="E601" s="101">
        <v>38622.480000000003</v>
      </c>
      <c r="F601" s="5" t="s">
        <v>129</v>
      </c>
      <c r="G601" s="5" t="s">
        <v>239</v>
      </c>
      <c r="H601" s="84"/>
    </row>
    <row r="602" spans="2:8" x14ac:dyDescent="0.35">
      <c r="B602" s="104" t="s">
        <v>151</v>
      </c>
      <c r="C602" s="5" t="s">
        <v>117</v>
      </c>
      <c r="D602" s="87"/>
      <c r="E602" s="101">
        <v>38622.480000000003</v>
      </c>
      <c r="F602" s="5" t="s">
        <v>129</v>
      </c>
      <c r="G602" s="5" t="s">
        <v>239</v>
      </c>
      <c r="H602" s="84"/>
    </row>
    <row r="603" spans="2:8" x14ac:dyDescent="0.35">
      <c r="B603" s="104" t="s">
        <v>151</v>
      </c>
      <c r="C603" s="5" t="s">
        <v>117</v>
      </c>
      <c r="D603" s="87"/>
      <c r="E603" s="101">
        <v>38622.480000000003</v>
      </c>
      <c r="F603" s="5" t="s">
        <v>129</v>
      </c>
      <c r="G603" s="5" t="s">
        <v>239</v>
      </c>
      <c r="H603" s="84"/>
    </row>
    <row r="604" spans="2:8" x14ac:dyDescent="0.35">
      <c r="B604" s="104" t="s">
        <v>151</v>
      </c>
      <c r="C604" s="5" t="s">
        <v>117</v>
      </c>
      <c r="D604" s="87"/>
      <c r="E604" s="101">
        <v>38622.480000000003</v>
      </c>
      <c r="F604" s="5" t="s">
        <v>129</v>
      </c>
      <c r="G604" s="5" t="s">
        <v>239</v>
      </c>
      <c r="H604" s="84"/>
    </row>
    <row r="605" spans="2:8" x14ac:dyDescent="0.35">
      <c r="B605" s="104" t="s">
        <v>151</v>
      </c>
      <c r="C605" s="5" t="s">
        <v>117</v>
      </c>
      <c r="D605" s="87"/>
      <c r="E605" s="101">
        <v>38622.480000000003</v>
      </c>
      <c r="F605" s="5" t="s">
        <v>129</v>
      </c>
      <c r="G605" s="5" t="s">
        <v>239</v>
      </c>
      <c r="H605" s="84"/>
    </row>
    <row r="606" spans="2:8" x14ac:dyDescent="0.35">
      <c r="B606" s="104" t="s">
        <v>151</v>
      </c>
      <c r="C606" s="5" t="s">
        <v>117</v>
      </c>
      <c r="D606" s="87"/>
      <c r="E606" s="101">
        <v>38622.480000000003</v>
      </c>
      <c r="F606" s="5" t="s">
        <v>129</v>
      </c>
      <c r="G606" s="5" t="s">
        <v>239</v>
      </c>
      <c r="H606" s="84"/>
    </row>
    <row r="607" spans="2:8" x14ac:dyDescent="0.35">
      <c r="B607" s="104" t="s">
        <v>151</v>
      </c>
      <c r="C607" s="5" t="s">
        <v>117</v>
      </c>
      <c r="D607" s="87"/>
      <c r="E607" s="101">
        <v>38622.480000000003</v>
      </c>
      <c r="F607" s="5" t="s">
        <v>129</v>
      </c>
      <c r="G607" s="5" t="s">
        <v>239</v>
      </c>
      <c r="H607" s="84"/>
    </row>
    <row r="608" spans="2:8" x14ac:dyDescent="0.35">
      <c r="B608" s="104" t="s">
        <v>151</v>
      </c>
      <c r="C608" s="5" t="s">
        <v>117</v>
      </c>
      <c r="D608" s="87"/>
      <c r="E608" s="101">
        <v>38622.480000000003</v>
      </c>
      <c r="F608" s="5" t="s">
        <v>129</v>
      </c>
      <c r="G608" s="5" t="s">
        <v>239</v>
      </c>
      <c r="H608" s="84"/>
    </row>
    <row r="609" spans="2:8" x14ac:dyDescent="0.35">
      <c r="B609" s="104" t="s">
        <v>151</v>
      </c>
      <c r="C609" s="5" t="s">
        <v>117</v>
      </c>
      <c r="D609" s="87"/>
      <c r="E609" s="101">
        <v>38622.480000000003</v>
      </c>
      <c r="F609" s="5" t="s">
        <v>129</v>
      </c>
      <c r="G609" s="5" t="s">
        <v>239</v>
      </c>
      <c r="H609" s="84"/>
    </row>
    <row r="610" spans="2:8" x14ac:dyDescent="0.35">
      <c r="B610" s="104" t="s">
        <v>151</v>
      </c>
      <c r="C610" s="5" t="s">
        <v>117</v>
      </c>
      <c r="D610" s="87"/>
      <c r="E610" s="101">
        <v>38622.480000000003</v>
      </c>
      <c r="F610" s="5" t="s">
        <v>129</v>
      </c>
      <c r="G610" s="5" t="s">
        <v>239</v>
      </c>
      <c r="H610" s="84"/>
    </row>
    <row r="611" spans="2:8" x14ac:dyDescent="0.35">
      <c r="B611" s="104" t="s">
        <v>151</v>
      </c>
      <c r="C611" s="5" t="s">
        <v>117</v>
      </c>
      <c r="D611" s="87"/>
      <c r="E611" s="101">
        <v>38622.480000000003</v>
      </c>
      <c r="F611" s="5" t="s">
        <v>129</v>
      </c>
      <c r="G611" s="5" t="s">
        <v>239</v>
      </c>
      <c r="H611" s="84"/>
    </row>
    <row r="612" spans="2:8" x14ac:dyDescent="0.35">
      <c r="B612" s="104" t="s">
        <v>151</v>
      </c>
      <c r="C612" s="5" t="s">
        <v>117</v>
      </c>
      <c r="D612" s="87"/>
      <c r="E612" s="101">
        <v>38622.480000000003</v>
      </c>
      <c r="F612" s="5" t="s">
        <v>129</v>
      </c>
      <c r="G612" s="5" t="s">
        <v>239</v>
      </c>
      <c r="H612" s="84"/>
    </row>
    <row r="613" spans="2:8" x14ac:dyDescent="0.35">
      <c r="B613" s="104" t="s">
        <v>151</v>
      </c>
      <c r="C613" s="5" t="s">
        <v>117</v>
      </c>
      <c r="D613" s="87"/>
      <c r="E613" s="101">
        <v>38622.480000000003</v>
      </c>
      <c r="F613" s="5" t="s">
        <v>129</v>
      </c>
      <c r="G613" s="5" t="s">
        <v>239</v>
      </c>
      <c r="H613" s="84"/>
    </row>
    <row r="614" spans="2:8" x14ac:dyDescent="0.35">
      <c r="B614" s="104" t="s">
        <v>151</v>
      </c>
      <c r="C614" s="5" t="s">
        <v>117</v>
      </c>
      <c r="D614" s="87"/>
      <c r="E614" s="101">
        <v>38622.480000000003</v>
      </c>
      <c r="F614" s="5" t="s">
        <v>129</v>
      </c>
      <c r="G614" s="5" t="s">
        <v>239</v>
      </c>
      <c r="H614" s="84"/>
    </row>
    <row r="615" spans="2:8" x14ac:dyDescent="0.35">
      <c r="B615" s="104" t="s">
        <v>151</v>
      </c>
      <c r="C615" s="5" t="s">
        <v>117</v>
      </c>
      <c r="D615" s="87"/>
      <c r="E615" s="101">
        <v>38622.480000000003</v>
      </c>
      <c r="F615" s="5" t="s">
        <v>129</v>
      </c>
      <c r="G615" s="5" t="s">
        <v>239</v>
      </c>
      <c r="H615" s="84"/>
    </row>
    <row r="616" spans="2:8" x14ac:dyDescent="0.35">
      <c r="B616" s="104" t="s">
        <v>151</v>
      </c>
      <c r="C616" s="5" t="s">
        <v>117</v>
      </c>
      <c r="D616" s="87"/>
      <c r="E616" s="101">
        <v>38622.480000000003</v>
      </c>
      <c r="F616" s="5" t="s">
        <v>129</v>
      </c>
      <c r="G616" s="5" t="s">
        <v>239</v>
      </c>
      <c r="H616" s="84"/>
    </row>
    <row r="617" spans="2:8" x14ac:dyDescent="0.35">
      <c r="B617" s="104" t="s">
        <v>151</v>
      </c>
      <c r="C617" s="5" t="s">
        <v>117</v>
      </c>
      <c r="D617" s="87"/>
      <c r="E617" s="101">
        <v>38622.480000000003</v>
      </c>
      <c r="F617" s="5" t="s">
        <v>129</v>
      </c>
      <c r="G617" s="5" t="s">
        <v>239</v>
      </c>
      <c r="H617" s="84"/>
    </row>
    <row r="618" spans="2:8" x14ac:dyDescent="0.35">
      <c r="B618" s="104" t="s">
        <v>151</v>
      </c>
      <c r="C618" s="5" t="s">
        <v>117</v>
      </c>
      <c r="D618" s="87"/>
      <c r="E618" s="101">
        <v>38622.480000000003</v>
      </c>
      <c r="F618" s="5" t="s">
        <v>129</v>
      </c>
      <c r="G618" s="5" t="s">
        <v>239</v>
      </c>
      <c r="H618" s="84"/>
    </row>
    <row r="619" spans="2:8" x14ac:dyDescent="0.35">
      <c r="B619" s="104" t="s">
        <v>151</v>
      </c>
      <c r="C619" s="5" t="s">
        <v>117</v>
      </c>
      <c r="D619" s="87"/>
      <c r="E619" s="101">
        <v>38622.480000000003</v>
      </c>
      <c r="F619" s="5" t="s">
        <v>129</v>
      </c>
      <c r="G619" s="5" t="s">
        <v>239</v>
      </c>
      <c r="H619" s="84"/>
    </row>
    <row r="620" spans="2:8" x14ac:dyDescent="0.35">
      <c r="B620" s="104" t="s">
        <v>151</v>
      </c>
      <c r="C620" s="5" t="s">
        <v>117</v>
      </c>
      <c r="D620" s="87"/>
      <c r="E620" s="101">
        <v>38622.480000000003</v>
      </c>
      <c r="F620" s="5" t="s">
        <v>129</v>
      </c>
      <c r="G620" s="5" t="s">
        <v>239</v>
      </c>
      <c r="H620" s="84"/>
    </row>
    <row r="621" spans="2:8" x14ac:dyDescent="0.35">
      <c r="B621" s="104" t="s">
        <v>151</v>
      </c>
      <c r="C621" s="5" t="s">
        <v>117</v>
      </c>
      <c r="D621" s="87"/>
      <c r="E621" s="101">
        <v>38622.480000000003</v>
      </c>
      <c r="F621" s="5" t="s">
        <v>129</v>
      </c>
      <c r="G621" s="5" t="s">
        <v>239</v>
      </c>
      <c r="H621" s="84"/>
    </row>
    <row r="622" spans="2:8" x14ac:dyDescent="0.35">
      <c r="B622" s="104" t="s">
        <v>151</v>
      </c>
      <c r="C622" s="5" t="s">
        <v>117</v>
      </c>
      <c r="D622" s="87"/>
      <c r="E622" s="101">
        <v>38622.480000000003</v>
      </c>
      <c r="F622" s="5" t="s">
        <v>129</v>
      </c>
      <c r="G622" s="5" t="s">
        <v>239</v>
      </c>
      <c r="H622" s="84"/>
    </row>
    <row r="623" spans="2:8" x14ac:dyDescent="0.35">
      <c r="B623" s="104" t="s">
        <v>151</v>
      </c>
      <c r="C623" s="5" t="s">
        <v>117</v>
      </c>
      <c r="D623" s="87"/>
      <c r="E623" s="101">
        <v>51496.639999999999</v>
      </c>
      <c r="F623" s="5" t="s">
        <v>129</v>
      </c>
      <c r="G623" s="5" t="s">
        <v>239</v>
      </c>
      <c r="H623" s="84"/>
    </row>
    <row r="624" spans="2:8" x14ac:dyDescent="0.35">
      <c r="B624" s="104" t="s">
        <v>151</v>
      </c>
      <c r="C624" s="5" t="s">
        <v>117</v>
      </c>
      <c r="D624" s="87"/>
      <c r="E624" s="101">
        <v>51496.639999999999</v>
      </c>
      <c r="F624" s="5" t="s">
        <v>129</v>
      </c>
      <c r="G624" s="5" t="s">
        <v>239</v>
      </c>
      <c r="H624" s="84"/>
    </row>
    <row r="625" spans="2:8" x14ac:dyDescent="0.35">
      <c r="B625" s="104" t="s">
        <v>151</v>
      </c>
      <c r="C625" s="5" t="s">
        <v>117</v>
      </c>
      <c r="D625" s="87"/>
      <c r="E625" s="101">
        <v>51496.639999999999</v>
      </c>
      <c r="F625" s="5" t="s">
        <v>129</v>
      </c>
      <c r="G625" s="5" t="s">
        <v>239</v>
      </c>
      <c r="H625" s="84"/>
    </row>
    <row r="626" spans="2:8" x14ac:dyDescent="0.35">
      <c r="B626" s="104" t="s">
        <v>151</v>
      </c>
      <c r="C626" s="5" t="s">
        <v>117</v>
      </c>
      <c r="D626" s="87"/>
      <c r="E626" s="101">
        <v>51496.639999999999</v>
      </c>
      <c r="F626" s="5" t="s">
        <v>129</v>
      </c>
      <c r="G626" s="5" t="s">
        <v>239</v>
      </c>
      <c r="H626" s="84"/>
    </row>
    <row r="627" spans="2:8" x14ac:dyDescent="0.35">
      <c r="B627" s="104" t="s">
        <v>151</v>
      </c>
      <c r="C627" s="5" t="s">
        <v>117</v>
      </c>
      <c r="D627" s="87"/>
      <c r="E627" s="101">
        <v>51496.639999999999</v>
      </c>
      <c r="F627" s="5" t="s">
        <v>129</v>
      </c>
      <c r="G627" s="5" t="s">
        <v>239</v>
      </c>
      <c r="H627" s="84"/>
    </row>
    <row r="628" spans="2:8" x14ac:dyDescent="0.35">
      <c r="B628" s="104" t="s">
        <v>151</v>
      </c>
      <c r="C628" s="5" t="s">
        <v>117</v>
      </c>
      <c r="D628" s="87"/>
      <c r="E628" s="101">
        <v>51496.639999999999</v>
      </c>
      <c r="F628" s="5" t="s">
        <v>129</v>
      </c>
      <c r="G628" s="5" t="s">
        <v>239</v>
      </c>
      <c r="H628" s="84"/>
    </row>
    <row r="629" spans="2:8" x14ac:dyDescent="0.35">
      <c r="B629" s="104" t="s">
        <v>151</v>
      </c>
      <c r="C629" s="5" t="s">
        <v>117</v>
      </c>
      <c r="D629" s="87"/>
      <c r="E629" s="101">
        <v>51496.639999999999</v>
      </c>
      <c r="F629" s="5" t="s">
        <v>129</v>
      </c>
      <c r="G629" s="5" t="s">
        <v>239</v>
      </c>
      <c r="H629" s="84"/>
    </row>
    <row r="630" spans="2:8" x14ac:dyDescent="0.35">
      <c r="B630" s="104" t="s">
        <v>151</v>
      </c>
      <c r="C630" s="5" t="s">
        <v>104</v>
      </c>
      <c r="D630" s="87"/>
      <c r="E630" s="101">
        <v>57650.58</v>
      </c>
      <c r="F630" s="5" t="s">
        <v>106</v>
      </c>
      <c r="G630" s="5" t="s">
        <v>240</v>
      </c>
      <c r="H630" s="84"/>
    </row>
    <row r="631" spans="2:8" x14ac:dyDescent="0.35">
      <c r="B631" s="104" t="s">
        <v>151</v>
      </c>
      <c r="C631" s="5" t="s">
        <v>104</v>
      </c>
      <c r="D631" s="87"/>
      <c r="E631" s="101">
        <v>57792.15</v>
      </c>
      <c r="F631" s="5" t="s">
        <v>106</v>
      </c>
      <c r="G631" s="5" t="s">
        <v>240</v>
      </c>
      <c r="H631" s="84"/>
    </row>
    <row r="632" spans="2:8" x14ac:dyDescent="0.35">
      <c r="B632" s="104" t="s">
        <v>151</v>
      </c>
      <c r="C632" s="5" t="s">
        <v>117</v>
      </c>
      <c r="D632" s="87"/>
      <c r="E632" s="101">
        <v>77244.960000000006</v>
      </c>
      <c r="F632" s="5" t="s">
        <v>129</v>
      </c>
      <c r="G632" s="5" t="s">
        <v>239</v>
      </c>
      <c r="H632" s="84"/>
    </row>
    <row r="633" spans="2:8" x14ac:dyDescent="0.35">
      <c r="B633" s="104" t="s">
        <v>151</v>
      </c>
      <c r="C633" s="5" t="s">
        <v>117</v>
      </c>
      <c r="D633" s="87"/>
      <c r="E633" s="101">
        <v>77244.960000000006</v>
      </c>
      <c r="F633" s="5" t="s">
        <v>129</v>
      </c>
      <c r="G633" s="5" t="s">
        <v>239</v>
      </c>
      <c r="H633" s="84"/>
    </row>
    <row r="634" spans="2:8" x14ac:dyDescent="0.35">
      <c r="B634" s="104" t="s">
        <v>151</v>
      </c>
      <c r="C634" s="5" t="s">
        <v>117</v>
      </c>
      <c r="D634" s="87"/>
      <c r="E634" s="101">
        <v>77244.960000000006</v>
      </c>
      <c r="F634" s="5" t="s">
        <v>129</v>
      </c>
      <c r="G634" s="5" t="s">
        <v>239</v>
      </c>
      <c r="H634" s="84"/>
    </row>
    <row r="635" spans="2:8" x14ac:dyDescent="0.35">
      <c r="B635" s="104" t="s">
        <v>151</v>
      </c>
      <c r="C635" s="5" t="s">
        <v>117</v>
      </c>
      <c r="D635" s="87"/>
      <c r="E635" s="101">
        <v>86256.87</v>
      </c>
      <c r="F635" s="5" t="s">
        <v>129</v>
      </c>
      <c r="G635" s="5" t="s">
        <v>239</v>
      </c>
      <c r="H635" s="84"/>
    </row>
    <row r="636" spans="2:8" x14ac:dyDescent="0.35">
      <c r="B636" s="104" t="s">
        <v>151</v>
      </c>
      <c r="C636" s="5" t="s">
        <v>104</v>
      </c>
      <c r="D636" s="87"/>
      <c r="E636" s="101">
        <v>120511.3</v>
      </c>
      <c r="F636" s="5" t="s">
        <v>106</v>
      </c>
      <c r="G636" s="5" t="s">
        <v>241</v>
      </c>
      <c r="H636" s="84"/>
    </row>
    <row r="637" spans="2:8" x14ac:dyDescent="0.35">
      <c r="B637" s="104" t="s">
        <v>151</v>
      </c>
      <c r="C637" s="5" t="s">
        <v>104</v>
      </c>
      <c r="D637" s="87"/>
      <c r="E637" s="101">
        <v>128427</v>
      </c>
      <c r="F637" s="5" t="s">
        <v>106</v>
      </c>
      <c r="G637" s="5" t="s">
        <v>240</v>
      </c>
      <c r="H637" s="84"/>
    </row>
    <row r="638" spans="2:8" x14ac:dyDescent="0.35">
      <c r="B638" s="104" t="s">
        <v>151</v>
      </c>
      <c r="C638" s="5" t="s">
        <v>104</v>
      </c>
      <c r="D638" s="87"/>
      <c r="E638" s="101">
        <v>153734.88</v>
      </c>
      <c r="F638" s="5" t="s">
        <v>106</v>
      </c>
      <c r="G638" s="5" t="s">
        <v>240</v>
      </c>
      <c r="H638" s="84"/>
    </row>
    <row r="639" spans="2:8" x14ac:dyDescent="0.35">
      <c r="B639" s="104" t="s">
        <v>151</v>
      </c>
      <c r="C639" s="5" t="s">
        <v>104</v>
      </c>
      <c r="D639" s="87"/>
      <c r="E639" s="101">
        <v>179357.36</v>
      </c>
      <c r="F639" s="5" t="s">
        <v>106</v>
      </c>
      <c r="G639" s="5" t="s">
        <v>240</v>
      </c>
      <c r="H639" s="84"/>
    </row>
    <row r="640" spans="2:8" x14ac:dyDescent="0.35">
      <c r="B640" s="104" t="s">
        <v>151</v>
      </c>
      <c r="C640" s="5" t="s">
        <v>117</v>
      </c>
      <c r="D640" s="87"/>
      <c r="E640" s="101">
        <v>215049.96</v>
      </c>
      <c r="F640" s="5" t="s">
        <v>129</v>
      </c>
      <c r="G640" s="5" t="s">
        <v>239</v>
      </c>
      <c r="H640" s="84"/>
    </row>
    <row r="641" spans="2:8" x14ac:dyDescent="0.35">
      <c r="B641" s="104" t="s">
        <v>151</v>
      </c>
      <c r="C641" s="5" t="s">
        <v>117</v>
      </c>
      <c r="D641" s="87"/>
      <c r="E641" s="101">
        <v>215049.96</v>
      </c>
      <c r="F641" s="5" t="s">
        <v>129</v>
      </c>
      <c r="G641" s="5" t="s">
        <v>239</v>
      </c>
      <c r="H641" s="84"/>
    </row>
    <row r="642" spans="2:8" x14ac:dyDescent="0.35">
      <c r="B642" s="104" t="s">
        <v>151</v>
      </c>
      <c r="C642" s="5" t="s">
        <v>117</v>
      </c>
      <c r="D642" s="87"/>
      <c r="E642" s="101">
        <v>215049.96</v>
      </c>
      <c r="F642" s="5" t="s">
        <v>129</v>
      </c>
      <c r="G642" s="5" t="s">
        <v>239</v>
      </c>
      <c r="H642" s="84"/>
    </row>
    <row r="643" spans="2:8" x14ac:dyDescent="0.35">
      <c r="B643" s="104" t="s">
        <v>151</v>
      </c>
      <c r="C643" s="5" t="s">
        <v>117</v>
      </c>
      <c r="D643" s="87"/>
      <c r="E643" s="101">
        <v>215049.96</v>
      </c>
      <c r="F643" s="5" t="s">
        <v>129</v>
      </c>
      <c r="G643" s="5" t="s">
        <v>239</v>
      </c>
      <c r="H643" s="84"/>
    </row>
    <row r="644" spans="2:8" x14ac:dyDescent="0.35">
      <c r="B644" s="104" t="s">
        <v>151</v>
      </c>
      <c r="C644" s="5" t="s">
        <v>117</v>
      </c>
      <c r="D644" s="87"/>
      <c r="E644" s="101">
        <v>215049.96</v>
      </c>
      <c r="F644" s="5" t="s">
        <v>129</v>
      </c>
      <c r="G644" s="5" t="s">
        <v>239</v>
      </c>
      <c r="H644" s="84"/>
    </row>
    <row r="645" spans="2:8" x14ac:dyDescent="0.35">
      <c r="B645" s="104" t="s">
        <v>151</v>
      </c>
      <c r="C645" s="5" t="s">
        <v>117</v>
      </c>
      <c r="D645" s="87"/>
      <c r="E645" s="101">
        <v>322574.96000000002</v>
      </c>
      <c r="F645" s="5" t="s">
        <v>129</v>
      </c>
      <c r="G645" s="5" t="s">
        <v>239</v>
      </c>
      <c r="H645" s="84"/>
    </row>
    <row r="646" spans="2:8" x14ac:dyDescent="0.35">
      <c r="B646" s="104" t="s">
        <v>151</v>
      </c>
      <c r="C646" s="5" t="s">
        <v>117</v>
      </c>
      <c r="D646" s="87"/>
      <c r="E646" s="101">
        <v>322574.96000000002</v>
      </c>
      <c r="F646" s="5" t="s">
        <v>129</v>
      </c>
      <c r="G646" s="5" t="s">
        <v>239</v>
      </c>
      <c r="H646" s="84"/>
    </row>
    <row r="647" spans="2:8" x14ac:dyDescent="0.35">
      <c r="B647" s="104" t="s">
        <v>151</v>
      </c>
      <c r="C647" s="5" t="s">
        <v>104</v>
      </c>
      <c r="D647" s="87"/>
      <c r="E647" s="101">
        <v>642558.14</v>
      </c>
      <c r="F647" s="5" t="s">
        <v>106</v>
      </c>
      <c r="G647" s="5" t="s">
        <v>240</v>
      </c>
      <c r="H647" s="84"/>
    </row>
    <row r="648" spans="2:8" x14ac:dyDescent="0.35">
      <c r="B648" s="104" t="s">
        <v>151</v>
      </c>
      <c r="C648" s="5" t="s">
        <v>117</v>
      </c>
      <c r="D648" s="87"/>
      <c r="E648" s="101">
        <v>679073</v>
      </c>
      <c r="F648" s="5" t="s">
        <v>118</v>
      </c>
      <c r="G648" s="5" t="s">
        <v>242</v>
      </c>
      <c r="H648" s="84"/>
    </row>
    <row r="649" spans="2:8" x14ac:dyDescent="0.35">
      <c r="B649" s="104" t="s">
        <v>152</v>
      </c>
      <c r="C649" s="5" t="s">
        <v>104</v>
      </c>
      <c r="D649" s="87"/>
      <c r="E649" s="101">
        <v>19028.099999999999</v>
      </c>
      <c r="F649" s="5" t="s">
        <v>106</v>
      </c>
      <c r="G649" s="5" t="s">
        <v>243</v>
      </c>
      <c r="H649" s="84"/>
    </row>
    <row r="650" spans="2:8" x14ac:dyDescent="0.35">
      <c r="B650" s="104" t="s">
        <v>152</v>
      </c>
      <c r="C650" s="5" t="s">
        <v>104</v>
      </c>
      <c r="D650" s="87"/>
      <c r="E650" s="101">
        <v>19264.05</v>
      </c>
      <c r="F650" s="5" t="s">
        <v>106</v>
      </c>
      <c r="G650" s="5" t="s">
        <v>244</v>
      </c>
      <c r="H650" s="84"/>
    </row>
    <row r="651" spans="2:8" x14ac:dyDescent="0.35">
      <c r="B651" s="104" t="s">
        <v>152</v>
      </c>
      <c r="C651" s="5" t="s">
        <v>117</v>
      </c>
      <c r="D651" s="87"/>
      <c r="E651" s="101">
        <v>19311.240000000002</v>
      </c>
      <c r="F651" s="5" t="s">
        <v>129</v>
      </c>
      <c r="G651" s="5" t="s">
        <v>245</v>
      </c>
      <c r="H651" s="84"/>
    </row>
    <row r="652" spans="2:8" x14ac:dyDescent="0.35">
      <c r="B652" s="104" t="s">
        <v>152</v>
      </c>
      <c r="C652" s="5" t="s">
        <v>117</v>
      </c>
      <c r="D652" s="87"/>
      <c r="E652" s="101">
        <v>19311.240000000002</v>
      </c>
      <c r="F652" s="5" t="s">
        <v>129</v>
      </c>
      <c r="G652" s="5" t="s">
        <v>245</v>
      </c>
      <c r="H652" s="84"/>
    </row>
    <row r="653" spans="2:8" x14ac:dyDescent="0.35">
      <c r="B653" s="104" t="s">
        <v>152</v>
      </c>
      <c r="C653" s="5" t="s">
        <v>117</v>
      </c>
      <c r="D653" s="87"/>
      <c r="E653" s="101">
        <v>20752.18</v>
      </c>
      <c r="F653" s="5" t="s">
        <v>129</v>
      </c>
      <c r="G653" s="5" t="s">
        <v>245</v>
      </c>
      <c r="H653" s="84"/>
    </row>
    <row r="654" spans="2:8" x14ac:dyDescent="0.35">
      <c r="B654" s="104" t="s">
        <v>152</v>
      </c>
      <c r="C654" s="5" t="s">
        <v>117</v>
      </c>
      <c r="D654" s="87"/>
      <c r="E654" s="101">
        <v>25748.32</v>
      </c>
      <c r="F654" s="5" t="s">
        <v>129</v>
      </c>
      <c r="G654" s="5" t="s">
        <v>245</v>
      </c>
      <c r="H654" s="84"/>
    </row>
    <row r="655" spans="2:8" x14ac:dyDescent="0.35">
      <c r="B655" s="104" t="s">
        <v>152</v>
      </c>
      <c r="C655" s="5" t="s">
        <v>117</v>
      </c>
      <c r="D655" s="87"/>
      <c r="E655" s="101">
        <v>30897.98</v>
      </c>
      <c r="F655" s="5" t="s">
        <v>129</v>
      </c>
      <c r="G655" s="5" t="s">
        <v>245</v>
      </c>
      <c r="H655" s="84"/>
    </row>
    <row r="656" spans="2:8" x14ac:dyDescent="0.35">
      <c r="B656" s="104" t="s">
        <v>152</v>
      </c>
      <c r="C656" s="5" t="s">
        <v>104</v>
      </c>
      <c r="D656" s="87"/>
      <c r="E656" s="101">
        <v>38528.1</v>
      </c>
      <c r="F656" s="5" t="s">
        <v>106</v>
      </c>
      <c r="G656" s="5" t="s">
        <v>244</v>
      </c>
      <c r="H656" s="84"/>
    </row>
    <row r="657" spans="2:8" x14ac:dyDescent="0.35">
      <c r="B657" s="104" t="s">
        <v>152</v>
      </c>
      <c r="C657" s="5" t="s">
        <v>117</v>
      </c>
      <c r="D657" s="87"/>
      <c r="E657" s="101">
        <v>38622.480000000003</v>
      </c>
      <c r="F657" s="5" t="s">
        <v>129</v>
      </c>
      <c r="G657" s="5" t="s">
        <v>245</v>
      </c>
      <c r="H657" s="84"/>
    </row>
    <row r="658" spans="2:8" x14ac:dyDescent="0.35">
      <c r="B658" s="104" t="s">
        <v>152</v>
      </c>
      <c r="C658" s="5" t="s">
        <v>117</v>
      </c>
      <c r="D658" s="87"/>
      <c r="E658" s="101">
        <v>38622.480000000003</v>
      </c>
      <c r="F658" s="5" t="s">
        <v>129</v>
      </c>
      <c r="G658" s="5" t="s">
        <v>245</v>
      </c>
      <c r="H658" s="84"/>
    </row>
    <row r="659" spans="2:8" x14ac:dyDescent="0.35">
      <c r="B659" s="104" t="s">
        <v>152</v>
      </c>
      <c r="C659" s="5" t="s">
        <v>117</v>
      </c>
      <c r="D659" s="87"/>
      <c r="E659" s="101">
        <v>38622.480000000003</v>
      </c>
      <c r="F659" s="5" t="s">
        <v>129</v>
      </c>
      <c r="G659" s="5" t="s">
        <v>245</v>
      </c>
      <c r="H659" s="84"/>
    </row>
    <row r="660" spans="2:8" x14ac:dyDescent="0.35">
      <c r="B660" s="104" t="s">
        <v>152</v>
      </c>
      <c r="C660" s="5" t="s">
        <v>117</v>
      </c>
      <c r="D660" s="87"/>
      <c r="E660" s="101">
        <v>38622.480000000003</v>
      </c>
      <c r="F660" s="5" t="s">
        <v>129</v>
      </c>
      <c r="G660" s="5" t="s">
        <v>245</v>
      </c>
      <c r="H660" s="84"/>
    </row>
    <row r="661" spans="2:8" x14ac:dyDescent="0.35">
      <c r="B661" s="104" t="s">
        <v>152</v>
      </c>
      <c r="C661" s="5" t="s">
        <v>117</v>
      </c>
      <c r="D661" s="87"/>
      <c r="E661" s="101">
        <v>38622.480000000003</v>
      </c>
      <c r="F661" s="5" t="s">
        <v>129</v>
      </c>
      <c r="G661" s="5" t="s">
        <v>245</v>
      </c>
      <c r="H661" s="84"/>
    </row>
    <row r="662" spans="2:8" x14ac:dyDescent="0.35">
      <c r="B662" s="104" t="s">
        <v>152</v>
      </c>
      <c r="C662" s="5" t="s">
        <v>117</v>
      </c>
      <c r="D662" s="87"/>
      <c r="E662" s="101">
        <v>38622.480000000003</v>
      </c>
      <c r="F662" s="5" t="s">
        <v>129</v>
      </c>
      <c r="G662" s="5" t="s">
        <v>245</v>
      </c>
      <c r="H662" s="84"/>
    </row>
    <row r="663" spans="2:8" x14ac:dyDescent="0.35">
      <c r="B663" s="104" t="s">
        <v>152</v>
      </c>
      <c r="C663" s="5" t="s">
        <v>117</v>
      </c>
      <c r="D663" s="87"/>
      <c r="E663" s="101">
        <v>38622.480000000003</v>
      </c>
      <c r="F663" s="5" t="s">
        <v>129</v>
      </c>
      <c r="G663" s="5" t="s">
        <v>245</v>
      </c>
      <c r="H663" s="84"/>
    </row>
    <row r="664" spans="2:8" x14ac:dyDescent="0.35">
      <c r="B664" s="104" t="s">
        <v>152</v>
      </c>
      <c r="C664" s="5" t="s">
        <v>117</v>
      </c>
      <c r="D664" s="87"/>
      <c r="E664" s="101">
        <v>38622.480000000003</v>
      </c>
      <c r="F664" s="5" t="s">
        <v>129</v>
      </c>
      <c r="G664" s="5" t="s">
        <v>245</v>
      </c>
      <c r="H664" s="84"/>
    </row>
    <row r="665" spans="2:8" x14ac:dyDescent="0.35">
      <c r="B665" s="104" t="s">
        <v>152</v>
      </c>
      <c r="C665" s="5" t="s">
        <v>117</v>
      </c>
      <c r="D665" s="87"/>
      <c r="E665" s="101">
        <v>38622.480000000003</v>
      </c>
      <c r="F665" s="5" t="s">
        <v>129</v>
      </c>
      <c r="G665" s="5" t="s">
        <v>245</v>
      </c>
      <c r="H665" s="84"/>
    </row>
    <row r="666" spans="2:8" x14ac:dyDescent="0.35">
      <c r="B666" s="104" t="s">
        <v>152</v>
      </c>
      <c r="C666" s="5" t="s">
        <v>117</v>
      </c>
      <c r="D666" s="87"/>
      <c r="E666" s="101">
        <v>38622.480000000003</v>
      </c>
      <c r="F666" s="5" t="s">
        <v>129</v>
      </c>
      <c r="G666" s="5" t="s">
        <v>245</v>
      </c>
      <c r="H666" s="84"/>
    </row>
    <row r="667" spans="2:8" x14ac:dyDescent="0.35">
      <c r="B667" s="104" t="s">
        <v>152</v>
      </c>
      <c r="C667" s="5" t="s">
        <v>117</v>
      </c>
      <c r="D667" s="87"/>
      <c r="E667" s="101">
        <v>38622.480000000003</v>
      </c>
      <c r="F667" s="5" t="s">
        <v>129</v>
      </c>
      <c r="G667" s="5" t="s">
        <v>245</v>
      </c>
      <c r="H667" s="84"/>
    </row>
    <row r="668" spans="2:8" x14ac:dyDescent="0.35">
      <c r="B668" s="104" t="s">
        <v>152</v>
      </c>
      <c r="C668" s="5" t="s">
        <v>117</v>
      </c>
      <c r="D668" s="87"/>
      <c r="E668" s="101">
        <v>38622.480000000003</v>
      </c>
      <c r="F668" s="5" t="s">
        <v>129</v>
      </c>
      <c r="G668" s="5" t="s">
        <v>245</v>
      </c>
      <c r="H668" s="84"/>
    </row>
    <row r="669" spans="2:8" x14ac:dyDescent="0.35">
      <c r="B669" s="104" t="s">
        <v>152</v>
      </c>
      <c r="C669" s="5" t="s">
        <v>117</v>
      </c>
      <c r="D669" s="87"/>
      <c r="E669" s="101">
        <v>38622.480000000003</v>
      </c>
      <c r="F669" s="5" t="s">
        <v>129</v>
      </c>
      <c r="G669" s="5" t="s">
        <v>245</v>
      </c>
      <c r="H669" s="84"/>
    </row>
    <row r="670" spans="2:8" x14ac:dyDescent="0.35">
      <c r="B670" s="104" t="s">
        <v>152</v>
      </c>
      <c r="C670" s="5" t="s">
        <v>117</v>
      </c>
      <c r="D670" s="87"/>
      <c r="E670" s="101">
        <v>38622.480000000003</v>
      </c>
      <c r="F670" s="5" t="s">
        <v>129</v>
      </c>
      <c r="G670" s="5" t="s">
        <v>245</v>
      </c>
      <c r="H670" s="84"/>
    </row>
    <row r="671" spans="2:8" x14ac:dyDescent="0.35">
      <c r="B671" s="104" t="s">
        <v>152</v>
      </c>
      <c r="C671" s="5" t="s">
        <v>117</v>
      </c>
      <c r="D671" s="87"/>
      <c r="E671" s="101">
        <v>38622.480000000003</v>
      </c>
      <c r="F671" s="5" t="s">
        <v>129</v>
      </c>
      <c r="G671" s="5" t="s">
        <v>245</v>
      </c>
      <c r="H671" s="84"/>
    </row>
    <row r="672" spans="2:8" x14ac:dyDescent="0.35">
      <c r="B672" s="104" t="s">
        <v>152</v>
      </c>
      <c r="C672" s="5" t="s">
        <v>117</v>
      </c>
      <c r="D672" s="87"/>
      <c r="E672" s="101">
        <v>45059.56</v>
      </c>
      <c r="F672" s="5" t="s">
        <v>129</v>
      </c>
      <c r="G672" s="5" t="s">
        <v>245</v>
      </c>
      <c r="H672" s="84"/>
    </row>
    <row r="673" spans="2:8" x14ac:dyDescent="0.35">
      <c r="B673" s="104" t="s">
        <v>152</v>
      </c>
      <c r="C673" s="5" t="s">
        <v>117</v>
      </c>
      <c r="D673" s="87"/>
      <c r="E673" s="101">
        <v>50715.31</v>
      </c>
      <c r="F673" s="5" t="s">
        <v>129</v>
      </c>
      <c r="G673" s="5" t="s">
        <v>245</v>
      </c>
      <c r="H673" s="84"/>
    </row>
    <row r="674" spans="2:8" x14ac:dyDescent="0.35">
      <c r="B674" s="104" t="s">
        <v>152</v>
      </c>
      <c r="C674" s="5" t="s">
        <v>117</v>
      </c>
      <c r="D674" s="87"/>
      <c r="E674" s="101">
        <v>51496.639999999999</v>
      </c>
      <c r="F674" s="5" t="s">
        <v>129</v>
      </c>
      <c r="G674" s="5" t="s">
        <v>245</v>
      </c>
      <c r="H674" s="84"/>
    </row>
    <row r="675" spans="2:8" x14ac:dyDescent="0.35">
      <c r="B675" s="104" t="s">
        <v>152</v>
      </c>
      <c r="C675" s="5" t="s">
        <v>117</v>
      </c>
      <c r="D675" s="87"/>
      <c r="E675" s="101">
        <v>51496.639999999999</v>
      </c>
      <c r="F675" s="5" t="s">
        <v>129</v>
      </c>
      <c r="G675" s="5" t="s">
        <v>245</v>
      </c>
      <c r="H675" s="84"/>
    </row>
    <row r="676" spans="2:8" x14ac:dyDescent="0.35">
      <c r="B676" s="104" t="s">
        <v>152</v>
      </c>
      <c r="C676" s="5" t="s">
        <v>117</v>
      </c>
      <c r="D676" s="87"/>
      <c r="E676" s="101">
        <v>51496.639999999999</v>
      </c>
      <c r="F676" s="5" t="s">
        <v>129</v>
      </c>
      <c r="G676" s="5" t="s">
        <v>245</v>
      </c>
      <c r="H676" s="84"/>
    </row>
    <row r="677" spans="2:8" x14ac:dyDescent="0.35">
      <c r="B677" s="104" t="s">
        <v>152</v>
      </c>
      <c r="C677" s="5" t="s">
        <v>117</v>
      </c>
      <c r="D677" s="87"/>
      <c r="E677" s="101">
        <v>51496.639999999999</v>
      </c>
      <c r="F677" s="5" t="s">
        <v>129</v>
      </c>
      <c r="G677" s="5" t="s">
        <v>245</v>
      </c>
      <c r="H677" s="84"/>
    </row>
    <row r="678" spans="2:8" x14ac:dyDescent="0.35">
      <c r="B678" s="104" t="s">
        <v>152</v>
      </c>
      <c r="C678" s="5" t="s">
        <v>117</v>
      </c>
      <c r="D678" s="87"/>
      <c r="E678" s="101">
        <v>51496.639999999999</v>
      </c>
      <c r="F678" s="5" t="s">
        <v>129</v>
      </c>
      <c r="G678" s="5" t="s">
        <v>245</v>
      </c>
      <c r="H678" s="84"/>
    </row>
    <row r="679" spans="2:8" x14ac:dyDescent="0.35">
      <c r="B679" s="104" t="s">
        <v>152</v>
      </c>
      <c r="C679" s="5" t="s">
        <v>117</v>
      </c>
      <c r="D679" s="87"/>
      <c r="E679" s="101">
        <v>65719.27</v>
      </c>
      <c r="F679" s="5" t="s">
        <v>129</v>
      </c>
      <c r="G679" s="5" t="s">
        <v>245</v>
      </c>
      <c r="H679" s="84"/>
    </row>
    <row r="680" spans="2:8" x14ac:dyDescent="0.35">
      <c r="B680" s="104" t="s">
        <v>152</v>
      </c>
      <c r="C680" s="5" t="s">
        <v>104</v>
      </c>
      <c r="D680" s="87"/>
      <c r="E680" s="101">
        <v>77056.2</v>
      </c>
      <c r="F680" s="5" t="s">
        <v>106</v>
      </c>
      <c r="G680" s="5" t="s">
        <v>244</v>
      </c>
      <c r="H680" s="84"/>
    </row>
    <row r="681" spans="2:8" x14ac:dyDescent="0.35">
      <c r="B681" s="104" t="s">
        <v>152</v>
      </c>
      <c r="C681" s="5" t="s">
        <v>117</v>
      </c>
      <c r="D681" s="87"/>
      <c r="E681" s="101">
        <v>77244.960000000006</v>
      </c>
      <c r="F681" s="5" t="s">
        <v>129</v>
      </c>
      <c r="G681" s="5" t="s">
        <v>245</v>
      </c>
      <c r="H681" s="84"/>
    </row>
    <row r="682" spans="2:8" x14ac:dyDescent="0.35">
      <c r="B682" s="104" t="s">
        <v>152</v>
      </c>
      <c r="C682" s="5" t="s">
        <v>117</v>
      </c>
      <c r="D682" s="87"/>
      <c r="E682" s="101">
        <v>77244.960000000006</v>
      </c>
      <c r="F682" s="5" t="s">
        <v>129</v>
      </c>
      <c r="G682" s="5" t="s">
        <v>245</v>
      </c>
      <c r="H682" s="84"/>
    </row>
    <row r="683" spans="2:8" x14ac:dyDescent="0.35">
      <c r="B683" s="104" t="s">
        <v>152</v>
      </c>
      <c r="C683" s="5" t="s">
        <v>117</v>
      </c>
      <c r="D683" s="87"/>
      <c r="E683" s="101">
        <v>77244.960000000006</v>
      </c>
      <c r="F683" s="5" t="s">
        <v>129</v>
      </c>
      <c r="G683" s="5" t="s">
        <v>245</v>
      </c>
      <c r="H683" s="84"/>
    </row>
    <row r="684" spans="2:8" x14ac:dyDescent="0.35">
      <c r="B684" s="104" t="s">
        <v>152</v>
      </c>
      <c r="C684" s="5" t="s">
        <v>117</v>
      </c>
      <c r="D684" s="87"/>
      <c r="E684" s="101">
        <v>83682.039999999994</v>
      </c>
      <c r="F684" s="5" t="s">
        <v>129</v>
      </c>
      <c r="G684" s="5" t="s">
        <v>245</v>
      </c>
      <c r="H684" s="84"/>
    </row>
    <row r="685" spans="2:8" x14ac:dyDescent="0.35">
      <c r="B685" s="104" t="s">
        <v>152</v>
      </c>
      <c r="C685" s="5" t="s">
        <v>117</v>
      </c>
      <c r="D685" s="87"/>
      <c r="E685" s="101">
        <v>83682.039999999994</v>
      </c>
      <c r="F685" s="5" t="s">
        <v>129</v>
      </c>
      <c r="G685" s="5" t="s">
        <v>245</v>
      </c>
      <c r="H685" s="84"/>
    </row>
    <row r="686" spans="2:8" x14ac:dyDescent="0.35">
      <c r="B686" s="104" t="s">
        <v>152</v>
      </c>
      <c r="C686" s="5" t="s">
        <v>117</v>
      </c>
      <c r="D686" s="87"/>
      <c r="E686" s="101">
        <v>87544.29</v>
      </c>
      <c r="F686" s="5" t="s">
        <v>129</v>
      </c>
      <c r="G686" s="5" t="s">
        <v>245</v>
      </c>
      <c r="H686" s="84"/>
    </row>
    <row r="687" spans="2:8" x14ac:dyDescent="0.35">
      <c r="B687" s="104" t="s">
        <v>152</v>
      </c>
      <c r="C687" s="5" t="s">
        <v>117</v>
      </c>
      <c r="D687" s="87"/>
      <c r="E687" s="101">
        <v>87544.29</v>
      </c>
      <c r="F687" s="5" t="s">
        <v>129</v>
      </c>
      <c r="G687" s="5" t="s">
        <v>245</v>
      </c>
      <c r="H687" s="84"/>
    </row>
    <row r="688" spans="2:8" x14ac:dyDescent="0.35">
      <c r="B688" s="104" t="s">
        <v>152</v>
      </c>
      <c r="C688" s="5" t="s">
        <v>117</v>
      </c>
      <c r="D688" s="87"/>
      <c r="E688" s="101">
        <v>96556.2</v>
      </c>
      <c r="F688" s="5" t="s">
        <v>129</v>
      </c>
      <c r="G688" s="5" t="s">
        <v>245</v>
      </c>
      <c r="H688" s="84"/>
    </row>
    <row r="689" spans="2:8" x14ac:dyDescent="0.35">
      <c r="B689" s="104" t="s">
        <v>152</v>
      </c>
      <c r="C689" s="5" t="s">
        <v>117</v>
      </c>
      <c r="D689" s="87"/>
      <c r="E689" s="101">
        <v>102993.28</v>
      </c>
      <c r="F689" s="5" t="s">
        <v>129</v>
      </c>
      <c r="G689" s="5" t="s">
        <v>245</v>
      </c>
      <c r="H689" s="84"/>
    </row>
    <row r="690" spans="2:8" x14ac:dyDescent="0.35">
      <c r="B690" s="104" t="s">
        <v>152</v>
      </c>
      <c r="C690" s="5" t="s">
        <v>117</v>
      </c>
      <c r="D690" s="87"/>
      <c r="E690" s="101">
        <v>114753.41</v>
      </c>
      <c r="F690" s="5" t="s">
        <v>129</v>
      </c>
      <c r="G690" s="5" t="s">
        <v>245</v>
      </c>
      <c r="H690" s="84"/>
    </row>
    <row r="691" spans="2:8" x14ac:dyDescent="0.35">
      <c r="B691" s="104" t="s">
        <v>152</v>
      </c>
      <c r="C691" s="5" t="s">
        <v>104</v>
      </c>
      <c r="D691" s="87"/>
      <c r="E691" s="101">
        <v>115584.3</v>
      </c>
      <c r="F691" s="5" t="s">
        <v>106</v>
      </c>
      <c r="G691" s="5" t="s">
        <v>244</v>
      </c>
      <c r="H691" s="84"/>
    </row>
    <row r="692" spans="2:8" x14ac:dyDescent="0.35">
      <c r="B692" s="104" t="s">
        <v>152</v>
      </c>
      <c r="C692" s="5" t="s">
        <v>104</v>
      </c>
      <c r="D692" s="87"/>
      <c r="E692" s="101">
        <v>136409.68</v>
      </c>
      <c r="F692" s="5" t="s">
        <v>106</v>
      </c>
      <c r="G692" s="5" t="s">
        <v>246</v>
      </c>
      <c r="H692" s="84"/>
    </row>
    <row r="693" spans="2:8" x14ac:dyDescent="0.35">
      <c r="B693" s="104" t="s">
        <v>152</v>
      </c>
      <c r="C693" s="5" t="s">
        <v>117</v>
      </c>
      <c r="D693" s="87"/>
      <c r="E693" s="101">
        <v>141444.26</v>
      </c>
      <c r="F693" s="5" t="s">
        <v>129</v>
      </c>
      <c r="G693" s="5" t="s">
        <v>245</v>
      </c>
      <c r="H693" s="84"/>
    </row>
    <row r="694" spans="2:8" x14ac:dyDescent="0.35">
      <c r="B694" s="104" t="s">
        <v>152</v>
      </c>
      <c r="C694" s="5" t="s">
        <v>117</v>
      </c>
      <c r="D694" s="87"/>
      <c r="E694" s="101">
        <v>142992.01</v>
      </c>
      <c r="F694" s="5" t="s">
        <v>129</v>
      </c>
      <c r="G694" s="5" t="s">
        <v>245</v>
      </c>
      <c r="H694" s="84"/>
    </row>
    <row r="695" spans="2:8" x14ac:dyDescent="0.35">
      <c r="B695" s="104" t="s">
        <v>152</v>
      </c>
      <c r="C695" s="5" t="s">
        <v>104</v>
      </c>
      <c r="D695" s="87"/>
      <c r="E695" s="101">
        <v>179357.36</v>
      </c>
      <c r="F695" s="5" t="s">
        <v>106</v>
      </c>
      <c r="G695" s="5" t="s">
        <v>244</v>
      </c>
      <c r="H695" s="84"/>
    </row>
    <row r="696" spans="2:8" x14ac:dyDescent="0.35">
      <c r="B696" s="104" t="s">
        <v>152</v>
      </c>
      <c r="C696" s="5" t="s">
        <v>117</v>
      </c>
      <c r="D696" s="87"/>
      <c r="E696" s="101">
        <v>192025.27</v>
      </c>
      <c r="F696" s="5" t="s">
        <v>129</v>
      </c>
      <c r="G696" s="5" t="s">
        <v>245</v>
      </c>
      <c r="H696" s="84"/>
    </row>
    <row r="697" spans="2:8" x14ac:dyDescent="0.35">
      <c r="B697" s="104" t="s">
        <v>152</v>
      </c>
      <c r="C697" s="5" t="s">
        <v>117</v>
      </c>
      <c r="D697" s="87"/>
      <c r="E697" s="101">
        <v>215049.96</v>
      </c>
      <c r="F697" s="5" t="s">
        <v>129</v>
      </c>
      <c r="G697" s="5" t="s">
        <v>245</v>
      </c>
      <c r="H697" s="84"/>
    </row>
    <row r="698" spans="2:8" x14ac:dyDescent="0.35">
      <c r="B698" s="104" t="s">
        <v>152</v>
      </c>
      <c r="C698" s="5" t="s">
        <v>117</v>
      </c>
      <c r="D698" s="87"/>
      <c r="E698" s="101">
        <v>215049.96</v>
      </c>
      <c r="F698" s="5" t="s">
        <v>129</v>
      </c>
      <c r="G698" s="5" t="s">
        <v>245</v>
      </c>
      <c r="H698" s="84"/>
    </row>
    <row r="699" spans="2:8" x14ac:dyDescent="0.35">
      <c r="B699" s="104" t="s">
        <v>152</v>
      </c>
      <c r="C699" s="5" t="s">
        <v>104</v>
      </c>
      <c r="D699" s="87"/>
      <c r="E699" s="101">
        <v>316488.88</v>
      </c>
      <c r="F699" s="5" t="s">
        <v>106</v>
      </c>
      <c r="G699" s="5" t="s">
        <v>244</v>
      </c>
      <c r="H699" s="84"/>
    </row>
    <row r="700" spans="2:8" x14ac:dyDescent="0.35">
      <c r="B700" s="104" t="s">
        <v>152</v>
      </c>
      <c r="C700" s="5" t="s">
        <v>117</v>
      </c>
      <c r="D700" s="87"/>
      <c r="E700" s="101">
        <v>322574.96000000002</v>
      </c>
      <c r="F700" s="5" t="s">
        <v>129</v>
      </c>
      <c r="G700" s="5" t="s">
        <v>245</v>
      </c>
      <c r="H700" s="84"/>
    </row>
    <row r="701" spans="2:8" x14ac:dyDescent="0.35">
      <c r="B701" s="104" t="s">
        <v>152</v>
      </c>
      <c r="C701" s="5" t="s">
        <v>117</v>
      </c>
      <c r="D701" s="87"/>
      <c r="E701" s="101">
        <v>322574.96000000002</v>
      </c>
      <c r="F701" s="5" t="s">
        <v>129</v>
      </c>
      <c r="G701" s="5" t="s">
        <v>245</v>
      </c>
      <c r="H701" s="84"/>
    </row>
    <row r="702" spans="2:8" x14ac:dyDescent="0.35">
      <c r="B702" s="104" t="s">
        <v>152</v>
      </c>
      <c r="C702" s="5" t="s">
        <v>104</v>
      </c>
      <c r="D702" s="87"/>
      <c r="E702" s="101">
        <v>342951.47</v>
      </c>
      <c r="F702" s="5" t="s">
        <v>106</v>
      </c>
      <c r="G702" s="5" t="s">
        <v>244</v>
      </c>
      <c r="H702" s="84"/>
    </row>
    <row r="703" spans="2:8" x14ac:dyDescent="0.35">
      <c r="B703" s="104" t="s">
        <v>152</v>
      </c>
      <c r="C703" s="5" t="s">
        <v>104</v>
      </c>
      <c r="D703" s="87"/>
      <c r="E703" s="101">
        <v>585524.92000000004</v>
      </c>
      <c r="F703" s="5" t="s">
        <v>106</v>
      </c>
      <c r="G703" s="5" t="s">
        <v>244</v>
      </c>
      <c r="H703" s="84"/>
    </row>
    <row r="704" spans="2:8" x14ac:dyDescent="0.35">
      <c r="B704" s="104" t="s">
        <v>152</v>
      </c>
      <c r="C704" s="5" t="s">
        <v>117</v>
      </c>
      <c r="D704" s="87"/>
      <c r="E704" s="101">
        <v>709080.96</v>
      </c>
      <c r="F704" s="5" t="s">
        <v>118</v>
      </c>
      <c r="G704" s="5" t="s">
        <v>247</v>
      </c>
      <c r="H704" s="84"/>
    </row>
    <row r="705" spans="2:8" x14ac:dyDescent="0.35">
      <c r="B705" s="104" t="s">
        <v>152</v>
      </c>
      <c r="C705" s="5" t="s">
        <v>132</v>
      </c>
      <c r="D705" s="101">
        <v>87544.29</v>
      </c>
      <c r="E705" s="101"/>
      <c r="F705" s="5" t="s">
        <v>133</v>
      </c>
      <c r="G705" s="5" t="s">
        <v>245</v>
      </c>
      <c r="H705" s="84"/>
    </row>
    <row r="706" spans="2:8" x14ac:dyDescent="0.35">
      <c r="B706" s="104" t="s">
        <v>153</v>
      </c>
      <c r="C706" s="5" t="s">
        <v>117</v>
      </c>
      <c r="D706" s="87"/>
      <c r="E706" s="101">
        <v>11174.59</v>
      </c>
      <c r="F706" s="5" t="s">
        <v>129</v>
      </c>
      <c r="G706" s="5" t="s">
        <v>248</v>
      </c>
      <c r="H706" s="84"/>
    </row>
    <row r="707" spans="2:8" x14ac:dyDescent="0.35">
      <c r="B707" s="104" t="s">
        <v>153</v>
      </c>
      <c r="C707" s="5" t="s">
        <v>117</v>
      </c>
      <c r="D707" s="87"/>
      <c r="E707" s="101">
        <v>14704.44</v>
      </c>
      <c r="F707" s="5" t="s">
        <v>129</v>
      </c>
      <c r="G707" s="5" t="s">
        <v>248</v>
      </c>
      <c r="H707" s="84"/>
    </row>
    <row r="708" spans="2:8" x14ac:dyDescent="0.35">
      <c r="B708" s="104" t="s">
        <v>153</v>
      </c>
      <c r="C708" s="5" t="s">
        <v>117</v>
      </c>
      <c r="D708" s="87"/>
      <c r="E708" s="101">
        <v>15448.99</v>
      </c>
      <c r="F708" s="5" t="s">
        <v>129</v>
      </c>
      <c r="G708" s="5" t="s">
        <v>248</v>
      </c>
      <c r="H708" s="84"/>
    </row>
    <row r="709" spans="2:8" x14ac:dyDescent="0.35">
      <c r="B709" s="104" t="s">
        <v>153</v>
      </c>
      <c r="C709" s="5" t="s">
        <v>117</v>
      </c>
      <c r="D709" s="87"/>
      <c r="E709" s="101">
        <v>15448.99</v>
      </c>
      <c r="F709" s="5" t="s">
        <v>129</v>
      </c>
      <c r="G709" s="5" t="s">
        <v>248</v>
      </c>
      <c r="H709" s="84"/>
    </row>
    <row r="710" spans="2:8" x14ac:dyDescent="0.35">
      <c r="B710" s="104" t="s">
        <v>153</v>
      </c>
      <c r="C710" s="5" t="s">
        <v>117</v>
      </c>
      <c r="D710" s="87"/>
      <c r="E710" s="101">
        <v>23342.23</v>
      </c>
      <c r="F710" s="5" t="s">
        <v>129</v>
      </c>
      <c r="G710" s="5" t="s">
        <v>248</v>
      </c>
      <c r="H710" s="84"/>
    </row>
    <row r="711" spans="2:8" x14ac:dyDescent="0.35">
      <c r="B711" s="104" t="s">
        <v>153</v>
      </c>
      <c r="C711" s="5" t="s">
        <v>117</v>
      </c>
      <c r="D711" s="87"/>
      <c r="E711" s="101">
        <v>23439.56</v>
      </c>
      <c r="F711" s="5" t="s">
        <v>129</v>
      </c>
      <c r="G711" s="5" t="s">
        <v>248</v>
      </c>
      <c r="H711" s="84"/>
    </row>
    <row r="712" spans="2:8" x14ac:dyDescent="0.35">
      <c r="B712" s="104" t="s">
        <v>153</v>
      </c>
      <c r="C712" s="5" t="s">
        <v>117</v>
      </c>
      <c r="D712" s="87"/>
      <c r="E712" s="101">
        <v>23552.62</v>
      </c>
      <c r="F712" s="5" t="s">
        <v>129</v>
      </c>
      <c r="G712" s="5" t="s">
        <v>248</v>
      </c>
      <c r="H712" s="84"/>
    </row>
    <row r="713" spans="2:8" x14ac:dyDescent="0.35">
      <c r="B713" s="104" t="s">
        <v>153</v>
      </c>
      <c r="C713" s="5" t="s">
        <v>117</v>
      </c>
      <c r="D713" s="87"/>
      <c r="E713" s="101">
        <v>24545.1</v>
      </c>
      <c r="F713" s="5" t="s">
        <v>129</v>
      </c>
      <c r="G713" s="5" t="s">
        <v>248</v>
      </c>
      <c r="H713" s="84"/>
    </row>
    <row r="714" spans="2:8" x14ac:dyDescent="0.35">
      <c r="B714" s="104" t="s">
        <v>153</v>
      </c>
      <c r="C714" s="5" t="s">
        <v>117</v>
      </c>
      <c r="D714" s="87"/>
      <c r="E714" s="101">
        <v>25748.32</v>
      </c>
      <c r="F714" s="5" t="s">
        <v>129</v>
      </c>
      <c r="G714" s="5" t="s">
        <v>248</v>
      </c>
      <c r="H714" s="84"/>
    </row>
    <row r="715" spans="2:8" x14ac:dyDescent="0.35">
      <c r="B715" s="104" t="s">
        <v>153</v>
      </c>
      <c r="C715" s="5" t="s">
        <v>117</v>
      </c>
      <c r="D715" s="87"/>
      <c r="E715" s="101">
        <v>25748.32</v>
      </c>
      <c r="F715" s="5" t="s">
        <v>129</v>
      </c>
      <c r="G715" s="5" t="s">
        <v>248</v>
      </c>
      <c r="H715" s="84"/>
    </row>
    <row r="716" spans="2:8" x14ac:dyDescent="0.35">
      <c r="B716" s="104" t="s">
        <v>153</v>
      </c>
      <c r="C716" s="5" t="s">
        <v>117</v>
      </c>
      <c r="D716" s="87"/>
      <c r="E716" s="101">
        <v>29161.86</v>
      </c>
      <c r="F716" s="5" t="s">
        <v>129</v>
      </c>
      <c r="G716" s="5" t="s">
        <v>248</v>
      </c>
      <c r="H716" s="84"/>
    </row>
    <row r="717" spans="2:8" x14ac:dyDescent="0.35">
      <c r="B717" s="104" t="s">
        <v>153</v>
      </c>
      <c r="C717" s="5" t="s">
        <v>117</v>
      </c>
      <c r="D717" s="87"/>
      <c r="E717" s="101">
        <v>30678.94</v>
      </c>
      <c r="F717" s="5" t="s">
        <v>129</v>
      </c>
      <c r="G717" s="5" t="s">
        <v>248</v>
      </c>
      <c r="H717" s="84"/>
    </row>
    <row r="718" spans="2:8" x14ac:dyDescent="0.35">
      <c r="B718" s="104" t="s">
        <v>153</v>
      </c>
      <c r="C718" s="5" t="s">
        <v>117</v>
      </c>
      <c r="D718" s="87"/>
      <c r="E718" s="101">
        <v>34234.82</v>
      </c>
      <c r="F718" s="5" t="s">
        <v>129</v>
      </c>
      <c r="G718" s="5" t="s">
        <v>248</v>
      </c>
      <c r="H718" s="84"/>
    </row>
    <row r="719" spans="2:8" x14ac:dyDescent="0.35">
      <c r="B719" s="104" t="s">
        <v>153</v>
      </c>
      <c r="C719" s="5" t="s">
        <v>117</v>
      </c>
      <c r="D719" s="87"/>
      <c r="E719" s="101">
        <v>36287.39</v>
      </c>
      <c r="F719" s="5" t="s">
        <v>129</v>
      </c>
      <c r="G719" s="5" t="s">
        <v>248</v>
      </c>
      <c r="H719" s="84"/>
    </row>
    <row r="720" spans="2:8" x14ac:dyDescent="0.35">
      <c r="B720" s="104" t="s">
        <v>153</v>
      </c>
      <c r="C720" s="5" t="s">
        <v>117</v>
      </c>
      <c r="D720" s="87"/>
      <c r="E720" s="101">
        <v>37874.589999999997</v>
      </c>
      <c r="F720" s="5" t="s">
        <v>129</v>
      </c>
      <c r="G720" s="5" t="s">
        <v>248</v>
      </c>
      <c r="H720" s="84"/>
    </row>
    <row r="721" spans="2:8" x14ac:dyDescent="0.35">
      <c r="B721" s="104" t="s">
        <v>153</v>
      </c>
      <c r="C721" s="5" t="s">
        <v>104</v>
      </c>
      <c r="D721" s="87"/>
      <c r="E721" s="101">
        <v>38056.199999999997</v>
      </c>
      <c r="F721" s="5" t="s">
        <v>106</v>
      </c>
      <c r="G721" s="5" t="s">
        <v>249</v>
      </c>
      <c r="H721" s="84"/>
    </row>
    <row r="722" spans="2:8" x14ac:dyDescent="0.35">
      <c r="B722" s="104" t="s">
        <v>153</v>
      </c>
      <c r="C722" s="5" t="s">
        <v>104</v>
      </c>
      <c r="D722" s="87"/>
      <c r="E722" s="101">
        <v>38528.1</v>
      </c>
      <c r="F722" s="5" t="s">
        <v>106</v>
      </c>
      <c r="G722" s="5" t="s">
        <v>250</v>
      </c>
      <c r="H722" s="84"/>
    </row>
    <row r="723" spans="2:8" x14ac:dyDescent="0.35">
      <c r="B723" s="104" t="s">
        <v>153</v>
      </c>
      <c r="C723" s="5" t="s">
        <v>117</v>
      </c>
      <c r="D723" s="87"/>
      <c r="E723" s="101">
        <v>38622.480000000003</v>
      </c>
      <c r="F723" s="5" t="s">
        <v>129</v>
      </c>
      <c r="G723" s="5" t="s">
        <v>248</v>
      </c>
      <c r="H723" s="84"/>
    </row>
    <row r="724" spans="2:8" x14ac:dyDescent="0.35">
      <c r="B724" s="104" t="s">
        <v>153</v>
      </c>
      <c r="C724" s="5" t="s">
        <v>117</v>
      </c>
      <c r="D724" s="87"/>
      <c r="E724" s="101">
        <v>38622.480000000003</v>
      </c>
      <c r="F724" s="5" t="s">
        <v>129</v>
      </c>
      <c r="G724" s="5" t="s">
        <v>248</v>
      </c>
      <c r="H724" s="84"/>
    </row>
    <row r="725" spans="2:8" x14ac:dyDescent="0.35">
      <c r="B725" s="104" t="s">
        <v>153</v>
      </c>
      <c r="C725" s="5" t="s">
        <v>117</v>
      </c>
      <c r="D725" s="87"/>
      <c r="E725" s="101">
        <v>45059.56</v>
      </c>
      <c r="F725" s="5" t="s">
        <v>129</v>
      </c>
      <c r="G725" s="5" t="s">
        <v>248</v>
      </c>
      <c r="H725" s="84"/>
    </row>
    <row r="726" spans="2:8" x14ac:dyDescent="0.35">
      <c r="B726" s="104" t="s">
        <v>153</v>
      </c>
      <c r="C726" s="5" t="s">
        <v>117</v>
      </c>
      <c r="D726" s="87"/>
      <c r="E726" s="101">
        <v>51496.639999999999</v>
      </c>
      <c r="F726" s="5" t="s">
        <v>129</v>
      </c>
      <c r="G726" s="5" t="s">
        <v>248</v>
      </c>
      <c r="H726" s="84"/>
    </row>
    <row r="727" spans="2:8" x14ac:dyDescent="0.35">
      <c r="B727" s="104" t="s">
        <v>153</v>
      </c>
      <c r="C727" s="5" t="s">
        <v>117</v>
      </c>
      <c r="D727" s="87"/>
      <c r="E727" s="101">
        <v>68058.27</v>
      </c>
      <c r="F727" s="5" t="s">
        <v>129</v>
      </c>
      <c r="G727" s="5" t="s">
        <v>248</v>
      </c>
      <c r="H727" s="84"/>
    </row>
    <row r="728" spans="2:8" x14ac:dyDescent="0.35">
      <c r="B728" s="104" t="s">
        <v>153</v>
      </c>
      <c r="C728" s="5" t="s">
        <v>117</v>
      </c>
      <c r="D728" s="87"/>
      <c r="E728" s="101">
        <v>69259.070000000007</v>
      </c>
      <c r="F728" s="5" t="s">
        <v>129</v>
      </c>
      <c r="G728" s="5" t="s">
        <v>248</v>
      </c>
      <c r="H728" s="84"/>
    </row>
    <row r="729" spans="2:8" x14ac:dyDescent="0.35">
      <c r="B729" s="104" t="s">
        <v>153</v>
      </c>
      <c r="C729" s="5" t="s">
        <v>117</v>
      </c>
      <c r="D729" s="87"/>
      <c r="E729" s="101">
        <v>73641.94</v>
      </c>
      <c r="F729" s="5" t="s">
        <v>129</v>
      </c>
      <c r="G729" s="5" t="s">
        <v>248</v>
      </c>
      <c r="H729" s="84"/>
    </row>
    <row r="730" spans="2:8" x14ac:dyDescent="0.35">
      <c r="B730" s="104" t="s">
        <v>153</v>
      </c>
      <c r="C730" s="5" t="s">
        <v>104</v>
      </c>
      <c r="D730" s="87"/>
      <c r="E730" s="101">
        <v>126854</v>
      </c>
      <c r="F730" s="5" t="s">
        <v>106</v>
      </c>
      <c r="G730" s="5" t="s">
        <v>249</v>
      </c>
      <c r="H730" s="84"/>
    </row>
    <row r="731" spans="2:8" x14ac:dyDescent="0.35">
      <c r="B731" s="104" t="s">
        <v>153</v>
      </c>
      <c r="C731" s="5" t="s">
        <v>117</v>
      </c>
      <c r="D731" s="87"/>
      <c r="E731" s="101">
        <v>136920.22</v>
      </c>
      <c r="F731" s="5" t="s">
        <v>129</v>
      </c>
      <c r="G731" s="5" t="s">
        <v>248</v>
      </c>
      <c r="H731" s="84"/>
    </row>
    <row r="732" spans="2:8" x14ac:dyDescent="0.35">
      <c r="B732" s="104" t="s">
        <v>153</v>
      </c>
      <c r="C732" s="5" t="s">
        <v>104</v>
      </c>
      <c r="D732" s="87"/>
      <c r="E732" s="101">
        <v>139539.4</v>
      </c>
      <c r="F732" s="5" t="s">
        <v>106</v>
      </c>
      <c r="G732" s="5" t="s">
        <v>249</v>
      </c>
      <c r="H732" s="84"/>
    </row>
    <row r="733" spans="2:8" x14ac:dyDescent="0.35">
      <c r="B733" s="104" t="s">
        <v>153</v>
      </c>
      <c r="C733" s="5" t="s">
        <v>117</v>
      </c>
      <c r="D733" s="87"/>
      <c r="E733" s="101">
        <v>142430.75</v>
      </c>
      <c r="F733" s="5" t="s">
        <v>129</v>
      </c>
      <c r="G733" s="5" t="s">
        <v>248</v>
      </c>
      <c r="H733" s="84"/>
    </row>
    <row r="734" spans="2:8" x14ac:dyDescent="0.35">
      <c r="B734" s="104" t="s">
        <v>153</v>
      </c>
      <c r="C734" s="5" t="s">
        <v>104</v>
      </c>
      <c r="D734" s="87"/>
      <c r="E734" s="101">
        <v>145920.29</v>
      </c>
      <c r="F734" s="5" t="s">
        <v>106</v>
      </c>
      <c r="G734" s="5" t="s">
        <v>251</v>
      </c>
      <c r="H734" s="84"/>
    </row>
    <row r="735" spans="2:8" x14ac:dyDescent="0.35">
      <c r="B735" s="104" t="s">
        <v>153</v>
      </c>
      <c r="C735" s="5" t="s">
        <v>117</v>
      </c>
      <c r="D735" s="87"/>
      <c r="E735" s="101">
        <v>159146.88</v>
      </c>
      <c r="F735" s="5" t="s">
        <v>129</v>
      </c>
      <c r="G735" s="5" t="s">
        <v>248</v>
      </c>
      <c r="H735" s="84"/>
    </row>
    <row r="736" spans="2:8" x14ac:dyDescent="0.35">
      <c r="B736" s="104" t="s">
        <v>153</v>
      </c>
      <c r="C736" s="5" t="s">
        <v>117</v>
      </c>
      <c r="D736" s="87"/>
      <c r="E736" s="101">
        <v>163051.84</v>
      </c>
      <c r="F736" s="5" t="s">
        <v>129</v>
      </c>
      <c r="G736" s="5" t="s">
        <v>248</v>
      </c>
      <c r="H736" s="84"/>
    </row>
    <row r="737" spans="2:8" x14ac:dyDescent="0.35">
      <c r="B737" s="104" t="s">
        <v>153</v>
      </c>
      <c r="C737" s="5" t="s">
        <v>104</v>
      </c>
      <c r="D737" s="87"/>
      <c r="E737" s="101">
        <v>166753.49</v>
      </c>
      <c r="F737" s="5" t="s">
        <v>106</v>
      </c>
      <c r="G737" s="5" t="s">
        <v>250</v>
      </c>
      <c r="H737" s="84"/>
    </row>
    <row r="738" spans="2:8" x14ac:dyDescent="0.35">
      <c r="B738" s="104" t="s">
        <v>153</v>
      </c>
      <c r="C738" s="5" t="s">
        <v>117</v>
      </c>
      <c r="D738" s="87"/>
      <c r="E738" s="101">
        <v>167364.07999999999</v>
      </c>
      <c r="F738" s="5" t="s">
        <v>129</v>
      </c>
      <c r="G738" s="5" t="s">
        <v>248</v>
      </c>
      <c r="H738" s="84"/>
    </row>
    <row r="739" spans="2:8" x14ac:dyDescent="0.35">
      <c r="B739" s="104" t="s">
        <v>153</v>
      </c>
      <c r="C739" s="5" t="s">
        <v>117</v>
      </c>
      <c r="D739" s="87"/>
      <c r="E739" s="101">
        <v>180172.62</v>
      </c>
      <c r="F739" s="5" t="s">
        <v>129</v>
      </c>
      <c r="G739" s="5" t="s">
        <v>248</v>
      </c>
      <c r="H739" s="84"/>
    </row>
    <row r="740" spans="2:8" x14ac:dyDescent="0.35">
      <c r="B740" s="104" t="s">
        <v>153</v>
      </c>
      <c r="C740" s="5" t="s">
        <v>104</v>
      </c>
      <c r="D740" s="87"/>
      <c r="E740" s="101">
        <v>181307.34</v>
      </c>
      <c r="F740" s="5" t="s">
        <v>106</v>
      </c>
      <c r="G740" s="5" t="s">
        <v>250</v>
      </c>
      <c r="H740" s="84"/>
    </row>
    <row r="741" spans="2:8" x14ac:dyDescent="0.35">
      <c r="B741" s="104" t="s">
        <v>153</v>
      </c>
      <c r="C741" s="5" t="s">
        <v>117</v>
      </c>
      <c r="D741" s="87"/>
      <c r="E741" s="101">
        <v>190946.55</v>
      </c>
      <c r="F741" s="5" t="s">
        <v>129</v>
      </c>
      <c r="G741" s="5" t="s">
        <v>248</v>
      </c>
      <c r="H741" s="84"/>
    </row>
    <row r="742" spans="2:8" x14ac:dyDescent="0.35">
      <c r="B742" s="104" t="s">
        <v>153</v>
      </c>
      <c r="C742" s="5" t="s">
        <v>117</v>
      </c>
      <c r="D742" s="87"/>
      <c r="E742" s="101">
        <v>215049.96</v>
      </c>
      <c r="F742" s="5" t="s">
        <v>129</v>
      </c>
      <c r="G742" s="5" t="s">
        <v>248</v>
      </c>
      <c r="H742" s="84"/>
    </row>
    <row r="743" spans="2:8" x14ac:dyDescent="0.35">
      <c r="B743" s="104" t="s">
        <v>153</v>
      </c>
      <c r="C743" s="5" t="s">
        <v>104</v>
      </c>
      <c r="D743" s="87"/>
      <c r="E743" s="101">
        <v>239630.88</v>
      </c>
      <c r="F743" s="5" t="s">
        <v>106</v>
      </c>
      <c r="G743" s="5" t="s">
        <v>250</v>
      </c>
      <c r="H743" s="84"/>
    </row>
    <row r="744" spans="2:8" x14ac:dyDescent="0.35">
      <c r="B744" s="104" t="s">
        <v>153</v>
      </c>
      <c r="C744" s="5" t="s">
        <v>117</v>
      </c>
      <c r="D744" s="87"/>
      <c r="E744" s="101">
        <v>246418.1</v>
      </c>
      <c r="F744" s="5" t="s">
        <v>129</v>
      </c>
      <c r="G744" s="5" t="s">
        <v>248</v>
      </c>
      <c r="H744" s="84"/>
    </row>
    <row r="745" spans="2:8" x14ac:dyDescent="0.35">
      <c r="B745" s="104" t="s">
        <v>153</v>
      </c>
      <c r="C745" s="5" t="s">
        <v>104</v>
      </c>
      <c r="D745" s="87"/>
      <c r="E745" s="101">
        <v>261910.51</v>
      </c>
      <c r="F745" s="5" t="s">
        <v>106</v>
      </c>
      <c r="G745" s="5" t="s">
        <v>250</v>
      </c>
      <c r="H745" s="84"/>
    </row>
    <row r="746" spans="2:8" x14ac:dyDescent="0.35">
      <c r="B746" s="104" t="s">
        <v>153</v>
      </c>
      <c r="C746" s="5" t="s">
        <v>117</v>
      </c>
      <c r="D746" s="87"/>
      <c r="E746" s="101">
        <v>269818.43</v>
      </c>
      <c r="F746" s="5" t="s">
        <v>129</v>
      </c>
      <c r="G746" s="5" t="s">
        <v>248</v>
      </c>
      <c r="H746" s="84"/>
    </row>
    <row r="747" spans="2:8" x14ac:dyDescent="0.35">
      <c r="B747" s="104" t="s">
        <v>153</v>
      </c>
      <c r="C747" s="5" t="s">
        <v>117</v>
      </c>
      <c r="D747" s="87"/>
      <c r="E747" s="101">
        <v>285512.18</v>
      </c>
      <c r="F747" s="5" t="s">
        <v>129</v>
      </c>
      <c r="G747" s="5" t="s">
        <v>248</v>
      </c>
      <c r="H747" s="84"/>
    </row>
    <row r="748" spans="2:8" x14ac:dyDescent="0.35">
      <c r="B748" s="104" t="s">
        <v>153</v>
      </c>
      <c r="C748" s="5" t="s">
        <v>117</v>
      </c>
      <c r="D748" s="87"/>
      <c r="E748" s="101">
        <v>289063.13</v>
      </c>
      <c r="F748" s="5" t="s">
        <v>129</v>
      </c>
      <c r="G748" s="5" t="s">
        <v>248</v>
      </c>
      <c r="H748" s="84"/>
    </row>
    <row r="749" spans="2:8" x14ac:dyDescent="0.35">
      <c r="B749" s="104" t="s">
        <v>153</v>
      </c>
      <c r="C749" s="5" t="s">
        <v>117</v>
      </c>
      <c r="D749" s="87"/>
      <c r="E749" s="101">
        <v>296557.62</v>
      </c>
      <c r="F749" s="5" t="s">
        <v>129</v>
      </c>
      <c r="G749" s="5" t="s">
        <v>248</v>
      </c>
      <c r="H749" s="84"/>
    </row>
    <row r="750" spans="2:8" x14ac:dyDescent="0.35">
      <c r="B750" s="104" t="s">
        <v>153</v>
      </c>
      <c r="C750" s="5" t="s">
        <v>104</v>
      </c>
      <c r="D750" s="87"/>
      <c r="E750" s="101">
        <v>356021.21</v>
      </c>
      <c r="F750" s="5" t="s">
        <v>106</v>
      </c>
      <c r="G750" s="5" t="s">
        <v>250</v>
      </c>
      <c r="H750" s="84"/>
    </row>
    <row r="751" spans="2:8" x14ac:dyDescent="0.35">
      <c r="B751" s="104" t="s">
        <v>153</v>
      </c>
      <c r="C751" s="5" t="s">
        <v>104</v>
      </c>
      <c r="D751" s="87"/>
      <c r="E751" s="101">
        <v>696074.29</v>
      </c>
      <c r="F751" s="5" t="s">
        <v>106</v>
      </c>
      <c r="G751" s="5" t="s">
        <v>250</v>
      </c>
      <c r="H751" s="84"/>
    </row>
    <row r="752" spans="2:8" x14ac:dyDescent="0.35">
      <c r="B752" s="104" t="s">
        <v>153</v>
      </c>
      <c r="C752" s="5" t="s">
        <v>117</v>
      </c>
      <c r="D752" s="87"/>
      <c r="E752" s="101">
        <v>703389.48</v>
      </c>
      <c r="F752" s="5" t="s">
        <v>129</v>
      </c>
      <c r="G752" s="5" t="s">
        <v>248</v>
      </c>
      <c r="H752" s="84"/>
    </row>
    <row r="753" spans="2:8" x14ac:dyDescent="0.35">
      <c r="B753" s="104" t="s">
        <v>153</v>
      </c>
      <c r="C753" s="5" t="s">
        <v>104</v>
      </c>
      <c r="D753" s="87"/>
      <c r="E753" s="101">
        <v>721366.01</v>
      </c>
      <c r="F753" s="5" t="s">
        <v>106</v>
      </c>
      <c r="G753" s="5" t="s">
        <v>250</v>
      </c>
      <c r="H753" s="84"/>
    </row>
    <row r="754" spans="2:8" x14ac:dyDescent="0.35">
      <c r="B754" s="104" t="s">
        <v>153</v>
      </c>
      <c r="C754" s="5" t="s">
        <v>117</v>
      </c>
      <c r="D754" s="87"/>
      <c r="E754" s="101">
        <v>800013.74</v>
      </c>
      <c r="F754" s="5" t="s">
        <v>118</v>
      </c>
      <c r="G754" s="5" t="s">
        <v>252</v>
      </c>
      <c r="H754" s="84"/>
    </row>
    <row r="755" spans="2:8" x14ac:dyDescent="0.35">
      <c r="B755" s="104" t="s">
        <v>153</v>
      </c>
      <c r="C755" s="5" t="s">
        <v>104</v>
      </c>
      <c r="D755" s="87"/>
      <c r="E755" s="101">
        <v>1191134.67</v>
      </c>
      <c r="F755" s="5" t="s">
        <v>106</v>
      </c>
      <c r="G755" s="5" t="s">
        <v>249</v>
      </c>
      <c r="H755" s="84"/>
    </row>
    <row r="756" spans="2:8" x14ac:dyDescent="0.35">
      <c r="B756" s="104" t="s">
        <v>153</v>
      </c>
      <c r="C756" s="5" t="s">
        <v>132</v>
      </c>
      <c r="D756" s="101">
        <v>696883.49</v>
      </c>
      <c r="E756" s="101"/>
      <c r="F756" s="5" t="s">
        <v>142</v>
      </c>
      <c r="G756" s="5" t="s">
        <v>252</v>
      </c>
      <c r="H756" s="84"/>
    </row>
    <row r="757" spans="2:8" x14ac:dyDescent="0.35">
      <c r="B757" s="104" t="s">
        <v>154</v>
      </c>
      <c r="C757" s="5" t="s">
        <v>117</v>
      </c>
      <c r="D757" s="87"/>
      <c r="E757" s="101">
        <v>6837.76</v>
      </c>
      <c r="F757" s="5" t="s">
        <v>129</v>
      </c>
      <c r="G757" s="5" t="s">
        <v>253</v>
      </c>
      <c r="H757" s="84"/>
    </row>
    <row r="758" spans="2:8" x14ac:dyDescent="0.35">
      <c r="B758" s="104" t="s">
        <v>154</v>
      </c>
      <c r="C758" s="5" t="s">
        <v>117</v>
      </c>
      <c r="D758" s="87"/>
      <c r="E758" s="101">
        <v>19114.5</v>
      </c>
      <c r="F758" s="5" t="s">
        <v>129</v>
      </c>
      <c r="G758" s="5" t="s">
        <v>253</v>
      </c>
      <c r="H758" s="84"/>
    </row>
    <row r="759" spans="2:8" x14ac:dyDescent="0.35">
      <c r="B759" s="104" t="s">
        <v>154</v>
      </c>
      <c r="C759" s="5" t="s">
        <v>117</v>
      </c>
      <c r="D759" s="87"/>
      <c r="E759" s="101">
        <v>24482.75</v>
      </c>
      <c r="F759" s="5" t="s">
        <v>129</v>
      </c>
      <c r="G759" s="5" t="s">
        <v>253</v>
      </c>
      <c r="H759" s="84"/>
    </row>
    <row r="760" spans="2:8" x14ac:dyDescent="0.35">
      <c r="B760" s="104" t="s">
        <v>154</v>
      </c>
      <c r="C760" s="5" t="s">
        <v>117</v>
      </c>
      <c r="D760" s="87"/>
      <c r="E760" s="101">
        <v>25748.32</v>
      </c>
      <c r="F760" s="5" t="s">
        <v>129</v>
      </c>
      <c r="G760" s="5" t="s">
        <v>253</v>
      </c>
      <c r="H760" s="84"/>
    </row>
    <row r="761" spans="2:8" x14ac:dyDescent="0.35">
      <c r="B761" s="104" t="s">
        <v>154</v>
      </c>
      <c r="C761" s="5" t="s">
        <v>117</v>
      </c>
      <c r="D761" s="87"/>
      <c r="E761" s="101">
        <v>25748.32</v>
      </c>
      <c r="F761" s="5" t="s">
        <v>129</v>
      </c>
      <c r="G761" s="5" t="s">
        <v>253</v>
      </c>
      <c r="H761" s="84"/>
    </row>
    <row r="762" spans="2:8" x14ac:dyDescent="0.35">
      <c r="B762" s="104" t="s">
        <v>154</v>
      </c>
      <c r="C762" s="5" t="s">
        <v>117</v>
      </c>
      <c r="D762" s="87"/>
      <c r="E762" s="101">
        <v>25748.32</v>
      </c>
      <c r="F762" s="5" t="s">
        <v>129</v>
      </c>
      <c r="G762" s="5" t="s">
        <v>253</v>
      </c>
      <c r="H762" s="84"/>
    </row>
    <row r="763" spans="2:8" x14ac:dyDescent="0.35">
      <c r="B763" s="104" t="s">
        <v>154</v>
      </c>
      <c r="C763" s="5" t="s">
        <v>104</v>
      </c>
      <c r="D763" s="87"/>
      <c r="E763" s="101">
        <v>38056.199999999997</v>
      </c>
      <c r="F763" s="5" t="s">
        <v>106</v>
      </c>
      <c r="G763" s="5" t="s">
        <v>254</v>
      </c>
      <c r="H763" s="84"/>
    </row>
    <row r="764" spans="2:8" x14ac:dyDescent="0.35">
      <c r="B764" s="104" t="s">
        <v>154</v>
      </c>
      <c r="C764" s="5" t="s">
        <v>104</v>
      </c>
      <c r="D764" s="87"/>
      <c r="E764" s="101">
        <v>38056.199999999997</v>
      </c>
      <c r="F764" s="5" t="s">
        <v>106</v>
      </c>
      <c r="G764" s="5" t="s">
        <v>255</v>
      </c>
      <c r="H764" s="84"/>
    </row>
    <row r="765" spans="2:8" x14ac:dyDescent="0.35">
      <c r="B765" s="104" t="s">
        <v>154</v>
      </c>
      <c r="C765" s="5" t="s">
        <v>104</v>
      </c>
      <c r="D765" s="87"/>
      <c r="E765" s="101">
        <v>38056.199999999997</v>
      </c>
      <c r="F765" s="5" t="s">
        <v>106</v>
      </c>
      <c r="G765" s="5" t="s">
        <v>255</v>
      </c>
      <c r="H765" s="84"/>
    </row>
    <row r="766" spans="2:8" x14ac:dyDescent="0.35">
      <c r="B766" s="104" t="s">
        <v>154</v>
      </c>
      <c r="C766" s="5" t="s">
        <v>104</v>
      </c>
      <c r="D766" s="87"/>
      <c r="E766" s="101">
        <v>50741.599999999999</v>
      </c>
      <c r="F766" s="5" t="s">
        <v>106</v>
      </c>
      <c r="G766" s="5" t="s">
        <v>255</v>
      </c>
      <c r="H766" s="84"/>
    </row>
    <row r="767" spans="2:8" x14ac:dyDescent="0.35">
      <c r="B767" s="104" t="s">
        <v>154</v>
      </c>
      <c r="C767" s="5" t="s">
        <v>117</v>
      </c>
      <c r="D767" s="87"/>
      <c r="E767" s="101">
        <v>51496.639999999999</v>
      </c>
      <c r="F767" s="5" t="s">
        <v>129</v>
      </c>
      <c r="G767" s="5" t="s">
        <v>253</v>
      </c>
      <c r="H767" s="84"/>
    </row>
    <row r="768" spans="2:8" x14ac:dyDescent="0.35">
      <c r="B768" s="104" t="s">
        <v>154</v>
      </c>
      <c r="C768" s="5" t="s">
        <v>117</v>
      </c>
      <c r="D768" s="87"/>
      <c r="E768" s="101">
        <v>64370.8</v>
      </c>
      <c r="F768" s="5" t="s">
        <v>129</v>
      </c>
      <c r="G768" s="5" t="s">
        <v>253</v>
      </c>
      <c r="H768" s="84"/>
    </row>
    <row r="769" spans="2:8" x14ac:dyDescent="0.35">
      <c r="B769" s="104" t="s">
        <v>154</v>
      </c>
      <c r="C769" s="5" t="s">
        <v>104</v>
      </c>
      <c r="D769" s="87"/>
      <c r="E769" s="101">
        <v>69769.7</v>
      </c>
      <c r="F769" s="5" t="s">
        <v>106</v>
      </c>
      <c r="G769" s="5" t="s">
        <v>255</v>
      </c>
      <c r="H769" s="84"/>
    </row>
    <row r="770" spans="2:8" x14ac:dyDescent="0.35">
      <c r="B770" s="104" t="s">
        <v>154</v>
      </c>
      <c r="C770" s="5" t="s">
        <v>117</v>
      </c>
      <c r="D770" s="87"/>
      <c r="E770" s="101">
        <v>78460.92</v>
      </c>
      <c r="F770" s="5" t="s">
        <v>129</v>
      </c>
      <c r="G770" s="5" t="s">
        <v>253</v>
      </c>
      <c r="H770" s="84"/>
    </row>
    <row r="771" spans="2:8" x14ac:dyDescent="0.35">
      <c r="B771" s="104" t="s">
        <v>154</v>
      </c>
      <c r="C771" s="5" t="s">
        <v>104</v>
      </c>
      <c r="D771" s="87"/>
      <c r="E771" s="101">
        <v>88797.8</v>
      </c>
      <c r="F771" s="5" t="s">
        <v>106</v>
      </c>
      <c r="G771" s="5" t="s">
        <v>255</v>
      </c>
      <c r="H771" s="84"/>
    </row>
    <row r="772" spans="2:8" x14ac:dyDescent="0.35">
      <c r="B772" s="104" t="s">
        <v>154</v>
      </c>
      <c r="C772" s="5" t="s">
        <v>117</v>
      </c>
      <c r="D772" s="87"/>
      <c r="E772" s="101">
        <v>96556.2</v>
      </c>
      <c r="F772" s="5" t="s">
        <v>129</v>
      </c>
      <c r="G772" s="5" t="s">
        <v>253</v>
      </c>
      <c r="H772" s="84"/>
    </row>
    <row r="773" spans="2:8" x14ac:dyDescent="0.35">
      <c r="B773" s="104" t="s">
        <v>154</v>
      </c>
      <c r="C773" s="5" t="s">
        <v>104</v>
      </c>
      <c r="D773" s="87"/>
      <c r="E773" s="101">
        <v>104486.33</v>
      </c>
      <c r="F773" s="5" t="s">
        <v>106</v>
      </c>
      <c r="G773" s="5" t="s">
        <v>256</v>
      </c>
      <c r="H773" s="84"/>
    </row>
    <row r="774" spans="2:8" x14ac:dyDescent="0.35">
      <c r="B774" s="104" t="s">
        <v>154</v>
      </c>
      <c r="C774" s="5" t="s">
        <v>104</v>
      </c>
      <c r="D774" s="87"/>
      <c r="E774" s="101">
        <v>108781.35</v>
      </c>
      <c r="F774" s="5" t="s">
        <v>106</v>
      </c>
      <c r="G774" s="5" t="s">
        <v>256</v>
      </c>
      <c r="H774" s="84"/>
    </row>
    <row r="775" spans="2:8" x14ac:dyDescent="0.35">
      <c r="B775" s="104" t="s">
        <v>154</v>
      </c>
      <c r="C775" s="5" t="s">
        <v>104</v>
      </c>
      <c r="D775" s="87"/>
      <c r="E775" s="101">
        <v>115889.51</v>
      </c>
      <c r="F775" s="5" t="s">
        <v>106</v>
      </c>
      <c r="G775" s="5" t="s">
        <v>256</v>
      </c>
      <c r="H775" s="84"/>
    </row>
    <row r="776" spans="2:8" x14ac:dyDescent="0.35">
      <c r="B776" s="104" t="s">
        <v>154</v>
      </c>
      <c r="C776" s="5" t="s">
        <v>117</v>
      </c>
      <c r="D776" s="87"/>
      <c r="E776" s="101">
        <v>118864.35</v>
      </c>
      <c r="F776" s="5" t="s">
        <v>129</v>
      </c>
      <c r="G776" s="5" t="s">
        <v>253</v>
      </c>
      <c r="H776" s="84"/>
    </row>
    <row r="777" spans="2:8" x14ac:dyDescent="0.35">
      <c r="B777" s="104" t="s">
        <v>154</v>
      </c>
      <c r="C777" s="5" t="s">
        <v>104</v>
      </c>
      <c r="D777" s="87"/>
      <c r="E777" s="101">
        <v>119242.76</v>
      </c>
      <c r="F777" s="5" t="s">
        <v>106</v>
      </c>
      <c r="G777" s="5" t="s">
        <v>255</v>
      </c>
      <c r="H777" s="84"/>
    </row>
    <row r="778" spans="2:8" x14ac:dyDescent="0.35">
      <c r="B778" s="104" t="s">
        <v>154</v>
      </c>
      <c r="C778" s="5" t="s">
        <v>117</v>
      </c>
      <c r="D778" s="87"/>
      <c r="E778" s="101">
        <v>128741.6</v>
      </c>
      <c r="F778" s="5" t="s">
        <v>129</v>
      </c>
      <c r="G778" s="5" t="s">
        <v>253</v>
      </c>
      <c r="H778" s="84"/>
    </row>
    <row r="779" spans="2:8" x14ac:dyDescent="0.35">
      <c r="B779" s="104" t="s">
        <v>154</v>
      </c>
      <c r="C779" s="5" t="s">
        <v>117</v>
      </c>
      <c r="D779" s="87"/>
      <c r="E779" s="101">
        <v>128741.6</v>
      </c>
      <c r="F779" s="5" t="s">
        <v>129</v>
      </c>
      <c r="G779" s="5" t="s">
        <v>253</v>
      </c>
      <c r="H779" s="84"/>
    </row>
    <row r="780" spans="2:8" x14ac:dyDescent="0.35">
      <c r="B780" s="104" t="s">
        <v>154</v>
      </c>
      <c r="C780" s="5" t="s">
        <v>117</v>
      </c>
      <c r="D780" s="87"/>
      <c r="E780" s="101">
        <v>128741.6</v>
      </c>
      <c r="F780" s="5" t="s">
        <v>129</v>
      </c>
      <c r="G780" s="5" t="s">
        <v>253</v>
      </c>
      <c r="H780" s="84"/>
    </row>
    <row r="781" spans="2:8" x14ac:dyDescent="0.35">
      <c r="B781" s="104" t="s">
        <v>154</v>
      </c>
      <c r="C781" s="5" t="s">
        <v>117</v>
      </c>
      <c r="D781" s="87"/>
      <c r="E781" s="101">
        <v>176863.16</v>
      </c>
      <c r="F781" s="5" t="s">
        <v>129</v>
      </c>
      <c r="G781" s="5" t="s">
        <v>253</v>
      </c>
      <c r="H781" s="84"/>
    </row>
    <row r="782" spans="2:8" x14ac:dyDescent="0.35">
      <c r="B782" s="104" t="s">
        <v>154</v>
      </c>
      <c r="C782" s="5" t="s">
        <v>104</v>
      </c>
      <c r="D782" s="87"/>
      <c r="E782" s="101">
        <v>177595.6</v>
      </c>
      <c r="F782" s="5" t="s">
        <v>106</v>
      </c>
      <c r="G782" s="5" t="s">
        <v>254</v>
      </c>
      <c r="H782" s="84"/>
    </row>
    <row r="783" spans="2:8" x14ac:dyDescent="0.35">
      <c r="B783" s="104" t="s">
        <v>154</v>
      </c>
      <c r="C783" s="5" t="s">
        <v>104</v>
      </c>
      <c r="D783" s="87"/>
      <c r="E783" s="101">
        <v>265515.21999999997</v>
      </c>
      <c r="F783" s="5" t="s">
        <v>106</v>
      </c>
      <c r="G783" s="5" t="s">
        <v>256</v>
      </c>
      <c r="H783" s="84"/>
    </row>
    <row r="784" spans="2:8" x14ac:dyDescent="0.35">
      <c r="B784" s="104" t="s">
        <v>154</v>
      </c>
      <c r="C784" s="5" t="s">
        <v>117</v>
      </c>
      <c r="D784" s="87"/>
      <c r="E784" s="101">
        <v>322574.96000000002</v>
      </c>
      <c r="F784" s="5" t="s">
        <v>129</v>
      </c>
      <c r="G784" s="5" t="s">
        <v>253</v>
      </c>
      <c r="H784" s="84"/>
    </row>
    <row r="785" spans="2:8" x14ac:dyDescent="0.35">
      <c r="B785" s="104" t="s">
        <v>154</v>
      </c>
      <c r="C785" s="5" t="s">
        <v>117</v>
      </c>
      <c r="D785" s="87"/>
      <c r="E785" s="101">
        <v>324428.83</v>
      </c>
      <c r="F785" s="5" t="s">
        <v>129</v>
      </c>
      <c r="G785" s="5" t="s">
        <v>253</v>
      </c>
      <c r="H785" s="84"/>
    </row>
    <row r="786" spans="2:8" x14ac:dyDescent="0.35">
      <c r="B786" s="104" t="s">
        <v>154</v>
      </c>
      <c r="C786" s="5" t="s">
        <v>104</v>
      </c>
      <c r="D786" s="87"/>
      <c r="E786" s="101">
        <v>368586.99</v>
      </c>
      <c r="F786" s="5" t="s">
        <v>106</v>
      </c>
      <c r="G786" s="5" t="s">
        <v>254</v>
      </c>
      <c r="H786" s="84"/>
    </row>
    <row r="787" spans="2:8" x14ac:dyDescent="0.35">
      <c r="B787" s="104" t="s">
        <v>154</v>
      </c>
      <c r="C787" s="5" t="s">
        <v>104</v>
      </c>
      <c r="D787" s="87"/>
      <c r="E787" s="101">
        <v>569337.49</v>
      </c>
      <c r="F787" s="5" t="s">
        <v>106</v>
      </c>
      <c r="G787" s="5" t="s">
        <v>256</v>
      </c>
      <c r="H787" s="84"/>
    </row>
    <row r="788" spans="2:8" x14ac:dyDescent="0.35">
      <c r="B788" s="104" t="s">
        <v>154</v>
      </c>
      <c r="C788" s="5" t="s">
        <v>104</v>
      </c>
      <c r="D788" s="87"/>
      <c r="E788" s="101">
        <v>1494818.92</v>
      </c>
      <c r="F788" s="5" t="s">
        <v>106</v>
      </c>
      <c r="G788" s="5" t="s">
        <v>256</v>
      </c>
      <c r="H788" s="84"/>
    </row>
    <row r="789" spans="2:8" x14ac:dyDescent="0.35">
      <c r="B789" s="104" t="s">
        <v>154</v>
      </c>
      <c r="C789" s="5" t="s">
        <v>117</v>
      </c>
      <c r="D789" s="87"/>
      <c r="E789" s="101">
        <v>3775722.89</v>
      </c>
      <c r="F789" s="5" t="s">
        <v>118</v>
      </c>
      <c r="G789" s="5" t="s">
        <v>257</v>
      </c>
      <c r="H789" s="84"/>
    </row>
    <row r="790" spans="2:8" x14ac:dyDescent="0.35">
      <c r="B790" s="104" t="s">
        <v>154</v>
      </c>
      <c r="C790" s="5" t="s">
        <v>132</v>
      </c>
      <c r="D790" s="101">
        <v>225903.94</v>
      </c>
      <c r="E790" s="101"/>
      <c r="F790" s="5" t="s">
        <v>142</v>
      </c>
      <c r="G790" s="5" t="s">
        <v>257</v>
      </c>
      <c r="H790" s="84"/>
    </row>
    <row r="791" spans="2:8" x14ac:dyDescent="0.35">
      <c r="B791" s="104" t="s">
        <v>155</v>
      </c>
      <c r="C791" s="5" t="s">
        <v>117</v>
      </c>
      <c r="D791" s="87"/>
      <c r="E791" s="101">
        <v>257.56</v>
      </c>
      <c r="F791" s="5" t="s">
        <v>129</v>
      </c>
      <c r="G791" s="5" t="s">
        <v>258</v>
      </c>
      <c r="H791" s="84"/>
    </row>
    <row r="792" spans="2:8" x14ac:dyDescent="0.35">
      <c r="B792" s="104" t="s">
        <v>155</v>
      </c>
      <c r="C792" s="5" t="s">
        <v>117</v>
      </c>
      <c r="D792" s="87"/>
      <c r="E792" s="101">
        <v>21796.07</v>
      </c>
      <c r="F792" s="5" t="s">
        <v>129</v>
      </c>
      <c r="G792" s="5" t="s">
        <v>258</v>
      </c>
      <c r="H792" s="84"/>
    </row>
    <row r="793" spans="2:8" x14ac:dyDescent="0.35">
      <c r="B793" s="104" t="s">
        <v>155</v>
      </c>
      <c r="C793" s="5" t="s">
        <v>117</v>
      </c>
      <c r="D793" s="87"/>
      <c r="E793" s="101">
        <v>29504.09</v>
      </c>
      <c r="F793" s="5" t="s">
        <v>129</v>
      </c>
      <c r="G793" s="5" t="s">
        <v>258</v>
      </c>
      <c r="H793" s="84"/>
    </row>
    <row r="794" spans="2:8" x14ac:dyDescent="0.35">
      <c r="B794" s="104" t="s">
        <v>155</v>
      </c>
      <c r="C794" s="5" t="s">
        <v>104</v>
      </c>
      <c r="D794" s="87"/>
      <c r="E794" s="101">
        <v>30525.69</v>
      </c>
      <c r="F794" s="5" t="s">
        <v>106</v>
      </c>
      <c r="G794" s="5" t="s">
        <v>259</v>
      </c>
      <c r="H794" s="84"/>
    </row>
    <row r="795" spans="2:8" x14ac:dyDescent="0.35">
      <c r="B795" s="104" t="s">
        <v>155</v>
      </c>
      <c r="C795" s="5" t="s">
        <v>104</v>
      </c>
      <c r="D795" s="87"/>
      <c r="E795" s="101">
        <v>30822.48</v>
      </c>
      <c r="F795" s="5" t="s">
        <v>106</v>
      </c>
      <c r="G795" s="5" t="s">
        <v>259</v>
      </c>
      <c r="H795" s="84"/>
    </row>
    <row r="796" spans="2:8" x14ac:dyDescent="0.35">
      <c r="B796" s="104" t="s">
        <v>155</v>
      </c>
      <c r="C796" s="5" t="s">
        <v>117</v>
      </c>
      <c r="D796" s="87"/>
      <c r="E796" s="101">
        <v>34249.230000000003</v>
      </c>
      <c r="F796" s="5" t="s">
        <v>129</v>
      </c>
      <c r="G796" s="5" t="s">
        <v>258</v>
      </c>
      <c r="H796" s="84"/>
    </row>
    <row r="797" spans="2:8" x14ac:dyDescent="0.35">
      <c r="B797" s="104" t="s">
        <v>155</v>
      </c>
      <c r="C797" s="5" t="s">
        <v>104</v>
      </c>
      <c r="D797" s="87"/>
      <c r="E797" s="101">
        <v>38056.199999999997</v>
      </c>
      <c r="F797" s="5" t="s">
        <v>106</v>
      </c>
      <c r="G797" s="5" t="s">
        <v>259</v>
      </c>
      <c r="H797" s="84"/>
    </row>
    <row r="798" spans="2:8" x14ac:dyDescent="0.35">
      <c r="B798" s="104" t="s">
        <v>155</v>
      </c>
      <c r="C798" s="5" t="s">
        <v>117</v>
      </c>
      <c r="D798" s="87"/>
      <c r="E798" s="101">
        <v>47895.15</v>
      </c>
      <c r="F798" s="5" t="s">
        <v>129</v>
      </c>
      <c r="G798" s="5" t="s">
        <v>258</v>
      </c>
      <c r="H798" s="84"/>
    </row>
    <row r="799" spans="2:8" x14ac:dyDescent="0.35">
      <c r="B799" s="104" t="s">
        <v>155</v>
      </c>
      <c r="C799" s="5" t="s">
        <v>104</v>
      </c>
      <c r="D799" s="87"/>
      <c r="E799" s="101">
        <v>51244.959999999999</v>
      </c>
      <c r="F799" s="5" t="s">
        <v>106</v>
      </c>
      <c r="G799" s="5" t="s">
        <v>259</v>
      </c>
      <c r="H799" s="84"/>
    </row>
    <row r="800" spans="2:8" x14ac:dyDescent="0.35">
      <c r="B800" s="104" t="s">
        <v>155</v>
      </c>
      <c r="C800" s="5" t="s">
        <v>117</v>
      </c>
      <c r="D800" s="87"/>
      <c r="E800" s="101">
        <v>55944.18</v>
      </c>
      <c r="F800" s="5" t="s">
        <v>129</v>
      </c>
      <c r="G800" s="5" t="s">
        <v>258</v>
      </c>
      <c r="H800" s="84"/>
    </row>
    <row r="801" spans="2:8" x14ac:dyDescent="0.35">
      <c r="B801" s="104" t="s">
        <v>155</v>
      </c>
      <c r="C801" s="5" t="s">
        <v>104</v>
      </c>
      <c r="D801" s="87"/>
      <c r="E801" s="101">
        <v>57084.3</v>
      </c>
      <c r="F801" s="5" t="s">
        <v>106</v>
      </c>
      <c r="G801" s="5" t="s">
        <v>259</v>
      </c>
      <c r="H801" s="84"/>
    </row>
    <row r="802" spans="2:8" x14ac:dyDescent="0.35">
      <c r="B802" s="104" t="s">
        <v>155</v>
      </c>
      <c r="C802" s="5" t="s">
        <v>104</v>
      </c>
      <c r="D802" s="87"/>
      <c r="E802" s="101">
        <v>63427</v>
      </c>
      <c r="F802" s="5" t="s">
        <v>106</v>
      </c>
      <c r="G802" s="5" t="s">
        <v>259</v>
      </c>
      <c r="H802" s="84"/>
    </row>
    <row r="803" spans="2:8" x14ac:dyDescent="0.35">
      <c r="B803" s="104" t="s">
        <v>155</v>
      </c>
      <c r="C803" s="5" t="s">
        <v>104</v>
      </c>
      <c r="D803" s="87"/>
      <c r="E803" s="101">
        <v>87529.26</v>
      </c>
      <c r="F803" s="5" t="s">
        <v>106</v>
      </c>
      <c r="G803" s="5" t="s">
        <v>259</v>
      </c>
      <c r="H803" s="84"/>
    </row>
    <row r="804" spans="2:8" x14ac:dyDescent="0.35">
      <c r="B804" s="104" t="s">
        <v>155</v>
      </c>
      <c r="C804" s="5" t="s">
        <v>104</v>
      </c>
      <c r="D804" s="87"/>
      <c r="E804" s="101">
        <v>95549.03</v>
      </c>
      <c r="F804" s="5" t="s">
        <v>106</v>
      </c>
      <c r="G804" s="5" t="s">
        <v>259</v>
      </c>
      <c r="H804" s="84"/>
    </row>
    <row r="805" spans="2:8" x14ac:dyDescent="0.35">
      <c r="B805" s="104" t="s">
        <v>155</v>
      </c>
      <c r="C805" s="5" t="s">
        <v>117</v>
      </c>
      <c r="D805" s="87"/>
      <c r="E805" s="101">
        <v>102993.28</v>
      </c>
      <c r="F805" s="5" t="s">
        <v>129</v>
      </c>
      <c r="G805" s="5" t="s">
        <v>258</v>
      </c>
      <c r="H805" s="84"/>
    </row>
    <row r="806" spans="2:8" x14ac:dyDescent="0.35">
      <c r="B806" s="104" t="s">
        <v>155</v>
      </c>
      <c r="C806" s="5" t="s">
        <v>117</v>
      </c>
      <c r="D806" s="87"/>
      <c r="E806" s="101">
        <v>108676.35</v>
      </c>
      <c r="F806" s="5" t="s">
        <v>129</v>
      </c>
      <c r="G806" s="5" t="s">
        <v>258</v>
      </c>
      <c r="H806" s="84"/>
    </row>
    <row r="807" spans="2:8" x14ac:dyDescent="0.35">
      <c r="B807" s="104" t="s">
        <v>155</v>
      </c>
      <c r="C807" s="5" t="s">
        <v>117</v>
      </c>
      <c r="D807" s="87"/>
      <c r="E807" s="101">
        <v>111454.88</v>
      </c>
      <c r="F807" s="5" t="s">
        <v>129</v>
      </c>
      <c r="G807" s="5" t="s">
        <v>258</v>
      </c>
      <c r="H807" s="84"/>
    </row>
    <row r="808" spans="2:8" x14ac:dyDescent="0.35">
      <c r="B808" s="104" t="s">
        <v>155</v>
      </c>
      <c r="C808" s="5" t="s">
        <v>117</v>
      </c>
      <c r="D808" s="87"/>
      <c r="E808" s="101">
        <v>114294.32</v>
      </c>
      <c r="F808" s="5" t="s">
        <v>129</v>
      </c>
      <c r="G808" s="5" t="s">
        <v>258</v>
      </c>
      <c r="H808" s="84"/>
    </row>
    <row r="809" spans="2:8" x14ac:dyDescent="0.35">
      <c r="B809" s="104" t="s">
        <v>155</v>
      </c>
      <c r="C809" s="5" t="s">
        <v>117</v>
      </c>
      <c r="D809" s="87"/>
      <c r="E809" s="101">
        <v>127284.83</v>
      </c>
      <c r="F809" s="5" t="s">
        <v>129</v>
      </c>
      <c r="G809" s="5" t="s">
        <v>258</v>
      </c>
      <c r="H809" s="84"/>
    </row>
    <row r="810" spans="2:8" x14ac:dyDescent="0.35">
      <c r="B810" s="104" t="s">
        <v>155</v>
      </c>
      <c r="C810" s="5" t="s">
        <v>117</v>
      </c>
      <c r="D810" s="87"/>
      <c r="E810" s="101">
        <v>140613.41</v>
      </c>
      <c r="F810" s="5" t="s">
        <v>129</v>
      </c>
      <c r="G810" s="5" t="s">
        <v>258</v>
      </c>
      <c r="H810" s="84"/>
    </row>
    <row r="811" spans="2:8" x14ac:dyDescent="0.35">
      <c r="B811" s="104" t="s">
        <v>155</v>
      </c>
      <c r="C811" s="5" t="s">
        <v>117</v>
      </c>
      <c r="D811" s="87"/>
      <c r="E811" s="101">
        <v>156096.82</v>
      </c>
      <c r="F811" s="5" t="s">
        <v>129</v>
      </c>
      <c r="G811" s="5" t="s">
        <v>258</v>
      </c>
      <c r="H811" s="84"/>
    </row>
    <row r="812" spans="2:8" x14ac:dyDescent="0.35">
      <c r="B812" s="104" t="s">
        <v>155</v>
      </c>
      <c r="C812" s="5" t="s">
        <v>104</v>
      </c>
      <c r="D812" s="87"/>
      <c r="E812" s="101">
        <v>192207.04</v>
      </c>
      <c r="F812" s="5" t="s">
        <v>106</v>
      </c>
      <c r="G812" s="5" t="s">
        <v>259</v>
      </c>
      <c r="H812" s="84"/>
    </row>
    <row r="813" spans="2:8" x14ac:dyDescent="0.35">
      <c r="B813" s="104" t="s">
        <v>155</v>
      </c>
      <c r="C813" s="5" t="s">
        <v>117</v>
      </c>
      <c r="D813" s="87"/>
      <c r="E813" s="101">
        <v>215049.96</v>
      </c>
      <c r="F813" s="5" t="s">
        <v>129</v>
      </c>
      <c r="G813" s="5" t="s">
        <v>258</v>
      </c>
      <c r="H813" s="84"/>
    </row>
    <row r="814" spans="2:8" x14ac:dyDescent="0.35">
      <c r="B814" s="104" t="s">
        <v>155</v>
      </c>
      <c r="C814" s="5" t="s">
        <v>117</v>
      </c>
      <c r="D814" s="87"/>
      <c r="E814" s="101">
        <v>215381.87</v>
      </c>
      <c r="F814" s="5" t="s">
        <v>129</v>
      </c>
      <c r="G814" s="5" t="s">
        <v>258</v>
      </c>
      <c r="H814" s="84"/>
    </row>
    <row r="815" spans="2:8" x14ac:dyDescent="0.35">
      <c r="B815" s="104" t="s">
        <v>155</v>
      </c>
      <c r="C815" s="5" t="s">
        <v>104</v>
      </c>
      <c r="D815" s="87"/>
      <c r="E815" s="101">
        <v>309773.82</v>
      </c>
      <c r="F815" s="5" t="s">
        <v>106</v>
      </c>
      <c r="G815" s="5" t="s">
        <v>259</v>
      </c>
      <c r="H815" s="84"/>
    </row>
    <row r="816" spans="2:8" x14ac:dyDescent="0.35">
      <c r="B816" s="104" t="s">
        <v>155</v>
      </c>
      <c r="C816" s="5" t="s">
        <v>117</v>
      </c>
      <c r="D816" s="87"/>
      <c r="E816" s="101">
        <v>345562.73</v>
      </c>
      <c r="F816" s="5" t="s">
        <v>129</v>
      </c>
      <c r="G816" s="5" t="s">
        <v>258</v>
      </c>
      <c r="H816" s="84"/>
    </row>
    <row r="817" spans="2:8" x14ac:dyDescent="0.35">
      <c r="B817" s="104" t="s">
        <v>155</v>
      </c>
      <c r="C817" s="5" t="s">
        <v>104</v>
      </c>
      <c r="D817" s="87"/>
      <c r="E817" s="101">
        <v>469157.61</v>
      </c>
      <c r="F817" s="5" t="s">
        <v>106</v>
      </c>
      <c r="G817" s="5" t="s">
        <v>259</v>
      </c>
      <c r="H817" s="84"/>
    </row>
    <row r="818" spans="2:8" x14ac:dyDescent="0.35">
      <c r="B818" s="104" t="s">
        <v>155</v>
      </c>
      <c r="C818" s="5" t="s">
        <v>117</v>
      </c>
      <c r="D818" s="87"/>
      <c r="E818" s="101">
        <v>1884175.89</v>
      </c>
      <c r="F818" s="5" t="s">
        <v>118</v>
      </c>
      <c r="G818" s="5" t="s">
        <v>260</v>
      </c>
      <c r="H818" s="84"/>
    </row>
    <row r="819" spans="2:8" x14ac:dyDescent="0.35">
      <c r="B819" s="104" t="s">
        <v>156</v>
      </c>
      <c r="C819" s="5" t="s">
        <v>104</v>
      </c>
      <c r="D819" s="87"/>
      <c r="E819" s="101">
        <v>22204.31</v>
      </c>
      <c r="F819" s="5" t="s">
        <v>106</v>
      </c>
      <c r="G819" s="5" t="s">
        <v>261</v>
      </c>
      <c r="H819" s="84"/>
    </row>
    <row r="820" spans="2:8" x14ac:dyDescent="0.35">
      <c r="B820" s="104" t="s">
        <v>156</v>
      </c>
      <c r="C820" s="5" t="s">
        <v>117</v>
      </c>
      <c r="D820" s="87"/>
      <c r="E820" s="101">
        <v>23439.56</v>
      </c>
      <c r="F820" s="5" t="s">
        <v>129</v>
      </c>
      <c r="G820" s="5" t="s">
        <v>262</v>
      </c>
      <c r="H820" s="84"/>
    </row>
    <row r="821" spans="2:8" x14ac:dyDescent="0.35">
      <c r="B821" s="104" t="s">
        <v>156</v>
      </c>
      <c r="C821" s="5" t="s">
        <v>117</v>
      </c>
      <c r="D821" s="87"/>
      <c r="E821" s="101">
        <v>25748.32</v>
      </c>
      <c r="F821" s="5" t="s">
        <v>129</v>
      </c>
      <c r="G821" s="5" t="s">
        <v>262</v>
      </c>
      <c r="H821" s="84"/>
    </row>
    <row r="822" spans="2:8" x14ac:dyDescent="0.35">
      <c r="B822" s="104" t="s">
        <v>156</v>
      </c>
      <c r="C822" s="5" t="s">
        <v>117</v>
      </c>
      <c r="D822" s="87"/>
      <c r="E822" s="101">
        <v>25748.32</v>
      </c>
      <c r="F822" s="5" t="s">
        <v>129</v>
      </c>
      <c r="G822" s="5" t="s">
        <v>262</v>
      </c>
      <c r="H822" s="84"/>
    </row>
    <row r="823" spans="2:8" x14ac:dyDescent="0.35">
      <c r="B823" s="104" t="s">
        <v>156</v>
      </c>
      <c r="C823" s="5" t="s">
        <v>117</v>
      </c>
      <c r="D823" s="87"/>
      <c r="E823" s="101">
        <v>25748.32</v>
      </c>
      <c r="F823" s="5" t="s">
        <v>129</v>
      </c>
      <c r="G823" s="5" t="s">
        <v>262</v>
      </c>
      <c r="H823" s="84"/>
    </row>
    <row r="824" spans="2:8" x14ac:dyDescent="0.35">
      <c r="B824" s="104" t="s">
        <v>156</v>
      </c>
      <c r="C824" s="5" t="s">
        <v>104</v>
      </c>
      <c r="D824" s="87"/>
      <c r="E824" s="101">
        <v>26523.4</v>
      </c>
      <c r="F824" s="5" t="s">
        <v>106</v>
      </c>
      <c r="G824" s="5" t="s">
        <v>263</v>
      </c>
      <c r="H824" s="84"/>
    </row>
    <row r="825" spans="2:8" x14ac:dyDescent="0.35">
      <c r="B825" s="104" t="s">
        <v>156</v>
      </c>
      <c r="C825" s="5" t="s">
        <v>117</v>
      </c>
      <c r="D825" s="87"/>
      <c r="E825" s="101">
        <v>33795.199999999997</v>
      </c>
      <c r="F825" s="5" t="s">
        <v>129</v>
      </c>
      <c r="G825" s="5" t="s">
        <v>262</v>
      </c>
      <c r="H825" s="84"/>
    </row>
    <row r="826" spans="2:8" x14ac:dyDescent="0.35">
      <c r="B826" s="104" t="s">
        <v>156</v>
      </c>
      <c r="C826" s="5" t="s">
        <v>104</v>
      </c>
      <c r="D826" s="87"/>
      <c r="E826" s="101">
        <v>38056.199999999997</v>
      </c>
      <c r="F826" s="5" t="s">
        <v>106</v>
      </c>
      <c r="G826" s="5" t="s">
        <v>264</v>
      </c>
      <c r="H826" s="84"/>
    </row>
    <row r="827" spans="2:8" x14ac:dyDescent="0.35">
      <c r="B827" s="104" t="s">
        <v>156</v>
      </c>
      <c r="C827" s="5" t="s">
        <v>117</v>
      </c>
      <c r="D827" s="87"/>
      <c r="E827" s="101">
        <v>45059.56</v>
      </c>
      <c r="F827" s="5" t="s">
        <v>129</v>
      </c>
      <c r="G827" s="5" t="s">
        <v>262</v>
      </c>
      <c r="H827" s="84"/>
    </row>
    <row r="828" spans="2:8" x14ac:dyDescent="0.35">
      <c r="B828" s="104" t="s">
        <v>156</v>
      </c>
      <c r="C828" s="5" t="s">
        <v>117</v>
      </c>
      <c r="D828" s="87"/>
      <c r="E828" s="101">
        <v>45059.56</v>
      </c>
      <c r="F828" s="5" t="s">
        <v>129</v>
      </c>
      <c r="G828" s="5" t="s">
        <v>262</v>
      </c>
      <c r="H828" s="84"/>
    </row>
    <row r="829" spans="2:8" x14ac:dyDescent="0.35">
      <c r="B829" s="104" t="s">
        <v>156</v>
      </c>
      <c r="C829" s="5" t="s">
        <v>117</v>
      </c>
      <c r="D829" s="87"/>
      <c r="E829" s="101">
        <v>45121.47</v>
      </c>
      <c r="F829" s="5" t="s">
        <v>129</v>
      </c>
      <c r="G829" s="5" t="s">
        <v>262</v>
      </c>
      <c r="H829" s="84"/>
    </row>
    <row r="830" spans="2:8" x14ac:dyDescent="0.35">
      <c r="B830" s="104" t="s">
        <v>156</v>
      </c>
      <c r="C830" s="5" t="s">
        <v>104</v>
      </c>
      <c r="D830" s="87"/>
      <c r="E830" s="101">
        <v>48877</v>
      </c>
      <c r="F830" s="5" t="s">
        <v>106</v>
      </c>
      <c r="G830" s="5" t="s">
        <v>261</v>
      </c>
      <c r="H830" s="84"/>
    </row>
    <row r="831" spans="2:8" x14ac:dyDescent="0.35">
      <c r="B831" s="104" t="s">
        <v>156</v>
      </c>
      <c r="C831" s="5" t="s">
        <v>104</v>
      </c>
      <c r="D831" s="87"/>
      <c r="E831" s="101">
        <v>50741.599999999999</v>
      </c>
      <c r="F831" s="5" t="s">
        <v>106</v>
      </c>
      <c r="G831" s="5" t="s">
        <v>264</v>
      </c>
      <c r="H831" s="84"/>
    </row>
    <row r="832" spans="2:8" x14ac:dyDescent="0.35">
      <c r="B832" s="104" t="s">
        <v>156</v>
      </c>
      <c r="C832" s="5" t="s">
        <v>117</v>
      </c>
      <c r="D832" s="87"/>
      <c r="E832" s="101">
        <v>63846.55</v>
      </c>
      <c r="F832" s="5" t="s">
        <v>129</v>
      </c>
      <c r="G832" s="5" t="s">
        <v>262</v>
      </c>
      <c r="H832" s="84"/>
    </row>
    <row r="833" spans="2:8" x14ac:dyDescent="0.35">
      <c r="B833" s="104" t="s">
        <v>156</v>
      </c>
      <c r="C833" s="5" t="s">
        <v>104</v>
      </c>
      <c r="D833" s="87"/>
      <c r="E833" s="101">
        <v>76593.22</v>
      </c>
      <c r="F833" s="5" t="s">
        <v>106</v>
      </c>
      <c r="G833" s="5" t="s">
        <v>261</v>
      </c>
      <c r="H833" s="84"/>
    </row>
    <row r="834" spans="2:8" x14ac:dyDescent="0.35">
      <c r="B834" s="104" t="s">
        <v>156</v>
      </c>
      <c r="C834" s="5" t="s">
        <v>117</v>
      </c>
      <c r="D834" s="87"/>
      <c r="E834" s="101">
        <v>79411.77</v>
      </c>
      <c r="F834" s="5" t="s">
        <v>129</v>
      </c>
      <c r="G834" s="5" t="s">
        <v>262</v>
      </c>
      <c r="H834" s="84"/>
    </row>
    <row r="835" spans="2:8" x14ac:dyDescent="0.35">
      <c r="B835" s="104" t="s">
        <v>156</v>
      </c>
      <c r="C835" s="5" t="s">
        <v>117</v>
      </c>
      <c r="D835" s="87"/>
      <c r="E835" s="101">
        <v>80280.960000000006</v>
      </c>
      <c r="F835" s="5" t="s">
        <v>129</v>
      </c>
      <c r="G835" s="5" t="s">
        <v>262</v>
      </c>
      <c r="H835" s="84"/>
    </row>
    <row r="836" spans="2:8" x14ac:dyDescent="0.35">
      <c r="B836" s="104" t="s">
        <v>156</v>
      </c>
      <c r="C836" s="5" t="s">
        <v>117</v>
      </c>
      <c r="D836" s="87"/>
      <c r="E836" s="101">
        <v>90119.12</v>
      </c>
      <c r="F836" s="5" t="s">
        <v>129</v>
      </c>
      <c r="G836" s="5" t="s">
        <v>262</v>
      </c>
      <c r="H836" s="84"/>
    </row>
    <row r="837" spans="2:8" x14ac:dyDescent="0.35">
      <c r="B837" s="104" t="s">
        <v>156</v>
      </c>
      <c r="C837" s="5" t="s">
        <v>117</v>
      </c>
      <c r="D837" s="87"/>
      <c r="E837" s="101">
        <v>96203.16</v>
      </c>
      <c r="F837" s="5" t="s">
        <v>129</v>
      </c>
      <c r="G837" s="5" t="s">
        <v>262</v>
      </c>
      <c r="H837" s="84"/>
    </row>
    <row r="838" spans="2:8" x14ac:dyDescent="0.35">
      <c r="B838" s="104" t="s">
        <v>156</v>
      </c>
      <c r="C838" s="5" t="s">
        <v>117</v>
      </c>
      <c r="D838" s="87"/>
      <c r="E838" s="101">
        <v>102491.99</v>
      </c>
      <c r="F838" s="5" t="s">
        <v>129</v>
      </c>
      <c r="G838" s="5" t="s">
        <v>262</v>
      </c>
      <c r="H838" s="84"/>
    </row>
    <row r="839" spans="2:8" x14ac:dyDescent="0.35">
      <c r="B839" s="104" t="s">
        <v>156</v>
      </c>
      <c r="C839" s="5" t="s">
        <v>117</v>
      </c>
      <c r="D839" s="87"/>
      <c r="E839" s="101">
        <v>102993.28</v>
      </c>
      <c r="F839" s="5" t="s">
        <v>129</v>
      </c>
      <c r="G839" s="5" t="s">
        <v>262</v>
      </c>
      <c r="H839" s="84"/>
    </row>
    <row r="840" spans="2:8" x14ac:dyDescent="0.35">
      <c r="B840" s="104" t="s">
        <v>156</v>
      </c>
      <c r="C840" s="5" t="s">
        <v>117</v>
      </c>
      <c r="D840" s="87"/>
      <c r="E840" s="101">
        <v>104758.43</v>
      </c>
      <c r="F840" s="5" t="s">
        <v>129</v>
      </c>
      <c r="G840" s="5" t="s">
        <v>262</v>
      </c>
      <c r="H840" s="84"/>
    </row>
    <row r="841" spans="2:8" x14ac:dyDescent="0.35">
      <c r="B841" s="104" t="s">
        <v>156</v>
      </c>
      <c r="C841" s="5" t="s">
        <v>104</v>
      </c>
      <c r="D841" s="87"/>
      <c r="E841" s="101">
        <v>109505.86</v>
      </c>
      <c r="F841" s="5" t="s">
        <v>106</v>
      </c>
      <c r="G841" s="5" t="s">
        <v>261</v>
      </c>
      <c r="H841" s="84"/>
    </row>
    <row r="842" spans="2:8" x14ac:dyDescent="0.35">
      <c r="B842" s="104" t="s">
        <v>156</v>
      </c>
      <c r="C842" s="5" t="s">
        <v>104</v>
      </c>
      <c r="D842" s="87"/>
      <c r="E842" s="101">
        <v>114168.6</v>
      </c>
      <c r="F842" s="5" t="s">
        <v>106</v>
      </c>
      <c r="G842" s="5" t="s">
        <v>264</v>
      </c>
      <c r="H842" s="84"/>
    </row>
    <row r="843" spans="2:8" x14ac:dyDescent="0.35">
      <c r="B843" s="104" t="s">
        <v>156</v>
      </c>
      <c r="C843" s="5" t="s">
        <v>104</v>
      </c>
      <c r="D843" s="87"/>
      <c r="E843" s="101">
        <v>117945.3</v>
      </c>
      <c r="F843" s="5" t="s">
        <v>106</v>
      </c>
      <c r="G843" s="5" t="s">
        <v>261</v>
      </c>
      <c r="H843" s="84"/>
    </row>
    <row r="844" spans="2:8" x14ac:dyDescent="0.35">
      <c r="B844" s="104" t="s">
        <v>156</v>
      </c>
      <c r="C844" s="5" t="s">
        <v>104</v>
      </c>
      <c r="D844" s="87"/>
      <c r="E844" s="101">
        <v>147329.26</v>
      </c>
      <c r="F844" s="5" t="s">
        <v>106</v>
      </c>
      <c r="G844" s="5" t="s">
        <v>261</v>
      </c>
      <c r="H844" s="84"/>
    </row>
    <row r="845" spans="2:8" x14ac:dyDescent="0.35">
      <c r="B845" s="104" t="s">
        <v>156</v>
      </c>
      <c r="C845" s="5" t="s">
        <v>117</v>
      </c>
      <c r="D845" s="87"/>
      <c r="E845" s="101">
        <v>157269.21</v>
      </c>
      <c r="F845" s="5" t="s">
        <v>129</v>
      </c>
      <c r="G845" s="5" t="s">
        <v>262</v>
      </c>
      <c r="H845" s="84"/>
    </row>
    <row r="846" spans="2:8" x14ac:dyDescent="0.35">
      <c r="B846" s="104" t="s">
        <v>156</v>
      </c>
      <c r="C846" s="5" t="s">
        <v>117</v>
      </c>
      <c r="D846" s="87"/>
      <c r="E846" s="101">
        <v>181392.89</v>
      </c>
      <c r="F846" s="5" t="s">
        <v>129</v>
      </c>
      <c r="G846" s="5" t="s">
        <v>262</v>
      </c>
      <c r="H846" s="84"/>
    </row>
    <row r="847" spans="2:8" x14ac:dyDescent="0.35">
      <c r="B847" s="104" t="s">
        <v>156</v>
      </c>
      <c r="C847" s="5" t="s">
        <v>117</v>
      </c>
      <c r="D847" s="87"/>
      <c r="E847" s="101">
        <v>215049.96</v>
      </c>
      <c r="F847" s="5" t="s">
        <v>129</v>
      </c>
      <c r="G847" s="5" t="s">
        <v>262</v>
      </c>
      <c r="H847" s="84"/>
    </row>
    <row r="848" spans="2:8" x14ac:dyDescent="0.35">
      <c r="B848" s="104" t="s">
        <v>156</v>
      </c>
      <c r="C848" s="5" t="s">
        <v>117</v>
      </c>
      <c r="D848" s="87"/>
      <c r="E848" s="101">
        <v>277530.03000000003</v>
      </c>
      <c r="F848" s="5" t="s">
        <v>129</v>
      </c>
      <c r="G848" s="5" t="s">
        <v>262</v>
      </c>
      <c r="H848" s="84"/>
    </row>
    <row r="849" spans="2:8" x14ac:dyDescent="0.35">
      <c r="B849" s="104" t="s">
        <v>156</v>
      </c>
      <c r="C849" s="5" t="s">
        <v>104</v>
      </c>
      <c r="D849" s="87"/>
      <c r="E849" s="101">
        <v>346752.9</v>
      </c>
      <c r="F849" s="5" t="s">
        <v>106</v>
      </c>
      <c r="G849" s="5" t="s">
        <v>261</v>
      </c>
      <c r="H849" s="84"/>
    </row>
    <row r="850" spans="2:8" x14ac:dyDescent="0.35">
      <c r="B850" s="104" t="s">
        <v>156</v>
      </c>
      <c r="C850" s="5" t="s">
        <v>117</v>
      </c>
      <c r="D850" s="87"/>
      <c r="E850" s="101">
        <v>465630.96</v>
      </c>
      <c r="F850" s="5" t="s">
        <v>129</v>
      </c>
      <c r="G850" s="5" t="s">
        <v>262</v>
      </c>
      <c r="H850" s="84"/>
    </row>
    <row r="851" spans="2:8" x14ac:dyDescent="0.35">
      <c r="B851" s="104" t="s">
        <v>156</v>
      </c>
      <c r="C851" s="5" t="s">
        <v>117</v>
      </c>
      <c r="D851" s="87"/>
      <c r="E851" s="101">
        <v>643708</v>
      </c>
      <c r="F851" s="5" t="s">
        <v>129</v>
      </c>
      <c r="G851" s="5" t="s">
        <v>262</v>
      </c>
      <c r="H851" s="84"/>
    </row>
    <row r="852" spans="2:8" x14ac:dyDescent="0.35">
      <c r="B852" s="104" t="s">
        <v>156</v>
      </c>
      <c r="C852" s="5" t="s">
        <v>117</v>
      </c>
      <c r="D852" s="87"/>
      <c r="E852" s="101">
        <v>2074707.83</v>
      </c>
      <c r="F852" s="5" t="s">
        <v>118</v>
      </c>
      <c r="G852" s="5" t="s">
        <v>265</v>
      </c>
      <c r="H852" s="84"/>
    </row>
    <row r="853" spans="2:8" x14ac:dyDescent="0.35">
      <c r="B853" s="104" t="s">
        <v>157</v>
      </c>
      <c r="C853" s="5" t="s">
        <v>117</v>
      </c>
      <c r="D853" s="87"/>
      <c r="E853" s="101">
        <v>16092.7</v>
      </c>
      <c r="F853" s="5" t="s">
        <v>129</v>
      </c>
      <c r="G853" s="5" t="s">
        <v>266</v>
      </c>
      <c r="H853" s="84"/>
    </row>
    <row r="854" spans="2:8" x14ac:dyDescent="0.35">
      <c r="B854" s="104" t="s">
        <v>157</v>
      </c>
      <c r="C854" s="5" t="s">
        <v>117</v>
      </c>
      <c r="D854" s="87"/>
      <c r="E854" s="101">
        <v>23173.49</v>
      </c>
      <c r="F854" s="5" t="s">
        <v>129</v>
      </c>
      <c r="G854" s="5" t="s">
        <v>266</v>
      </c>
      <c r="H854" s="84"/>
    </row>
    <row r="855" spans="2:8" x14ac:dyDescent="0.35">
      <c r="B855" s="104" t="s">
        <v>157</v>
      </c>
      <c r="C855" s="5" t="s">
        <v>117</v>
      </c>
      <c r="D855" s="87"/>
      <c r="E855" s="101">
        <v>23173.49</v>
      </c>
      <c r="F855" s="5" t="s">
        <v>129</v>
      </c>
      <c r="G855" s="5" t="s">
        <v>266</v>
      </c>
      <c r="H855" s="84"/>
    </row>
    <row r="856" spans="2:8" x14ac:dyDescent="0.35">
      <c r="B856" s="104" t="s">
        <v>157</v>
      </c>
      <c r="C856" s="5" t="s">
        <v>117</v>
      </c>
      <c r="D856" s="87"/>
      <c r="E856" s="101">
        <v>25696.19</v>
      </c>
      <c r="F856" s="5" t="s">
        <v>129</v>
      </c>
      <c r="G856" s="5" t="s">
        <v>266</v>
      </c>
      <c r="H856" s="84"/>
    </row>
    <row r="857" spans="2:8" x14ac:dyDescent="0.35">
      <c r="B857" s="104" t="s">
        <v>157</v>
      </c>
      <c r="C857" s="5" t="s">
        <v>104</v>
      </c>
      <c r="D857" s="87"/>
      <c r="E857" s="101">
        <v>37162.15</v>
      </c>
      <c r="F857" s="5" t="s">
        <v>106</v>
      </c>
      <c r="G857" s="5" t="s">
        <v>267</v>
      </c>
      <c r="H857" s="84"/>
    </row>
    <row r="858" spans="2:8" x14ac:dyDescent="0.35">
      <c r="B858" s="104" t="s">
        <v>157</v>
      </c>
      <c r="C858" s="5" t="s">
        <v>104</v>
      </c>
      <c r="D858" s="87"/>
      <c r="E858" s="101">
        <v>38056.199999999997</v>
      </c>
      <c r="F858" s="5" t="s">
        <v>106</v>
      </c>
      <c r="G858" s="5" t="s">
        <v>268</v>
      </c>
      <c r="H858" s="84"/>
    </row>
    <row r="859" spans="2:8" x14ac:dyDescent="0.35">
      <c r="B859" s="104" t="s">
        <v>157</v>
      </c>
      <c r="C859" s="5" t="s">
        <v>104</v>
      </c>
      <c r="D859" s="87"/>
      <c r="E859" s="101">
        <v>38056.199999999997</v>
      </c>
      <c r="F859" s="5" t="s">
        <v>106</v>
      </c>
      <c r="G859" s="5" t="s">
        <v>268</v>
      </c>
      <c r="H859" s="84"/>
    </row>
    <row r="860" spans="2:8" x14ac:dyDescent="0.35">
      <c r="B860" s="104" t="s">
        <v>157</v>
      </c>
      <c r="C860" s="5" t="s">
        <v>117</v>
      </c>
      <c r="D860" s="87"/>
      <c r="E860" s="101">
        <v>38622.480000000003</v>
      </c>
      <c r="F860" s="5" t="s">
        <v>129</v>
      </c>
      <c r="G860" s="5" t="s">
        <v>266</v>
      </c>
      <c r="H860" s="84"/>
    </row>
    <row r="861" spans="2:8" x14ac:dyDescent="0.35">
      <c r="B861" s="104" t="s">
        <v>157</v>
      </c>
      <c r="C861" s="5" t="s">
        <v>117</v>
      </c>
      <c r="D861" s="87"/>
      <c r="E861" s="101">
        <v>38622.480000000003</v>
      </c>
      <c r="F861" s="5" t="s">
        <v>129</v>
      </c>
      <c r="G861" s="5" t="s">
        <v>266</v>
      </c>
      <c r="H861" s="84"/>
    </row>
    <row r="862" spans="2:8" x14ac:dyDescent="0.35">
      <c r="B862" s="104" t="s">
        <v>157</v>
      </c>
      <c r="C862" s="5" t="s">
        <v>117</v>
      </c>
      <c r="D862" s="87"/>
      <c r="E862" s="101">
        <v>38622.480000000003</v>
      </c>
      <c r="F862" s="5" t="s">
        <v>129</v>
      </c>
      <c r="G862" s="5" t="s">
        <v>266</v>
      </c>
      <c r="H862" s="84"/>
    </row>
    <row r="863" spans="2:8" x14ac:dyDescent="0.35">
      <c r="B863" s="104" t="s">
        <v>157</v>
      </c>
      <c r="C863" s="5" t="s">
        <v>117</v>
      </c>
      <c r="D863" s="87"/>
      <c r="E863" s="101">
        <v>38622.480000000003</v>
      </c>
      <c r="F863" s="5" t="s">
        <v>129</v>
      </c>
      <c r="G863" s="5" t="s">
        <v>266</v>
      </c>
      <c r="H863" s="84"/>
    </row>
    <row r="864" spans="2:8" x14ac:dyDescent="0.35">
      <c r="B864" s="104" t="s">
        <v>157</v>
      </c>
      <c r="C864" s="5" t="s">
        <v>117</v>
      </c>
      <c r="D864" s="87"/>
      <c r="E864" s="101">
        <v>38622.480000000003</v>
      </c>
      <c r="F864" s="5" t="s">
        <v>129</v>
      </c>
      <c r="G864" s="5" t="s">
        <v>266</v>
      </c>
      <c r="H864" s="84"/>
    </row>
    <row r="865" spans="2:8" x14ac:dyDescent="0.35">
      <c r="B865" s="104" t="s">
        <v>157</v>
      </c>
      <c r="C865" s="5" t="s">
        <v>104</v>
      </c>
      <c r="D865" s="87"/>
      <c r="E865" s="101">
        <v>48537.82</v>
      </c>
      <c r="F865" s="5" t="s">
        <v>106</v>
      </c>
      <c r="G865" s="5" t="s">
        <v>267</v>
      </c>
      <c r="H865" s="84"/>
    </row>
    <row r="866" spans="2:8" x14ac:dyDescent="0.35">
      <c r="B866" s="104" t="s">
        <v>157</v>
      </c>
      <c r="C866" s="5" t="s">
        <v>117</v>
      </c>
      <c r="D866" s="87"/>
      <c r="E866" s="101">
        <v>51496.639999999999</v>
      </c>
      <c r="F866" s="5" t="s">
        <v>129</v>
      </c>
      <c r="G866" s="5" t="s">
        <v>266</v>
      </c>
      <c r="H866" s="84"/>
    </row>
    <row r="867" spans="2:8" x14ac:dyDescent="0.35">
      <c r="B867" s="104" t="s">
        <v>157</v>
      </c>
      <c r="C867" s="5" t="s">
        <v>104</v>
      </c>
      <c r="D867" s="87"/>
      <c r="E867" s="101">
        <v>62997.65</v>
      </c>
      <c r="F867" s="5" t="s">
        <v>106</v>
      </c>
      <c r="G867" s="5" t="s">
        <v>268</v>
      </c>
      <c r="H867" s="84"/>
    </row>
    <row r="868" spans="2:8" x14ac:dyDescent="0.35">
      <c r="B868" s="104" t="s">
        <v>157</v>
      </c>
      <c r="C868" s="5" t="s">
        <v>104</v>
      </c>
      <c r="D868" s="87"/>
      <c r="E868" s="101">
        <v>65608.94</v>
      </c>
      <c r="F868" s="5" t="s">
        <v>106</v>
      </c>
      <c r="G868" s="5" t="s">
        <v>267</v>
      </c>
      <c r="H868" s="84"/>
    </row>
    <row r="869" spans="2:8" x14ac:dyDescent="0.35">
      <c r="B869" s="104" t="s">
        <v>157</v>
      </c>
      <c r="C869" s="5" t="s">
        <v>104</v>
      </c>
      <c r="D869" s="87"/>
      <c r="E869" s="101">
        <v>68501.16</v>
      </c>
      <c r="F869" s="5" t="s">
        <v>106</v>
      </c>
      <c r="G869" s="5" t="s">
        <v>268</v>
      </c>
      <c r="H869" s="84"/>
    </row>
    <row r="870" spans="2:8" x14ac:dyDescent="0.35">
      <c r="B870" s="104" t="s">
        <v>157</v>
      </c>
      <c r="C870" s="5" t="s">
        <v>117</v>
      </c>
      <c r="D870" s="87"/>
      <c r="E870" s="101">
        <v>120913.45</v>
      </c>
      <c r="F870" s="5" t="s">
        <v>129</v>
      </c>
      <c r="G870" s="5" t="s">
        <v>266</v>
      </c>
      <c r="H870" s="84"/>
    </row>
    <row r="871" spans="2:8" x14ac:dyDescent="0.35">
      <c r="B871" s="104" t="s">
        <v>157</v>
      </c>
      <c r="C871" s="5" t="s">
        <v>104</v>
      </c>
      <c r="D871" s="87"/>
      <c r="E871" s="101">
        <v>190281</v>
      </c>
      <c r="F871" s="5" t="s">
        <v>106</v>
      </c>
      <c r="G871" s="5" t="s">
        <v>269</v>
      </c>
      <c r="H871" s="84"/>
    </row>
    <row r="872" spans="2:8" x14ac:dyDescent="0.35">
      <c r="B872" s="104" t="s">
        <v>157</v>
      </c>
      <c r="C872" s="5" t="s">
        <v>104</v>
      </c>
      <c r="D872" s="87"/>
      <c r="E872" s="101">
        <v>190281</v>
      </c>
      <c r="F872" s="5" t="s">
        <v>106</v>
      </c>
      <c r="G872" s="5" t="s">
        <v>268</v>
      </c>
      <c r="H872" s="84"/>
    </row>
    <row r="873" spans="2:8" x14ac:dyDescent="0.35">
      <c r="B873" s="104" t="s">
        <v>157</v>
      </c>
      <c r="C873" s="5" t="s">
        <v>104</v>
      </c>
      <c r="D873" s="87"/>
      <c r="E873" s="101">
        <v>212890.23</v>
      </c>
      <c r="F873" s="5" t="s">
        <v>106</v>
      </c>
      <c r="G873" s="5" t="s">
        <v>267</v>
      </c>
      <c r="H873" s="84"/>
    </row>
    <row r="874" spans="2:8" x14ac:dyDescent="0.35">
      <c r="B874" s="104" t="s">
        <v>157</v>
      </c>
      <c r="C874" s="5" t="s">
        <v>117</v>
      </c>
      <c r="D874" s="87"/>
      <c r="E874" s="101">
        <v>259674.6</v>
      </c>
      <c r="F874" s="5" t="s">
        <v>129</v>
      </c>
      <c r="G874" s="5" t="s">
        <v>266</v>
      </c>
      <c r="H874" s="84"/>
    </row>
    <row r="875" spans="2:8" x14ac:dyDescent="0.35">
      <c r="B875" s="104" t="s">
        <v>157</v>
      </c>
      <c r="C875" s="5" t="s">
        <v>117</v>
      </c>
      <c r="D875" s="87"/>
      <c r="E875" s="101">
        <v>298680.51</v>
      </c>
      <c r="F875" s="5" t="s">
        <v>129</v>
      </c>
      <c r="G875" s="5" t="s">
        <v>266</v>
      </c>
      <c r="H875" s="84"/>
    </row>
    <row r="876" spans="2:8" x14ac:dyDescent="0.35">
      <c r="B876" s="104" t="s">
        <v>157</v>
      </c>
      <c r="C876" s="5" t="s">
        <v>117</v>
      </c>
      <c r="D876" s="87"/>
      <c r="E876" s="101">
        <v>356598.2</v>
      </c>
      <c r="F876" s="5" t="s">
        <v>129</v>
      </c>
      <c r="G876" s="5" t="s">
        <v>266</v>
      </c>
      <c r="H876" s="84"/>
    </row>
    <row r="877" spans="2:8" x14ac:dyDescent="0.35">
      <c r="B877" s="104" t="s">
        <v>157</v>
      </c>
      <c r="C877" s="5" t="s">
        <v>104</v>
      </c>
      <c r="D877" s="87"/>
      <c r="E877" s="101">
        <v>572628.17000000004</v>
      </c>
      <c r="F877" s="5" t="s">
        <v>106</v>
      </c>
      <c r="G877" s="5" t="s">
        <v>267</v>
      </c>
      <c r="H877" s="84"/>
    </row>
    <row r="878" spans="2:8" x14ac:dyDescent="0.35">
      <c r="B878" s="104" t="s">
        <v>157</v>
      </c>
      <c r="C878" s="5" t="s">
        <v>117</v>
      </c>
      <c r="D878" s="87"/>
      <c r="E878" s="101">
        <v>1291622.51</v>
      </c>
      <c r="F878" s="5" t="s">
        <v>118</v>
      </c>
      <c r="G878" s="5" t="s">
        <v>270</v>
      </c>
      <c r="H878" s="84"/>
    </row>
    <row r="879" spans="2:8" x14ac:dyDescent="0.35">
      <c r="B879" s="104" t="s">
        <v>157</v>
      </c>
      <c r="C879" s="5" t="s">
        <v>104</v>
      </c>
      <c r="D879" s="87"/>
      <c r="E879" s="101">
        <v>1956728.87</v>
      </c>
      <c r="F879" s="5" t="s">
        <v>106</v>
      </c>
      <c r="G879" s="5" t="s">
        <v>271</v>
      </c>
      <c r="H879" s="84"/>
    </row>
    <row r="880" spans="2:8" x14ac:dyDescent="0.35">
      <c r="B880" s="104" t="s">
        <v>159</v>
      </c>
      <c r="C880" s="5" t="s">
        <v>117</v>
      </c>
      <c r="D880" s="87"/>
      <c r="E880" s="101">
        <v>25337.78</v>
      </c>
      <c r="F880" s="5" t="s">
        <v>129</v>
      </c>
      <c r="G880" s="5" t="s">
        <v>272</v>
      </c>
      <c r="H880" s="84"/>
    </row>
    <row r="881" spans="2:8" x14ac:dyDescent="0.35">
      <c r="B881" s="104" t="s">
        <v>159</v>
      </c>
      <c r="C881" s="5" t="s">
        <v>104</v>
      </c>
      <c r="D881" s="87"/>
      <c r="E881" s="101">
        <v>27147.89</v>
      </c>
      <c r="F881" s="5" t="s">
        <v>106</v>
      </c>
      <c r="G881" s="5" t="s">
        <v>273</v>
      </c>
      <c r="H881" s="84"/>
    </row>
    <row r="882" spans="2:8" x14ac:dyDescent="0.35">
      <c r="B882" s="104" t="s">
        <v>159</v>
      </c>
      <c r="C882" s="5" t="s">
        <v>117</v>
      </c>
      <c r="D882" s="87"/>
      <c r="E882" s="101">
        <v>30339.42</v>
      </c>
      <c r="F882" s="5" t="s">
        <v>129</v>
      </c>
      <c r="G882" s="5" t="s">
        <v>272</v>
      </c>
      <c r="H882" s="84"/>
    </row>
    <row r="883" spans="2:8" x14ac:dyDescent="0.35">
      <c r="B883" s="104" t="s">
        <v>159</v>
      </c>
      <c r="C883" s="5" t="s">
        <v>117</v>
      </c>
      <c r="D883" s="87"/>
      <c r="E883" s="101">
        <v>32255.54</v>
      </c>
      <c r="F883" s="5" t="s">
        <v>129</v>
      </c>
      <c r="G883" s="5" t="s">
        <v>272</v>
      </c>
      <c r="H883" s="84"/>
    </row>
    <row r="884" spans="2:8" x14ac:dyDescent="0.35">
      <c r="B884" s="104" t="s">
        <v>159</v>
      </c>
      <c r="C884" s="5" t="s">
        <v>117</v>
      </c>
      <c r="D884" s="87"/>
      <c r="E884" s="101">
        <v>34464.400000000001</v>
      </c>
      <c r="F884" s="5" t="s">
        <v>129</v>
      </c>
      <c r="G884" s="5" t="s">
        <v>272</v>
      </c>
      <c r="H884" s="84"/>
    </row>
    <row r="885" spans="2:8" x14ac:dyDescent="0.35">
      <c r="B885" s="104" t="s">
        <v>159</v>
      </c>
      <c r="C885" s="5" t="s">
        <v>117</v>
      </c>
      <c r="D885" s="87"/>
      <c r="E885" s="101">
        <v>45059.56</v>
      </c>
      <c r="F885" s="5" t="s">
        <v>129</v>
      </c>
      <c r="G885" s="5" t="s">
        <v>272</v>
      </c>
      <c r="H885" s="84"/>
    </row>
    <row r="886" spans="2:8" x14ac:dyDescent="0.35">
      <c r="B886" s="104" t="s">
        <v>159</v>
      </c>
      <c r="C886" s="5" t="s">
        <v>117</v>
      </c>
      <c r="D886" s="87"/>
      <c r="E886" s="101">
        <v>64370.8</v>
      </c>
      <c r="F886" s="5" t="s">
        <v>129</v>
      </c>
      <c r="G886" s="5" t="s">
        <v>272</v>
      </c>
      <c r="H886" s="84"/>
    </row>
    <row r="887" spans="2:8" x14ac:dyDescent="0.35">
      <c r="B887" s="104" t="s">
        <v>159</v>
      </c>
      <c r="C887" s="5" t="s">
        <v>104</v>
      </c>
      <c r="D887" s="87"/>
      <c r="E887" s="101">
        <v>76112.399999999994</v>
      </c>
      <c r="F887" s="5" t="s">
        <v>106</v>
      </c>
      <c r="G887" s="5" t="s">
        <v>274</v>
      </c>
      <c r="H887" s="84"/>
    </row>
    <row r="888" spans="2:8" x14ac:dyDescent="0.35">
      <c r="B888" s="104" t="s">
        <v>159</v>
      </c>
      <c r="C888" s="5" t="s">
        <v>104</v>
      </c>
      <c r="D888" s="87"/>
      <c r="E888" s="101">
        <v>76112.399999999994</v>
      </c>
      <c r="F888" s="5" t="s">
        <v>106</v>
      </c>
      <c r="G888" s="5" t="s">
        <v>274</v>
      </c>
      <c r="H888" s="84"/>
    </row>
    <row r="889" spans="2:8" x14ac:dyDescent="0.35">
      <c r="B889" s="104" t="s">
        <v>159</v>
      </c>
      <c r="C889" s="5" t="s">
        <v>104</v>
      </c>
      <c r="D889" s="87"/>
      <c r="E889" s="101">
        <v>108201.91</v>
      </c>
      <c r="F889" s="5" t="s">
        <v>106</v>
      </c>
      <c r="G889" s="5" t="s">
        <v>274</v>
      </c>
      <c r="H889" s="84"/>
    </row>
    <row r="890" spans="2:8" x14ac:dyDescent="0.35">
      <c r="B890" s="104" t="s">
        <v>159</v>
      </c>
      <c r="C890" s="5" t="s">
        <v>104</v>
      </c>
      <c r="D890" s="87"/>
      <c r="E890" s="101">
        <v>114168.6</v>
      </c>
      <c r="F890" s="5" t="s">
        <v>106</v>
      </c>
      <c r="G890" s="5" t="s">
        <v>274</v>
      </c>
      <c r="H890" s="84"/>
    </row>
    <row r="891" spans="2:8" x14ac:dyDescent="0.35">
      <c r="B891" s="104" t="s">
        <v>159</v>
      </c>
      <c r="C891" s="5" t="s">
        <v>117</v>
      </c>
      <c r="D891" s="87"/>
      <c r="E891" s="101">
        <v>118845.28</v>
      </c>
      <c r="F891" s="5" t="s">
        <v>129</v>
      </c>
      <c r="G891" s="5" t="s">
        <v>272</v>
      </c>
      <c r="H891" s="84"/>
    </row>
    <row r="892" spans="2:8" x14ac:dyDescent="0.35">
      <c r="B892" s="104" t="s">
        <v>159</v>
      </c>
      <c r="C892" s="5" t="s">
        <v>104</v>
      </c>
      <c r="D892" s="87"/>
      <c r="E892" s="101">
        <v>139281.28</v>
      </c>
      <c r="F892" s="5" t="s">
        <v>106</v>
      </c>
      <c r="G892" s="5" t="s">
        <v>274</v>
      </c>
      <c r="H892" s="84"/>
    </row>
    <row r="893" spans="2:8" x14ac:dyDescent="0.35">
      <c r="B893" s="104" t="s">
        <v>159</v>
      </c>
      <c r="C893" s="5" t="s">
        <v>117</v>
      </c>
      <c r="D893" s="87"/>
      <c r="E893" s="101">
        <v>155579.48000000001</v>
      </c>
      <c r="F893" s="5" t="s">
        <v>129</v>
      </c>
      <c r="G893" s="5" t="s">
        <v>272</v>
      </c>
      <c r="H893" s="84"/>
    </row>
    <row r="894" spans="2:8" x14ac:dyDescent="0.35">
      <c r="B894" s="104" t="s">
        <v>159</v>
      </c>
      <c r="C894" s="5" t="s">
        <v>104</v>
      </c>
      <c r="D894" s="87"/>
      <c r="E894" s="101">
        <v>216486.65</v>
      </c>
      <c r="F894" s="5" t="s">
        <v>106</v>
      </c>
      <c r="G894" s="5" t="s">
        <v>274</v>
      </c>
      <c r="H894" s="84"/>
    </row>
    <row r="895" spans="2:8" x14ac:dyDescent="0.35">
      <c r="B895" s="104" t="s">
        <v>159</v>
      </c>
      <c r="C895" s="5" t="s">
        <v>104</v>
      </c>
      <c r="D895" s="87"/>
      <c r="E895" s="101">
        <v>217362.72</v>
      </c>
      <c r="F895" s="5" t="s">
        <v>106</v>
      </c>
      <c r="G895" s="5" t="s">
        <v>274</v>
      </c>
      <c r="H895" s="84"/>
    </row>
    <row r="896" spans="2:8" x14ac:dyDescent="0.35">
      <c r="B896" s="104" t="s">
        <v>159</v>
      </c>
      <c r="C896" s="5" t="s">
        <v>104</v>
      </c>
      <c r="D896" s="87"/>
      <c r="E896" s="101">
        <v>230095.96</v>
      </c>
      <c r="F896" s="5" t="s">
        <v>106</v>
      </c>
      <c r="G896" s="5" t="s">
        <v>274</v>
      </c>
      <c r="H896" s="84"/>
    </row>
    <row r="897" spans="2:8" x14ac:dyDescent="0.35">
      <c r="B897" s="104" t="s">
        <v>159</v>
      </c>
      <c r="C897" s="5" t="s">
        <v>104</v>
      </c>
      <c r="D897" s="87"/>
      <c r="E897" s="101">
        <v>247993.92</v>
      </c>
      <c r="F897" s="5" t="s">
        <v>106</v>
      </c>
      <c r="G897" s="5" t="s">
        <v>274</v>
      </c>
      <c r="H897" s="84"/>
    </row>
    <row r="898" spans="2:8" x14ac:dyDescent="0.35">
      <c r="B898" s="104" t="s">
        <v>159</v>
      </c>
      <c r="C898" s="5" t="s">
        <v>117</v>
      </c>
      <c r="D898" s="87"/>
      <c r="E898" s="101">
        <v>256613.42</v>
      </c>
      <c r="F898" s="5" t="s">
        <v>129</v>
      </c>
      <c r="G898" s="5" t="s">
        <v>272</v>
      </c>
      <c r="H898" s="84"/>
    </row>
    <row r="899" spans="2:8" x14ac:dyDescent="0.35">
      <c r="B899" s="104" t="s">
        <v>159</v>
      </c>
      <c r="C899" s="5" t="s">
        <v>104</v>
      </c>
      <c r="D899" s="87"/>
      <c r="E899" s="101">
        <v>313380.13</v>
      </c>
      <c r="F899" s="5" t="s">
        <v>106</v>
      </c>
      <c r="G899" s="5" t="s">
        <v>274</v>
      </c>
      <c r="H899" s="84"/>
    </row>
    <row r="900" spans="2:8" x14ac:dyDescent="0.35">
      <c r="B900" s="104" t="s">
        <v>159</v>
      </c>
      <c r="C900" s="5" t="s">
        <v>117</v>
      </c>
      <c r="D900" s="87"/>
      <c r="E900" s="101">
        <v>323676.48</v>
      </c>
      <c r="F900" s="5" t="s">
        <v>129</v>
      </c>
      <c r="G900" s="5" t="s">
        <v>272</v>
      </c>
      <c r="H900" s="84"/>
    </row>
    <row r="901" spans="2:8" x14ac:dyDescent="0.35">
      <c r="B901" s="104" t="s">
        <v>159</v>
      </c>
      <c r="C901" s="5" t="s">
        <v>117</v>
      </c>
      <c r="D901" s="87"/>
      <c r="E901" s="101">
        <v>445907.46</v>
      </c>
      <c r="F901" s="5" t="s">
        <v>129</v>
      </c>
      <c r="G901" s="5" t="s">
        <v>272</v>
      </c>
      <c r="H901" s="84"/>
    </row>
    <row r="902" spans="2:8" x14ac:dyDescent="0.35">
      <c r="B902" s="104" t="s">
        <v>159</v>
      </c>
      <c r="C902" s="5" t="s">
        <v>104</v>
      </c>
      <c r="D902" s="87"/>
      <c r="E902" s="101">
        <v>461850.05</v>
      </c>
      <c r="F902" s="5" t="s">
        <v>106</v>
      </c>
      <c r="G902" s="5" t="s">
        <v>274</v>
      </c>
      <c r="H902" s="84"/>
    </row>
    <row r="903" spans="2:8" x14ac:dyDescent="0.35">
      <c r="B903" s="104" t="s">
        <v>159</v>
      </c>
      <c r="C903" s="5" t="s">
        <v>104</v>
      </c>
      <c r="D903" s="87"/>
      <c r="E903" s="101">
        <v>598325.48</v>
      </c>
      <c r="F903" s="5" t="s">
        <v>106</v>
      </c>
      <c r="G903" s="5" t="s">
        <v>274</v>
      </c>
      <c r="H903" s="84"/>
    </row>
    <row r="904" spans="2:8" x14ac:dyDescent="0.35">
      <c r="B904" s="104" t="s">
        <v>159</v>
      </c>
      <c r="C904" s="5" t="s">
        <v>117</v>
      </c>
      <c r="D904" s="87"/>
      <c r="E904" s="101">
        <v>803397.1</v>
      </c>
      <c r="F904" s="5" t="s">
        <v>129</v>
      </c>
      <c r="G904" s="5" t="s">
        <v>272</v>
      </c>
      <c r="H904" s="84"/>
    </row>
    <row r="905" spans="2:8" x14ac:dyDescent="0.35">
      <c r="B905" s="104" t="s">
        <v>159</v>
      </c>
      <c r="C905" s="5" t="s">
        <v>117</v>
      </c>
      <c r="D905" s="87"/>
      <c r="E905" s="101">
        <v>995033.77</v>
      </c>
      <c r="F905" s="5" t="s">
        <v>118</v>
      </c>
      <c r="G905" s="5" t="s">
        <v>275</v>
      </c>
      <c r="H905" s="84"/>
    </row>
    <row r="906" spans="2:8" x14ac:dyDescent="0.35">
      <c r="B906" s="104" t="s">
        <v>160</v>
      </c>
      <c r="C906" s="5" t="s">
        <v>117</v>
      </c>
      <c r="D906" s="87"/>
      <c r="E906" s="101">
        <v>14250.32</v>
      </c>
      <c r="F906" s="5" t="s">
        <v>129</v>
      </c>
      <c r="G906" s="5" t="s">
        <v>276</v>
      </c>
      <c r="H906" s="84"/>
    </row>
    <row r="907" spans="2:8" x14ac:dyDescent="0.35">
      <c r="B907" s="104" t="s">
        <v>160</v>
      </c>
      <c r="C907" s="5" t="s">
        <v>104</v>
      </c>
      <c r="D907" s="87"/>
      <c r="E907" s="101">
        <v>15373.49</v>
      </c>
      <c r="F907" s="5" t="s">
        <v>106</v>
      </c>
      <c r="G907" s="5" t="s">
        <v>277</v>
      </c>
      <c r="H907" s="84"/>
    </row>
    <row r="908" spans="2:8" x14ac:dyDescent="0.35">
      <c r="B908" s="104" t="s">
        <v>160</v>
      </c>
      <c r="C908" s="5" t="s">
        <v>117</v>
      </c>
      <c r="D908" s="87"/>
      <c r="E908" s="101">
        <v>23173.49</v>
      </c>
      <c r="F908" s="5" t="s">
        <v>129</v>
      </c>
      <c r="G908" s="5" t="s">
        <v>276</v>
      </c>
      <c r="H908" s="84"/>
    </row>
    <row r="909" spans="2:8" x14ac:dyDescent="0.35">
      <c r="B909" s="104" t="s">
        <v>160</v>
      </c>
      <c r="C909" s="5" t="s">
        <v>117</v>
      </c>
      <c r="D909" s="87"/>
      <c r="E909" s="101">
        <v>23173.49</v>
      </c>
      <c r="F909" s="5" t="s">
        <v>129</v>
      </c>
      <c r="G909" s="5" t="s">
        <v>276</v>
      </c>
      <c r="H909" s="84"/>
    </row>
    <row r="910" spans="2:8" x14ac:dyDescent="0.35">
      <c r="B910" s="104" t="s">
        <v>160</v>
      </c>
      <c r="C910" s="5" t="s">
        <v>117</v>
      </c>
      <c r="D910" s="87"/>
      <c r="E910" s="101">
        <v>23173.49</v>
      </c>
      <c r="F910" s="5" t="s">
        <v>129</v>
      </c>
      <c r="G910" s="5" t="s">
        <v>276</v>
      </c>
      <c r="H910" s="84"/>
    </row>
    <row r="911" spans="2:8" x14ac:dyDescent="0.35">
      <c r="B911" s="104" t="s">
        <v>160</v>
      </c>
      <c r="C911" s="5" t="s">
        <v>104</v>
      </c>
      <c r="D911" s="87"/>
      <c r="E911" s="101">
        <v>33801.75</v>
      </c>
      <c r="F911" s="5" t="s">
        <v>106</v>
      </c>
      <c r="G911" s="5" t="s">
        <v>277</v>
      </c>
      <c r="H911" s="84"/>
    </row>
    <row r="912" spans="2:8" x14ac:dyDescent="0.35">
      <c r="B912" s="104" t="s">
        <v>160</v>
      </c>
      <c r="C912" s="5" t="s">
        <v>117</v>
      </c>
      <c r="D912" s="87"/>
      <c r="E912" s="101">
        <v>36097.839999999997</v>
      </c>
      <c r="F912" s="5" t="s">
        <v>129</v>
      </c>
      <c r="G912" s="5" t="s">
        <v>276</v>
      </c>
      <c r="H912" s="84"/>
    </row>
    <row r="913" spans="2:8" x14ac:dyDescent="0.35">
      <c r="B913" s="104" t="s">
        <v>160</v>
      </c>
      <c r="C913" s="5" t="s">
        <v>104</v>
      </c>
      <c r="D913" s="87"/>
      <c r="E913" s="101">
        <v>38056.199999999997</v>
      </c>
      <c r="F913" s="5" t="s">
        <v>106</v>
      </c>
      <c r="G913" s="5" t="s">
        <v>277</v>
      </c>
      <c r="H913" s="84"/>
    </row>
    <row r="914" spans="2:8" x14ac:dyDescent="0.35">
      <c r="B914" s="104" t="s">
        <v>160</v>
      </c>
      <c r="C914" s="5" t="s">
        <v>104</v>
      </c>
      <c r="D914" s="87"/>
      <c r="E914" s="101">
        <v>38056.199999999997</v>
      </c>
      <c r="F914" s="5" t="s">
        <v>106</v>
      </c>
      <c r="G914" s="5" t="s">
        <v>277</v>
      </c>
      <c r="H914" s="84"/>
    </row>
    <row r="915" spans="2:8" x14ac:dyDescent="0.35">
      <c r="B915" s="104" t="s">
        <v>160</v>
      </c>
      <c r="C915" s="5" t="s">
        <v>104</v>
      </c>
      <c r="D915" s="87"/>
      <c r="E915" s="101">
        <v>45662.720000000001</v>
      </c>
      <c r="F915" s="5" t="s">
        <v>106</v>
      </c>
      <c r="G915" s="5" t="s">
        <v>277</v>
      </c>
      <c r="H915" s="84"/>
    </row>
    <row r="916" spans="2:8" x14ac:dyDescent="0.35">
      <c r="B916" s="104" t="s">
        <v>160</v>
      </c>
      <c r="C916" s="5" t="s">
        <v>117</v>
      </c>
      <c r="D916" s="87"/>
      <c r="E916" s="101">
        <v>46264.65</v>
      </c>
      <c r="F916" s="5" t="s">
        <v>129</v>
      </c>
      <c r="G916" s="5" t="s">
        <v>276</v>
      </c>
      <c r="H916" s="84"/>
    </row>
    <row r="917" spans="2:8" x14ac:dyDescent="0.35">
      <c r="B917" s="104" t="s">
        <v>160</v>
      </c>
      <c r="C917" s="5" t="s">
        <v>104</v>
      </c>
      <c r="D917" s="87"/>
      <c r="E917" s="101">
        <v>57084.3</v>
      </c>
      <c r="F917" s="5" t="s">
        <v>106</v>
      </c>
      <c r="G917" s="5" t="s">
        <v>277</v>
      </c>
      <c r="H917" s="84"/>
    </row>
    <row r="918" spans="2:8" x14ac:dyDescent="0.35">
      <c r="B918" s="104" t="s">
        <v>160</v>
      </c>
      <c r="C918" s="5" t="s">
        <v>117</v>
      </c>
      <c r="D918" s="87"/>
      <c r="E918" s="101">
        <v>77244.960000000006</v>
      </c>
      <c r="F918" s="5" t="s">
        <v>129</v>
      </c>
      <c r="G918" s="5" t="s">
        <v>276</v>
      </c>
      <c r="H918" s="84"/>
    </row>
    <row r="919" spans="2:8" x14ac:dyDescent="0.35">
      <c r="B919" s="104" t="s">
        <v>160</v>
      </c>
      <c r="C919" s="5" t="s">
        <v>104</v>
      </c>
      <c r="D919" s="87"/>
      <c r="E919" s="101">
        <v>82958.14</v>
      </c>
      <c r="F919" s="5" t="s">
        <v>106</v>
      </c>
      <c r="G919" s="5" t="s">
        <v>277</v>
      </c>
      <c r="H919" s="84"/>
    </row>
    <row r="920" spans="2:8" x14ac:dyDescent="0.35">
      <c r="B920" s="104" t="s">
        <v>160</v>
      </c>
      <c r="C920" s="5" t="s">
        <v>104</v>
      </c>
      <c r="D920" s="87"/>
      <c r="E920" s="101">
        <v>120681.89</v>
      </c>
      <c r="F920" s="5" t="s">
        <v>106</v>
      </c>
      <c r="G920" s="5" t="s">
        <v>277</v>
      </c>
      <c r="H920" s="84"/>
    </row>
    <row r="921" spans="2:8" x14ac:dyDescent="0.35">
      <c r="B921" s="104" t="s">
        <v>160</v>
      </c>
      <c r="C921" s="5" t="s">
        <v>104</v>
      </c>
      <c r="D921" s="87"/>
      <c r="E921" s="101">
        <v>127878.16</v>
      </c>
      <c r="F921" s="5" t="s">
        <v>106</v>
      </c>
      <c r="G921" s="5" t="s">
        <v>277</v>
      </c>
      <c r="H921" s="84"/>
    </row>
    <row r="922" spans="2:8" x14ac:dyDescent="0.35">
      <c r="B922" s="104" t="s">
        <v>160</v>
      </c>
      <c r="C922" s="5" t="s">
        <v>104</v>
      </c>
      <c r="D922" s="87"/>
      <c r="E922" s="101">
        <v>190529.85</v>
      </c>
      <c r="F922" s="5" t="s">
        <v>106</v>
      </c>
      <c r="G922" s="5" t="s">
        <v>277</v>
      </c>
      <c r="H922" s="84"/>
    </row>
    <row r="923" spans="2:8" x14ac:dyDescent="0.35">
      <c r="B923" s="104" t="s">
        <v>160</v>
      </c>
      <c r="C923" s="5" t="s">
        <v>117</v>
      </c>
      <c r="D923" s="87"/>
      <c r="E923" s="101">
        <v>196164.83</v>
      </c>
      <c r="F923" s="5" t="s">
        <v>129</v>
      </c>
      <c r="G923" s="5" t="s">
        <v>276</v>
      </c>
      <c r="H923" s="84"/>
    </row>
    <row r="924" spans="2:8" x14ac:dyDescent="0.35">
      <c r="B924" s="104" t="s">
        <v>160</v>
      </c>
      <c r="C924" s="5" t="s">
        <v>104</v>
      </c>
      <c r="D924" s="87"/>
      <c r="E924" s="101">
        <v>213445.61</v>
      </c>
      <c r="F924" s="5" t="s">
        <v>106</v>
      </c>
      <c r="G924" s="5" t="s">
        <v>278</v>
      </c>
      <c r="H924" s="84"/>
    </row>
    <row r="925" spans="2:8" x14ac:dyDescent="0.35">
      <c r="B925" s="104" t="s">
        <v>160</v>
      </c>
      <c r="C925" s="5" t="s">
        <v>117</v>
      </c>
      <c r="D925" s="87"/>
      <c r="E925" s="101">
        <v>279226.21000000002</v>
      </c>
      <c r="F925" s="5" t="s">
        <v>129</v>
      </c>
      <c r="G925" s="5" t="s">
        <v>276</v>
      </c>
      <c r="H925" s="84"/>
    </row>
    <row r="926" spans="2:8" x14ac:dyDescent="0.35">
      <c r="B926" s="104" t="s">
        <v>160</v>
      </c>
      <c r="C926" s="5" t="s">
        <v>104</v>
      </c>
      <c r="D926" s="87"/>
      <c r="E926" s="101">
        <v>349600.68</v>
      </c>
      <c r="F926" s="5" t="s">
        <v>106</v>
      </c>
      <c r="G926" s="5" t="s">
        <v>277</v>
      </c>
      <c r="H926" s="84"/>
    </row>
    <row r="927" spans="2:8" x14ac:dyDescent="0.35">
      <c r="B927" s="104" t="s">
        <v>160</v>
      </c>
      <c r="C927" s="5" t="s">
        <v>104</v>
      </c>
      <c r="D927" s="87"/>
      <c r="E927" s="101">
        <v>510995.51</v>
      </c>
      <c r="F927" s="5" t="s">
        <v>106</v>
      </c>
      <c r="G927" s="5" t="s">
        <v>277</v>
      </c>
      <c r="H927" s="84"/>
    </row>
    <row r="928" spans="2:8" x14ac:dyDescent="0.35">
      <c r="B928" s="104" t="s">
        <v>160</v>
      </c>
      <c r="C928" s="5" t="s">
        <v>117</v>
      </c>
      <c r="D928" s="87"/>
      <c r="E928" s="101">
        <v>907000.83</v>
      </c>
      <c r="F928" s="5" t="s">
        <v>118</v>
      </c>
      <c r="G928" s="5" t="s">
        <v>279</v>
      </c>
      <c r="H928" s="84"/>
    </row>
    <row r="929" spans="2:8" x14ac:dyDescent="0.35">
      <c r="B929" s="104" t="s">
        <v>162</v>
      </c>
      <c r="C929" s="5" t="s">
        <v>117</v>
      </c>
      <c r="D929" s="87"/>
      <c r="E929" s="101">
        <v>19060.189999999999</v>
      </c>
      <c r="F929" s="5" t="s">
        <v>129</v>
      </c>
      <c r="G929" s="5" t="s">
        <v>280</v>
      </c>
      <c r="H929" s="84"/>
    </row>
    <row r="930" spans="2:8" x14ac:dyDescent="0.35">
      <c r="B930" s="104" t="s">
        <v>162</v>
      </c>
      <c r="C930" s="5" t="s">
        <v>117</v>
      </c>
      <c r="D930" s="87"/>
      <c r="E930" s="101">
        <v>23173.49</v>
      </c>
      <c r="F930" s="5" t="s">
        <v>129</v>
      </c>
      <c r="G930" s="5" t="s">
        <v>280</v>
      </c>
      <c r="H930" s="84"/>
    </row>
    <row r="931" spans="2:8" x14ac:dyDescent="0.35">
      <c r="B931" s="104" t="s">
        <v>162</v>
      </c>
      <c r="C931" s="5" t="s">
        <v>117</v>
      </c>
      <c r="D931" s="87"/>
      <c r="E931" s="101">
        <v>31806.31</v>
      </c>
      <c r="F931" s="5" t="s">
        <v>129</v>
      </c>
      <c r="G931" s="5" t="s">
        <v>280</v>
      </c>
      <c r="H931" s="84"/>
    </row>
    <row r="932" spans="2:8" x14ac:dyDescent="0.35">
      <c r="B932" s="104" t="s">
        <v>162</v>
      </c>
      <c r="C932" s="5" t="s">
        <v>104</v>
      </c>
      <c r="D932" s="87"/>
      <c r="E932" s="101">
        <v>32285.61</v>
      </c>
      <c r="F932" s="5" t="s">
        <v>106</v>
      </c>
      <c r="G932" s="5" t="s">
        <v>281</v>
      </c>
      <c r="H932" s="84"/>
    </row>
    <row r="933" spans="2:8" x14ac:dyDescent="0.35">
      <c r="B933" s="104" t="s">
        <v>162</v>
      </c>
      <c r="C933" s="5" t="s">
        <v>117</v>
      </c>
      <c r="D933" s="87"/>
      <c r="E933" s="101">
        <v>38622.480000000003</v>
      </c>
      <c r="F933" s="5" t="s">
        <v>129</v>
      </c>
      <c r="G933" s="5" t="s">
        <v>280</v>
      </c>
      <c r="H933" s="84"/>
    </row>
    <row r="934" spans="2:8" x14ac:dyDescent="0.35">
      <c r="B934" s="104" t="s">
        <v>162</v>
      </c>
      <c r="C934" s="5" t="s">
        <v>117</v>
      </c>
      <c r="D934" s="87"/>
      <c r="E934" s="101">
        <v>41984.63</v>
      </c>
      <c r="F934" s="5" t="s">
        <v>129</v>
      </c>
      <c r="G934" s="5" t="s">
        <v>280</v>
      </c>
      <c r="H934" s="84"/>
    </row>
    <row r="935" spans="2:8" x14ac:dyDescent="0.35">
      <c r="B935" s="104" t="s">
        <v>162</v>
      </c>
      <c r="C935" s="5" t="s">
        <v>117</v>
      </c>
      <c r="D935" s="87"/>
      <c r="E935" s="101">
        <v>43981.19</v>
      </c>
      <c r="F935" s="5" t="s">
        <v>129</v>
      </c>
      <c r="G935" s="5" t="s">
        <v>280</v>
      </c>
      <c r="H935" s="84"/>
    </row>
    <row r="936" spans="2:8" x14ac:dyDescent="0.35">
      <c r="B936" s="104" t="s">
        <v>162</v>
      </c>
      <c r="C936" s="5" t="s">
        <v>117</v>
      </c>
      <c r="D936" s="87"/>
      <c r="E936" s="101">
        <v>70807.88</v>
      </c>
      <c r="F936" s="5" t="s">
        <v>129</v>
      </c>
      <c r="G936" s="5" t="s">
        <v>280</v>
      </c>
      <c r="H936" s="84"/>
    </row>
    <row r="937" spans="2:8" x14ac:dyDescent="0.35">
      <c r="B937" s="104" t="s">
        <v>162</v>
      </c>
      <c r="C937" s="5" t="s">
        <v>117</v>
      </c>
      <c r="D937" s="87"/>
      <c r="E937" s="101">
        <v>77244.960000000006</v>
      </c>
      <c r="F937" s="5" t="s">
        <v>129</v>
      </c>
      <c r="G937" s="5" t="s">
        <v>280</v>
      </c>
      <c r="H937" s="84"/>
    </row>
    <row r="938" spans="2:8" x14ac:dyDescent="0.35">
      <c r="B938" s="104" t="s">
        <v>162</v>
      </c>
      <c r="C938" s="5" t="s">
        <v>117</v>
      </c>
      <c r="D938" s="87"/>
      <c r="E938" s="101">
        <v>81183.44</v>
      </c>
      <c r="F938" s="5" t="s">
        <v>129</v>
      </c>
      <c r="G938" s="5" t="s">
        <v>280</v>
      </c>
      <c r="H938" s="84"/>
    </row>
    <row r="939" spans="2:8" x14ac:dyDescent="0.35">
      <c r="B939" s="104" t="s">
        <v>162</v>
      </c>
      <c r="C939" s="5" t="s">
        <v>104</v>
      </c>
      <c r="D939" s="87"/>
      <c r="E939" s="101">
        <v>84672.79</v>
      </c>
      <c r="F939" s="5" t="s">
        <v>106</v>
      </c>
      <c r="G939" s="5" t="s">
        <v>281</v>
      </c>
      <c r="H939" s="84"/>
    </row>
    <row r="940" spans="2:8" x14ac:dyDescent="0.35">
      <c r="B940" s="104" t="s">
        <v>162</v>
      </c>
      <c r="C940" s="5" t="s">
        <v>117</v>
      </c>
      <c r="D940" s="87"/>
      <c r="E940" s="101">
        <v>88819.9</v>
      </c>
      <c r="F940" s="5" t="s">
        <v>118</v>
      </c>
      <c r="G940" s="5" t="s">
        <v>282</v>
      </c>
      <c r="H940" s="84"/>
    </row>
    <row r="941" spans="2:8" x14ac:dyDescent="0.35">
      <c r="B941" s="104" t="s">
        <v>162</v>
      </c>
      <c r="C941" s="5" t="s">
        <v>104</v>
      </c>
      <c r="D941" s="87"/>
      <c r="E941" s="101">
        <v>95140.5</v>
      </c>
      <c r="F941" s="5" t="s">
        <v>106</v>
      </c>
      <c r="G941" s="5" t="s">
        <v>283</v>
      </c>
      <c r="H941" s="84"/>
    </row>
    <row r="942" spans="2:8" x14ac:dyDescent="0.35">
      <c r="B942" s="104" t="s">
        <v>162</v>
      </c>
      <c r="C942" s="5" t="s">
        <v>104</v>
      </c>
      <c r="D942" s="87"/>
      <c r="E942" s="101">
        <v>99417.04</v>
      </c>
      <c r="F942" s="5" t="s">
        <v>106</v>
      </c>
      <c r="G942" s="5" t="s">
        <v>281</v>
      </c>
      <c r="H942" s="84"/>
    </row>
    <row r="943" spans="2:8" x14ac:dyDescent="0.35">
      <c r="B943" s="104" t="s">
        <v>162</v>
      </c>
      <c r="C943" s="5" t="s">
        <v>117</v>
      </c>
      <c r="D943" s="87"/>
      <c r="E943" s="101">
        <v>109223.1</v>
      </c>
      <c r="F943" s="5" t="s">
        <v>129</v>
      </c>
      <c r="G943" s="5" t="s">
        <v>280</v>
      </c>
      <c r="H943" s="84"/>
    </row>
    <row r="944" spans="2:8" x14ac:dyDescent="0.35">
      <c r="B944" s="104" t="s">
        <v>162</v>
      </c>
      <c r="C944" s="5" t="s">
        <v>104</v>
      </c>
      <c r="D944" s="87"/>
      <c r="E944" s="101">
        <v>124909.35</v>
      </c>
      <c r="F944" s="5" t="s">
        <v>106</v>
      </c>
      <c r="G944" s="5" t="s">
        <v>281</v>
      </c>
      <c r="H944" s="84"/>
    </row>
    <row r="945" spans="2:8" x14ac:dyDescent="0.35">
      <c r="B945" s="104" t="s">
        <v>162</v>
      </c>
      <c r="C945" s="5" t="s">
        <v>104</v>
      </c>
      <c r="D945" s="87"/>
      <c r="E945" s="101">
        <v>133196.70000000001</v>
      </c>
      <c r="F945" s="5" t="s">
        <v>106</v>
      </c>
      <c r="G945" s="5" t="s">
        <v>281</v>
      </c>
      <c r="H945" s="84"/>
    </row>
    <row r="946" spans="2:8" x14ac:dyDescent="0.35">
      <c r="B946" s="104" t="s">
        <v>162</v>
      </c>
      <c r="C946" s="5" t="s">
        <v>104</v>
      </c>
      <c r="D946" s="87"/>
      <c r="E946" s="101">
        <v>152224.79999999999</v>
      </c>
      <c r="F946" s="5" t="s">
        <v>106</v>
      </c>
      <c r="G946" s="5" t="s">
        <v>281</v>
      </c>
      <c r="H946" s="84"/>
    </row>
    <row r="947" spans="2:8" x14ac:dyDescent="0.35">
      <c r="B947" s="104" t="s">
        <v>162</v>
      </c>
      <c r="C947" s="5" t="s">
        <v>104</v>
      </c>
      <c r="D947" s="87"/>
      <c r="E947" s="101">
        <v>183085.14</v>
      </c>
      <c r="F947" s="5" t="s">
        <v>106</v>
      </c>
      <c r="G947" s="5" t="s">
        <v>281</v>
      </c>
      <c r="H947" s="84"/>
    </row>
    <row r="948" spans="2:8" x14ac:dyDescent="0.35">
      <c r="B948" s="104" t="s">
        <v>162</v>
      </c>
      <c r="C948" s="5" t="s">
        <v>104</v>
      </c>
      <c r="D948" s="87"/>
      <c r="E948" s="101">
        <v>209609.19</v>
      </c>
      <c r="F948" s="5" t="s">
        <v>106</v>
      </c>
      <c r="G948" s="5" t="s">
        <v>281</v>
      </c>
      <c r="H948" s="84"/>
    </row>
    <row r="949" spans="2:8" x14ac:dyDescent="0.35">
      <c r="B949" s="104" t="s">
        <v>162</v>
      </c>
      <c r="C949" s="5" t="s">
        <v>104</v>
      </c>
      <c r="D949" s="87"/>
      <c r="E949" s="101">
        <v>218681.24</v>
      </c>
      <c r="F949" s="5" t="s">
        <v>106</v>
      </c>
      <c r="G949" s="5" t="s">
        <v>281</v>
      </c>
      <c r="H949" s="84"/>
    </row>
    <row r="950" spans="2:8" x14ac:dyDescent="0.35">
      <c r="B950" s="104" t="s">
        <v>162</v>
      </c>
      <c r="C950" s="5" t="s">
        <v>104</v>
      </c>
      <c r="D950" s="87"/>
      <c r="E950" s="101">
        <v>249517.89</v>
      </c>
      <c r="F950" s="5" t="s">
        <v>106</v>
      </c>
      <c r="G950" s="5" t="s">
        <v>281</v>
      </c>
      <c r="H950" s="84"/>
    </row>
    <row r="951" spans="2:8" x14ac:dyDescent="0.35">
      <c r="B951" s="104" t="s">
        <v>162</v>
      </c>
      <c r="C951" s="5" t="s">
        <v>117</v>
      </c>
      <c r="D951" s="87"/>
      <c r="E951" s="101">
        <v>300857.46999999997</v>
      </c>
      <c r="F951" s="5" t="s">
        <v>129</v>
      </c>
      <c r="G951" s="5" t="s">
        <v>280</v>
      </c>
      <c r="H951" s="84"/>
    </row>
    <row r="952" spans="2:8" x14ac:dyDescent="0.35">
      <c r="B952" s="104" t="s">
        <v>162</v>
      </c>
      <c r="C952" s="5" t="s">
        <v>104</v>
      </c>
      <c r="D952" s="87"/>
      <c r="E952" s="101">
        <v>660171.36</v>
      </c>
      <c r="F952" s="5" t="s">
        <v>106</v>
      </c>
      <c r="G952" s="5" t="s">
        <v>281</v>
      </c>
      <c r="H952" s="84"/>
    </row>
    <row r="953" spans="2:8" x14ac:dyDescent="0.35">
      <c r="B953" s="104" t="s">
        <v>162</v>
      </c>
      <c r="C953" s="5" t="s">
        <v>104</v>
      </c>
      <c r="D953" s="87"/>
      <c r="E953" s="101">
        <v>1388328.09</v>
      </c>
      <c r="F953" s="5" t="s">
        <v>106</v>
      </c>
      <c r="G953" s="5" t="s">
        <v>281</v>
      </c>
      <c r="H953" s="84"/>
    </row>
    <row r="954" spans="2:8" x14ac:dyDescent="0.35">
      <c r="B954" s="104" t="s">
        <v>162</v>
      </c>
      <c r="C954" s="5" t="s">
        <v>124</v>
      </c>
      <c r="D954" s="101">
        <v>177007507.59999999</v>
      </c>
      <c r="E954" s="24"/>
      <c r="F954" s="5" t="s">
        <v>126</v>
      </c>
      <c r="G954" s="5" t="s">
        <v>284</v>
      </c>
      <c r="H954" s="84"/>
    </row>
    <row r="955" spans="2:8" x14ac:dyDescent="0.35">
      <c r="B955" s="104" t="s">
        <v>163</v>
      </c>
      <c r="C955" s="5" t="s">
        <v>117</v>
      </c>
      <c r="D955" s="87"/>
      <c r="E955" s="101">
        <v>17637.599999999999</v>
      </c>
      <c r="F955" s="5" t="s">
        <v>129</v>
      </c>
      <c r="G955" s="5" t="s">
        <v>285</v>
      </c>
      <c r="H955" s="84"/>
    </row>
    <row r="956" spans="2:8" x14ac:dyDescent="0.35">
      <c r="B956" s="104" t="s">
        <v>163</v>
      </c>
      <c r="C956" s="5" t="s">
        <v>104</v>
      </c>
      <c r="D956" s="87"/>
      <c r="E956" s="101">
        <v>23116.86</v>
      </c>
      <c r="F956" s="5" t="s">
        <v>106</v>
      </c>
      <c r="G956" s="5" t="s">
        <v>286</v>
      </c>
      <c r="H956" s="84"/>
    </row>
    <row r="957" spans="2:8" x14ac:dyDescent="0.35">
      <c r="B957" s="104" t="s">
        <v>163</v>
      </c>
      <c r="C957" s="5" t="s">
        <v>117</v>
      </c>
      <c r="D957" s="87"/>
      <c r="E957" s="101">
        <v>23173.49</v>
      </c>
      <c r="F957" s="5" t="s">
        <v>129</v>
      </c>
      <c r="G957" s="5" t="s">
        <v>285</v>
      </c>
      <c r="H957" s="84"/>
    </row>
    <row r="958" spans="2:8" x14ac:dyDescent="0.35">
      <c r="B958" s="104" t="s">
        <v>163</v>
      </c>
      <c r="C958" s="5" t="s">
        <v>117</v>
      </c>
      <c r="D958" s="87"/>
      <c r="E958" s="101">
        <v>23173.49</v>
      </c>
      <c r="F958" s="5" t="s">
        <v>129</v>
      </c>
      <c r="G958" s="5" t="s">
        <v>285</v>
      </c>
      <c r="H958" s="84"/>
    </row>
    <row r="959" spans="2:8" x14ac:dyDescent="0.35">
      <c r="B959" s="104" t="s">
        <v>163</v>
      </c>
      <c r="C959" s="5" t="s">
        <v>104</v>
      </c>
      <c r="D959" s="87"/>
      <c r="E959" s="101">
        <v>28395.32</v>
      </c>
      <c r="F959" s="5" t="s">
        <v>106</v>
      </c>
      <c r="G959" s="5" t="s">
        <v>287</v>
      </c>
      <c r="H959" s="84"/>
    </row>
    <row r="960" spans="2:8" x14ac:dyDescent="0.35">
      <c r="B960" s="104" t="s">
        <v>163</v>
      </c>
      <c r="C960" s="5" t="s">
        <v>104</v>
      </c>
      <c r="D960" s="87"/>
      <c r="E960" s="101">
        <v>30694.44</v>
      </c>
      <c r="F960" s="5" t="s">
        <v>106</v>
      </c>
      <c r="G960" s="5" t="s">
        <v>286</v>
      </c>
      <c r="H960" s="84"/>
    </row>
    <row r="961" spans="2:8" x14ac:dyDescent="0.35">
      <c r="B961" s="104" t="s">
        <v>163</v>
      </c>
      <c r="C961" s="5" t="s">
        <v>117</v>
      </c>
      <c r="D961" s="87"/>
      <c r="E961" s="101">
        <v>34580.15</v>
      </c>
      <c r="F961" s="5" t="s">
        <v>129</v>
      </c>
      <c r="G961" s="5" t="s">
        <v>285</v>
      </c>
      <c r="H961" s="84"/>
    </row>
    <row r="962" spans="2:8" x14ac:dyDescent="0.35">
      <c r="B962" s="104" t="s">
        <v>163</v>
      </c>
      <c r="C962" s="5" t="s">
        <v>104</v>
      </c>
      <c r="D962" s="87"/>
      <c r="E962" s="101">
        <v>38056.199999999997</v>
      </c>
      <c r="F962" s="5" t="s">
        <v>106</v>
      </c>
      <c r="G962" s="5" t="s">
        <v>286</v>
      </c>
      <c r="H962" s="84"/>
    </row>
    <row r="963" spans="2:8" x14ac:dyDescent="0.35">
      <c r="B963" s="104" t="s">
        <v>163</v>
      </c>
      <c r="C963" s="5" t="s">
        <v>117</v>
      </c>
      <c r="D963" s="87"/>
      <c r="E963" s="101">
        <v>40170.5</v>
      </c>
      <c r="F963" s="5" t="s">
        <v>129</v>
      </c>
      <c r="G963" s="5" t="s">
        <v>285</v>
      </c>
      <c r="H963" s="84"/>
    </row>
    <row r="964" spans="2:8" x14ac:dyDescent="0.35">
      <c r="B964" s="104" t="s">
        <v>163</v>
      </c>
      <c r="C964" s="5" t="s">
        <v>117</v>
      </c>
      <c r="D964" s="87"/>
      <c r="E964" s="101">
        <v>49628.05</v>
      </c>
      <c r="F964" s="5" t="s">
        <v>129</v>
      </c>
      <c r="G964" s="5" t="s">
        <v>285</v>
      </c>
      <c r="H964" s="84"/>
    </row>
    <row r="965" spans="2:8" x14ac:dyDescent="0.35">
      <c r="B965" s="104" t="s">
        <v>163</v>
      </c>
      <c r="C965" s="5" t="s">
        <v>117</v>
      </c>
      <c r="D965" s="87"/>
      <c r="E965" s="101">
        <v>74857</v>
      </c>
      <c r="F965" s="5" t="s">
        <v>129</v>
      </c>
      <c r="G965" s="5" t="s">
        <v>285</v>
      </c>
      <c r="H965" s="84"/>
    </row>
    <row r="966" spans="2:8" x14ac:dyDescent="0.35">
      <c r="B966" s="104" t="s">
        <v>163</v>
      </c>
      <c r="C966" s="5" t="s">
        <v>104</v>
      </c>
      <c r="D966" s="87"/>
      <c r="E966" s="101">
        <v>76112.399999999994</v>
      </c>
      <c r="F966" s="5" t="s">
        <v>106</v>
      </c>
      <c r="G966" s="5" t="s">
        <v>286</v>
      </c>
      <c r="H966" s="84"/>
    </row>
    <row r="967" spans="2:8" x14ac:dyDescent="0.35">
      <c r="B967" s="104" t="s">
        <v>163</v>
      </c>
      <c r="C967" s="5" t="s">
        <v>117</v>
      </c>
      <c r="D967" s="87"/>
      <c r="E967" s="101">
        <v>89874.25</v>
      </c>
      <c r="F967" s="5" t="s">
        <v>129</v>
      </c>
      <c r="G967" s="5" t="s">
        <v>285</v>
      </c>
      <c r="H967" s="84"/>
    </row>
    <row r="968" spans="2:8" x14ac:dyDescent="0.35">
      <c r="B968" s="104" t="s">
        <v>163</v>
      </c>
      <c r="C968" s="5" t="s">
        <v>117</v>
      </c>
      <c r="D968" s="87"/>
      <c r="E968" s="101">
        <v>93174.36</v>
      </c>
      <c r="F968" s="5" t="s">
        <v>129</v>
      </c>
      <c r="G968" s="5" t="s">
        <v>285</v>
      </c>
      <c r="H968" s="84"/>
    </row>
    <row r="969" spans="2:8" x14ac:dyDescent="0.35">
      <c r="B969" s="104" t="s">
        <v>163</v>
      </c>
      <c r="C969" s="5" t="s">
        <v>104</v>
      </c>
      <c r="D969" s="87"/>
      <c r="E969" s="101">
        <v>98010.14</v>
      </c>
      <c r="F969" s="5" t="s">
        <v>106</v>
      </c>
      <c r="G969" s="5" t="s">
        <v>286</v>
      </c>
      <c r="H969" s="84"/>
    </row>
    <row r="970" spans="2:8" x14ac:dyDescent="0.35">
      <c r="B970" s="104" t="s">
        <v>163</v>
      </c>
      <c r="C970" s="5" t="s">
        <v>117</v>
      </c>
      <c r="D970" s="87"/>
      <c r="E970" s="101">
        <v>105297.39</v>
      </c>
      <c r="F970" s="5" t="s">
        <v>129</v>
      </c>
      <c r="G970" s="5" t="s">
        <v>285</v>
      </c>
      <c r="H970" s="84"/>
    </row>
    <row r="971" spans="2:8" x14ac:dyDescent="0.35">
      <c r="B971" s="104" t="s">
        <v>163</v>
      </c>
      <c r="C971" s="5" t="s">
        <v>117</v>
      </c>
      <c r="D971" s="87"/>
      <c r="E971" s="101">
        <v>107061.52</v>
      </c>
      <c r="F971" s="5" t="s">
        <v>129</v>
      </c>
      <c r="G971" s="5" t="s">
        <v>285</v>
      </c>
      <c r="H971" s="84"/>
    </row>
    <row r="972" spans="2:8" x14ac:dyDescent="0.35">
      <c r="B972" s="104" t="s">
        <v>163</v>
      </c>
      <c r="C972" s="5" t="s">
        <v>117</v>
      </c>
      <c r="D972" s="87"/>
      <c r="E972" s="101">
        <v>139040.93</v>
      </c>
      <c r="F972" s="5" t="s">
        <v>118</v>
      </c>
      <c r="G972" s="5" t="s">
        <v>288</v>
      </c>
      <c r="H972" s="84"/>
    </row>
    <row r="973" spans="2:8" x14ac:dyDescent="0.35">
      <c r="B973" s="104" t="s">
        <v>163</v>
      </c>
      <c r="C973" s="5" t="s">
        <v>117</v>
      </c>
      <c r="D973" s="87"/>
      <c r="E973" s="101">
        <v>141870.96</v>
      </c>
      <c r="F973" s="5" t="s">
        <v>129</v>
      </c>
      <c r="G973" s="5" t="s">
        <v>285</v>
      </c>
      <c r="H973" s="84"/>
    </row>
    <row r="974" spans="2:8" x14ac:dyDescent="0.35">
      <c r="B974" s="104" t="s">
        <v>163</v>
      </c>
      <c r="C974" s="5" t="s">
        <v>104</v>
      </c>
      <c r="D974" s="87"/>
      <c r="E974" s="101">
        <v>148501.65</v>
      </c>
      <c r="F974" s="5" t="s">
        <v>106</v>
      </c>
      <c r="G974" s="5" t="s">
        <v>286</v>
      </c>
      <c r="H974" s="84"/>
    </row>
    <row r="975" spans="2:8" x14ac:dyDescent="0.35">
      <c r="B975" s="104" t="s">
        <v>163</v>
      </c>
      <c r="C975" s="5" t="s">
        <v>104</v>
      </c>
      <c r="D975" s="87"/>
      <c r="E975" s="101">
        <v>190618.86</v>
      </c>
      <c r="F975" s="5" t="s">
        <v>106</v>
      </c>
      <c r="G975" s="5" t="s">
        <v>286</v>
      </c>
      <c r="H975" s="84"/>
    </row>
    <row r="976" spans="2:8" x14ac:dyDescent="0.35">
      <c r="B976" s="104" t="s">
        <v>163</v>
      </c>
      <c r="C976" s="5" t="s">
        <v>104</v>
      </c>
      <c r="D976" s="87"/>
      <c r="E976" s="101">
        <v>206772.02</v>
      </c>
      <c r="F976" s="5" t="s">
        <v>106</v>
      </c>
      <c r="G976" s="5" t="s">
        <v>286</v>
      </c>
      <c r="H976" s="84"/>
    </row>
    <row r="977" spans="2:8" x14ac:dyDescent="0.35">
      <c r="B977" s="104" t="s">
        <v>163</v>
      </c>
      <c r="C977" s="5" t="s">
        <v>117</v>
      </c>
      <c r="D977" s="87"/>
      <c r="E977" s="101">
        <v>215049.96</v>
      </c>
      <c r="F977" s="5" t="s">
        <v>129</v>
      </c>
      <c r="G977" s="5" t="s">
        <v>285</v>
      </c>
      <c r="H977" s="84"/>
    </row>
    <row r="978" spans="2:8" x14ac:dyDescent="0.35">
      <c r="B978" s="104" t="s">
        <v>163</v>
      </c>
      <c r="C978" s="5" t="s">
        <v>117</v>
      </c>
      <c r="D978" s="87"/>
      <c r="E978" s="101">
        <v>230898.06</v>
      </c>
      <c r="F978" s="5" t="s">
        <v>129</v>
      </c>
      <c r="G978" s="5" t="s">
        <v>285</v>
      </c>
      <c r="H978" s="84"/>
    </row>
    <row r="979" spans="2:8" x14ac:dyDescent="0.35">
      <c r="B979" s="104" t="s">
        <v>163</v>
      </c>
      <c r="C979" s="5" t="s">
        <v>104</v>
      </c>
      <c r="D979" s="87"/>
      <c r="E979" s="101">
        <v>316488.88</v>
      </c>
      <c r="F979" s="5" t="s">
        <v>106</v>
      </c>
      <c r="G979" s="5" t="s">
        <v>286</v>
      </c>
      <c r="H979" s="84"/>
    </row>
    <row r="980" spans="2:8" x14ac:dyDescent="0.35">
      <c r="B980" s="104" t="s">
        <v>163</v>
      </c>
      <c r="C980" s="5" t="s">
        <v>104</v>
      </c>
      <c r="D980" s="87"/>
      <c r="E980" s="101">
        <v>470896.58</v>
      </c>
      <c r="F980" s="5" t="s">
        <v>106</v>
      </c>
      <c r="G980" s="5" t="s">
        <v>286</v>
      </c>
      <c r="H980" s="84"/>
    </row>
    <row r="981" spans="2:8" x14ac:dyDescent="0.35">
      <c r="B981" s="104" t="s">
        <v>163</v>
      </c>
      <c r="C981" s="5" t="s">
        <v>117</v>
      </c>
      <c r="D981" s="87"/>
      <c r="E981" s="101">
        <v>555251.73</v>
      </c>
      <c r="F981" s="5" t="s">
        <v>129</v>
      </c>
      <c r="G981" s="5" t="s">
        <v>285</v>
      </c>
      <c r="H981" s="84"/>
    </row>
    <row r="982" spans="2:8" x14ac:dyDescent="0.35">
      <c r="B982" s="104" t="s">
        <v>163</v>
      </c>
      <c r="C982" s="5" t="s">
        <v>104</v>
      </c>
      <c r="D982" s="87"/>
      <c r="E982" s="101">
        <v>621668.94999999995</v>
      </c>
      <c r="F982" s="5" t="s">
        <v>106</v>
      </c>
      <c r="G982" s="5" t="s">
        <v>286</v>
      </c>
      <c r="H982" s="84"/>
    </row>
    <row r="983" spans="2:8" x14ac:dyDescent="0.35">
      <c r="B983" s="104" t="s">
        <v>163</v>
      </c>
      <c r="C983" s="5" t="s">
        <v>120</v>
      </c>
      <c r="D983" s="101">
        <v>11000000</v>
      </c>
      <c r="E983" s="24"/>
      <c r="F983" s="5" t="s">
        <v>144</v>
      </c>
      <c r="G983" s="5" t="s">
        <v>289</v>
      </c>
      <c r="H983" s="84"/>
    </row>
    <row r="984" spans="2:8" x14ac:dyDescent="0.35">
      <c r="B984" s="84">
        <v>46053</v>
      </c>
      <c r="C984" s="24" t="s">
        <v>290</v>
      </c>
      <c r="D984" s="87">
        <v>3031.05</v>
      </c>
      <c r="E984" s="87"/>
      <c r="F984" s="24"/>
      <c r="G984" s="24" t="s">
        <v>165</v>
      </c>
      <c r="H984" s="84"/>
    </row>
    <row r="985" spans="2:8" x14ac:dyDescent="0.35">
      <c r="B985" s="86"/>
      <c r="C985" s="23"/>
      <c r="D985" s="87">
        <f>SUM(D35:D984)</f>
        <v>189251982.42000002</v>
      </c>
      <c r="E985" s="87">
        <f>SUM(E35:E984)</f>
        <v>139671736.48999968</v>
      </c>
      <c r="F985" s="23"/>
      <c r="G985" s="23"/>
      <c r="H985" s="86"/>
    </row>
    <row r="986" spans="2:8" x14ac:dyDescent="0.35">
      <c r="B986" s="23"/>
      <c r="C986" s="23"/>
      <c r="D986" s="23"/>
      <c r="E986" s="23"/>
      <c r="F986" s="23"/>
      <c r="G986" s="23"/>
    </row>
    <row r="987" spans="2:8" x14ac:dyDescent="0.35">
      <c r="B987" s="142" t="s">
        <v>25</v>
      </c>
      <c r="C987" s="142"/>
      <c r="D987" s="142"/>
      <c r="E987" s="142"/>
      <c r="F987" s="142"/>
      <c r="G987" s="142"/>
      <c r="H987" s="41"/>
    </row>
    <row r="989" spans="2:8" x14ac:dyDescent="0.35">
      <c r="B989" s="32" t="s">
        <v>2</v>
      </c>
      <c r="C989" s="32" t="s">
        <v>65</v>
      </c>
      <c r="D989" s="85" t="s">
        <v>4</v>
      </c>
      <c r="E989" s="85" t="s">
        <v>5</v>
      </c>
      <c r="F989" s="32" t="s">
        <v>62</v>
      </c>
      <c r="G989" s="32" t="s">
        <v>6</v>
      </c>
      <c r="H989" s="85" t="s">
        <v>63</v>
      </c>
    </row>
    <row r="990" spans="2:8" x14ac:dyDescent="0.35">
      <c r="B990" s="84"/>
      <c r="C990" s="24"/>
      <c r="D990" s="87"/>
      <c r="E990" s="87"/>
      <c r="F990" s="24"/>
      <c r="G990" s="24"/>
      <c r="H990" s="84"/>
    </row>
    <row r="991" spans="2:8" x14ac:dyDescent="0.35">
      <c r="D991" s="87">
        <f>SUM(D990:D990)</f>
        <v>0</v>
      </c>
      <c r="E991" s="87">
        <f>SUM(E990:E990)</f>
        <v>0</v>
      </c>
    </row>
  </sheetData>
  <mergeCells count="18">
    <mergeCell ref="J34:K34"/>
    <mergeCell ref="M34:N34"/>
    <mergeCell ref="J56:K56"/>
    <mergeCell ref="M60:N60"/>
    <mergeCell ref="M75:N75"/>
    <mergeCell ref="B987:G98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9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2" customWidth="1"/>
    <col min="2" max="2" width="17.28515625" style="12" bestFit="1" customWidth="1"/>
    <col min="3" max="3" width="17.28515625" style="12" customWidth="1"/>
    <col min="4" max="4" width="15.28515625" style="12" bestFit="1" customWidth="1"/>
    <col min="5" max="5" width="9.140625" style="12" bestFit="1" customWidth="1"/>
    <col min="6" max="6" width="8" style="12" bestFit="1" customWidth="1"/>
    <col min="7" max="7" width="41.5703125" style="12" customWidth="1"/>
    <col min="8" max="8" width="33.42578125" style="12" bestFit="1" customWidth="1"/>
    <col min="9" max="10" width="15.28515625" style="12" customWidth="1"/>
    <col min="11" max="11" width="10.85546875" style="13" bestFit="1" customWidth="1"/>
    <col min="12" max="12" width="38.42578125" style="12" bestFit="1" customWidth="1"/>
    <col min="13" max="16384" width="11.42578125" style="12"/>
  </cols>
  <sheetData>
    <row r="2" spans="2:11" x14ac:dyDescent="0.35">
      <c r="B2" s="40" t="s">
        <v>37</v>
      </c>
      <c r="C2" s="21" t="s">
        <v>39</v>
      </c>
    </row>
    <row r="3" spans="2:11" x14ac:dyDescent="0.35">
      <c r="B3" s="40" t="s">
        <v>40</v>
      </c>
      <c r="C3" s="21" t="s">
        <v>39</v>
      </c>
      <c r="F3" s="42"/>
    </row>
    <row r="4" spans="2:11" x14ac:dyDescent="0.35">
      <c r="B4" s="40" t="s">
        <v>38</v>
      </c>
      <c r="C4" s="21" t="s">
        <v>39</v>
      </c>
    </row>
    <row r="6" spans="2:11" x14ac:dyDescent="0.35">
      <c r="B6" s="149" t="s">
        <v>70</v>
      </c>
      <c r="C6" s="149"/>
      <c r="D6" s="43" t="s">
        <v>10</v>
      </c>
    </row>
    <row r="7" spans="2:11" x14ac:dyDescent="0.35">
      <c r="B7" s="150" t="s">
        <v>79</v>
      </c>
      <c r="C7" s="150"/>
      <c r="D7" s="44"/>
      <c r="F7" s="42"/>
    </row>
    <row r="8" spans="2:11" x14ac:dyDescent="0.35">
      <c r="B8" s="150" t="s">
        <v>80</v>
      </c>
      <c r="C8" s="150"/>
      <c r="D8" s="44"/>
    </row>
    <row r="9" spans="2:11" s="23" customFormat="1" x14ac:dyDescent="0.35">
      <c r="B9" s="45"/>
      <c r="C9" s="45"/>
      <c r="D9" s="46"/>
      <c r="K9" s="47"/>
    </row>
    <row r="10" spans="2:11" s="23" customFormat="1" x14ac:dyDescent="0.35">
      <c r="B10" s="149" t="s">
        <v>71</v>
      </c>
      <c r="C10" s="149"/>
      <c r="D10" s="43" t="s">
        <v>10</v>
      </c>
      <c r="K10" s="47"/>
    </row>
    <row r="11" spans="2:11" x14ac:dyDescent="0.35">
      <c r="B11" s="151" t="s">
        <v>72</v>
      </c>
      <c r="C11" s="152"/>
      <c r="D11" s="48">
        <f>+I42</f>
        <v>0</v>
      </c>
    </row>
    <row r="12" spans="2:11" x14ac:dyDescent="0.35">
      <c r="B12" s="145" t="s">
        <v>73</v>
      </c>
      <c r="C12" s="146"/>
      <c r="D12" s="44">
        <f>+J42</f>
        <v>0</v>
      </c>
    </row>
    <row r="13" spans="2:11" x14ac:dyDescent="0.35">
      <c r="B13" s="45"/>
      <c r="C13" s="45"/>
      <c r="D13" s="46"/>
    </row>
    <row r="14" spans="2:11" x14ac:dyDescent="0.35">
      <c r="B14" s="149" t="s">
        <v>74</v>
      </c>
      <c r="C14" s="149"/>
      <c r="D14" s="43" t="s">
        <v>10</v>
      </c>
    </row>
    <row r="15" spans="2:11" x14ac:dyDescent="0.35">
      <c r="B15" s="151" t="s">
        <v>75</v>
      </c>
      <c r="C15" s="152"/>
      <c r="D15" s="48">
        <f>+D7+D11-D12</f>
        <v>0</v>
      </c>
    </row>
    <row r="16" spans="2:11" x14ac:dyDescent="0.35">
      <c r="B16" s="145" t="s">
        <v>76</v>
      </c>
      <c r="C16" s="146"/>
      <c r="D16" s="44">
        <f>+D8</f>
        <v>0</v>
      </c>
    </row>
    <row r="17" spans="2:12" x14ac:dyDescent="0.35">
      <c r="B17" s="145" t="s">
        <v>66</v>
      </c>
      <c r="C17" s="146"/>
      <c r="D17" s="44">
        <f>+D15-D16</f>
        <v>0</v>
      </c>
    </row>
    <row r="19" spans="2:12" x14ac:dyDescent="0.35">
      <c r="B19" s="140" t="s">
        <v>77</v>
      </c>
      <c r="C19" s="140"/>
      <c r="D19" s="140"/>
      <c r="E19" s="140"/>
      <c r="F19" s="140"/>
      <c r="G19" s="140"/>
      <c r="H19" s="140"/>
      <c r="I19" s="140"/>
      <c r="J19" s="140"/>
      <c r="K19" s="140"/>
      <c r="L19" s="140"/>
    </row>
    <row r="20" spans="2:12" x14ac:dyDescent="0.35">
      <c r="B20" s="23"/>
      <c r="C20" s="23"/>
      <c r="D20" s="23"/>
      <c r="E20" s="23"/>
      <c r="F20" s="23"/>
      <c r="G20" s="1"/>
    </row>
    <row r="21" spans="2:12" x14ac:dyDescent="0.35">
      <c r="B21" s="49" t="s">
        <v>78</v>
      </c>
      <c r="C21" s="32" t="s">
        <v>69</v>
      </c>
      <c r="D21" s="50" t="s">
        <v>61</v>
      </c>
      <c r="E21" s="32" t="s">
        <v>28</v>
      </c>
      <c r="F21" s="32" t="s">
        <v>64</v>
      </c>
      <c r="G21" s="32" t="s">
        <v>62</v>
      </c>
      <c r="H21" s="32" t="s">
        <v>6</v>
      </c>
      <c r="I21" s="33" t="s">
        <v>19</v>
      </c>
      <c r="J21" s="33" t="s">
        <v>20</v>
      </c>
      <c r="K21" s="33" t="s">
        <v>63</v>
      </c>
      <c r="L21" s="32" t="s">
        <v>22</v>
      </c>
    </row>
    <row r="22" spans="2:12" x14ac:dyDescent="0.35">
      <c r="B22" s="51" t="str">
        <f>+PROPER(TEXT(C22,"mmmm"))</f>
        <v>Enero</v>
      </c>
      <c r="C22" s="29"/>
      <c r="D22" s="29"/>
      <c r="E22" s="24"/>
      <c r="F22" s="52"/>
      <c r="G22" s="52"/>
      <c r="H22" s="52"/>
      <c r="I22" s="53"/>
      <c r="J22" s="53"/>
      <c r="K22" s="54"/>
      <c r="L22" s="55"/>
    </row>
    <row r="23" spans="2:12" x14ac:dyDescent="0.35">
      <c r="B23" s="51"/>
      <c r="C23" s="29"/>
      <c r="D23" s="29"/>
      <c r="E23" s="24"/>
      <c r="F23" s="52"/>
      <c r="G23" s="52"/>
      <c r="H23" s="52"/>
      <c r="I23" s="53"/>
      <c r="J23" s="53"/>
      <c r="K23" s="54"/>
      <c r="L23" s="55"/>
    </row>
    <row r="24" spans="2:12" x14ac:dyDescent="0.35">
      <c r="B24" s="51"/>
      <c r="C24" s="29"/>
      <c r="D24" s="29"/>
      <c r="E24" s="24"/>
      <c r="F24" s="52"/>
      <c r="G24" s="52"/>
      <c r="H24" s="52"/>
      <c r="I24" s="53"/>
      <c r="J24" s="53"/>
      <c r="K24" s="54"/>
      <c r="L24" s="55"/>
    </row>
    <row r="25" spans="2:12" x14ac:dyDescent="0.35">
      <c r="B25" s="51"/>
      <c r="C25" s="29"/>
      <c r="D25" s="29"/>
      <c r="E25" s="24"/>
      <c r="F25" s="52"/>
      <c r="G25" s="52"/>
      <c r="H25" s="52"/>
      <c r="I25" s="53"/>
      <c r="J25" s="53"/>
      <c r="K25" s="54"/>
      <c r="L25" s="55"/>
    </row>
    <row r="26" spans="2:12" x14ac:dyDescent="0.35">
      <c r="B26" s="51"/>
      <c r="C26" s="29"/>
      <c r="D26" s="29"/>
      <c r="E26" s="24"/>
      <c r="F26" s="52"/>
      <c r="G26" s="52"/>
      <c r="H26" s="52"/>
      <c r="I26" s="53"/>
      <c r="J26" s="53"/>
      <c r="K26" s="54"/>
      <c r="L26" s="55"/>
    </row>
    <row r="27" spans="2:12" x14ac:dyDescent="0.35">
      <c r="B27" s="51"/>
      <c r="C27" s="29"/>
      <c r="D27" s="29"/>
      <c r="E27" s="24"/>
      <c r="F27" s="52"/>
      <c r="G27" s="52"/>
      <c r="H27" s="52"/>
      <c r="I27" s="53"/>
      <c r="J27" s="53"/>
      <c r="K27" s="54"/>
      <c r="L27" s="55"/>
    </row>
    <row r="28" spans="2:12" x14ac:dyDescent="0.35">
      <c r="B28" s="51"/>
      <c r="C28" s="29"/>
      <c r="D28" s="29"/>
      <c r="E28" s="24"/>
      <c r="F28" s="52"/>
      <c r="G28" s="52"/>
      <c r="H28" s="52"/>
      <c r="I28" s="53"/>
      <c r="J28" s="53"/>
      <c r="K28" s="54"/>
      <c r="L28" s="55"/>
    </row>
    <row r="29" spans="2:12" x14ac:dyDescent="0.35">
      <c r="B29" s="51"/>
      <c r="C29" s="29"/>
      <c r="D29" s="29"/>
      <c r="E29" s="24"/>
      <c r="F29" s="52"/>
      <c r="G29" s="52"/>
      <c r="H29" s="52"/>
      <c r="I29" s="53"/>
      <c r="J29" s="53"/>
      <c r="K29" s="54"/>
      <c r="L29" s="55"/>
    </row>
    <row r="30" spans="2:12" x14ac:dyDescent="0.35">
      <c r="B30" s="51"/>
      <c r="C30" s="29"/>
      <c r="D30" s="29"/>
      <c r="E30" s="24"/>
      <c r="F30" s="52"/>
      <c r="G30" s="52"/>
      <c r="H30" s="52"/>
      <c r="I30" s="53"/>
      <c r="J30" s="53"/>
      <c r="K30" s="54"/>
      <c r="L30" s="55"/>
    </row>
    <row r="31" spans="2:12" x14ac:dyDescent="0.35">
      <c r="B31" s="51"/>
      <c r="C31" s="29"/>
      <c r="D31" s="29"/>
      <c r="E31" s="24"/>
      <c r="F31" s="52"/>
      <c r="G31" s="52"/>
      <c r="H31" s="52"/>
      <c r="I31" s="53"/>
      <c r="J31" s="53"/>
      <c r="K31" s="54"/>
      <c r="L31" s="55"/>
    </row>
    <row r="32" spans="2:12" x14ac:dyDescent="0.35">
      <c r="B32" s="51"/>
      <c r="C32" s="29"/>
      <c r="D32" s="29"/>
      <c r="E32" s="24"/>
      <c r="F32" s="52"/>
      <c r="G32" s="52"/>
      <c r="H32" s="52"/>
      <c r="I32" s="53"/>
      <c r="J32" s="53"/>
      <c r="K32" s="54"/>
      <c r="L32" s="55"/>
    </row>
    <row r="33" spans="2:12" x14ac:dyDescent="0.35">
      <c r="B33" s="51"/>
      <c r="C33" s="29"/>
      <c r="D33" s="29"/>
      <c r="E33" s="24"/>
      <c r="F33" s="52"/>
      <c r="G33" s="52"/>
      <c r="H33" s="52"/>
      <c r="I33" s="53"/>
      <c r="J33" s="53"/>
      <c r="K33" s="54"/>
      <c r="L33" s="55"/>
    </row>
    <row r="34" spans="2:12" x14ac:dyDescent="0.35">
      <c r="B34" s="51"/>
      <c r="C34" s="29"/>
      <c r="D34" s="29"/>
      <c r="E34" s="24"/>
      <c r="F34" s="52"/>
      <c r="G34" s="52"/>
      <c r="H34" s="52"/>
      <c r="I34" s="53"/>
      <c r="J34" s="53"/>
      <c r="K34" s="54"/>
      <c r="L34" s="55"/>
    </row>
    <row r="35" spans="2:12" x14ac:dyDescent="0.35">
      <c r="B35" s="51"/>
      <c r="C35" s="29"/>
      <c r="D35" s="29"/>
      <c r="E35" s="24"/>
      <c r="F35" s="52"/>
      <c r="G35" s="52"/>
      <c r="H35" s="52"/>
      <c r="I35" s="53"/>
      <c r="J35" s="53"/>
      <c r="K35" s="54"/>
      <c r="L35" s="55"/>
    </row>
    <row r="36" spans="2:12" x14ac:dyDescent="0.35">
      <c r="B36" s="51"/>
      <c r="C36" s="29"/>
      <c r="D36" s="29"/>
      <c r="E36" s="24"/>
      <c r="F36" s="52"/>
      <c r="G36" s="52"/>
      <c r="H36" s="52"/>
      <c r="I36" s="53"/>
      <c r="J36" s="53"/>
      <c r="K36" s="54"/>
      <c r="L36" s="55"/>
    </row>
    <row r="37" spans="2:12" x14ac:dyDescent="0.35">
      <c r="B37" s="51"/>
      <c r="C37" s="29"/>
      <c r="D37" s="29"/>
      <c r="E37" s="24"/>
      <c r="F37" s="52"/>
      <c r="G37" s="52"/>
      <c r="H37" s="52"/>
      <c r="I37" s="53"/>
      <c r="J37" s="53"/>
      <c r="K37" s="54"/>
      <c r="L37" s="55"/>
    </row>
    <row r="38" spans="2:12" x14ac:dyDescent="0.35">
      <c r="B38" s="51"/>
      <c r="C38" s="29"/>
      <c r="D38" s="29"/>
      <c r="E38" s="24"/>
      <c r="F38" s="52"/>
      <c r="G38" s="52"/>
      <c r="H38" s="52"/>
      <c r="I38" s="53"/>
      <c r="J38" s="53"/>
      <c r="K38" s="54"/>
      <c r="L38" s="55"/>
    </row>
    <row r="39" spans="2:12" x14ac:dyDescent="0.35">
      <c r="B39" s="51"/>
      <c r="C39" s="29"/>
      <c r="D39" s="29"/>
      <c r="E39" s="24"/>
      <c r="F39" s="52"/>
      <c r="G39" s="52"/>
      <c r="H39" s="52"/>
      <c r="I39" s="53"/>
      <c r="J39" s="53"/>
      <c r="K39" s="54"/>
      <c r="L39" s="55"/>
    </row>
    <row r="40" spans="2:12" x14ac:dyDescent="0.35">
      <c r="B40" s="51"/>
      <c r="C40" s="29"/>
      <c r="D40" s="29"/>
      <c r="E40" s="24"/>
      <c r="F40" s="52"/>
      <c r="G40" s="52"/>
      <c r="H40" s="52"/>
      <c r="I40" s="53"/>
      <c r="J40" s="53"/>
      <c r="K40" s="54"/>
      <c r="L40" s="55"/>
    </row>
    <row r="41" spans="2:12" x14ac:dyDescent="0.35">
      <c r="B41" s="51"/>
      <c r="C41" s="29"/>
      <c r="D41" s="29"/>
      <c r="E41" s="24"/>
      <c r="F41" s="52"/>
      <c r="G41" s="52"/>
      <c r="H41" s="52"/>
      <c r="I41" s="53"/>
      <c r="J41" s="53"/>
      <c r="K41" s="54"/>
      <c r="L41" s="55"/>
    </row>
    <row r="42" spans="2:12" x14ac:dyDescent="0.35">
      <c r="I42" s="30">
        <f>SUM(I22:I41)</f>
        <v>0</v>
      </c>
      <c r="J42" s="30">
        <f>SUM(J22:J41)</f>
        <v>0</v>
      </c>
    </row>
    <row r="45" spans="2:12" x14ac:dyDescent="0.35">
      <c r="K45" s="12"/>
    </row>
    <row r="46" spans="2:12" x14ac:dyDescent="0.35">
      <c r="K46" s="12"/>
    </row>
    <row r="47" spans="2:12" x14ac:dyDescent="0.35">
      <c r="K47" s="12"/>
    </row>
    <row r="48" spans="2:12" x14ac:dyDescent="0.35">
      <c r="K48" s="12"/>
    </row>
    <row r="49" spans="11:11" x14ac:dyDescent="0.35">
      <c r="K49" s="12"/>
    </row>
    <row r="50" spans="11:11" x14ac:dyDescent="0.35">
      <c r="K50" s="12"/>
    </row>
    <row r="51" spans="11:11" x14ac:dyDescent="0.35">
      <c r="K51" s="12"/>
    </row>
    <row r="52" spans="11:11" x14ac:dyDescent="0.35">
      <c r="K52" s="12"/>
    </row>
    <row r="53" spans="11:11" x14ac:dyDescent="0.35">
      <c r="K53" s="12"/>
    </row>
    <row r="54" spans="11:11" x14ac:dyDescent="0.35">
      <c r="K54" s="12"/>
    </row>
    <row r="55" spans="11:11" x14ac:dyDescent="0.35">
      <c r="K55" s="12"/>
    </row>
    <row r="56" spans="11:11" x14ac:dyDescent="0.35">
      <c r="K56" s="12"/>
    </row>
    <row r="57" spans="11:11" x14ac:dyDescent="0.35">
      <c r="K57" s="12"/>
    </row>
    <row r="58" spans="11:11" x14ac:dyDescent="0.35">
      <c r="K58" s="12"/>
    </row>
    <row r="59" spans="11:11" x14ac:dyDescent="0.35">
      <c r="K59" s="12"/>
    </row>
    <row r="60" spans="11:11" x14ac:dyDescent="0.35">
      <c r="K60" s="12"/>
    </row>
    <row r="61" spans="11:11" x14ac:dyDescent="0.35">
      <c r="K61" s="12"/>
    </row>
    <row r="62" spans="11:11" x14ac:dyDescent="0.35">
      <c r="K62" s="12"/>
    </row>
    <row r="63" spans="11:11" x14ac:dyDescent="0.35">
      <c r="K63" s="12"/>
    </row>
    <row r="64" spans="11:11" x14ac:dyDescent="0.35">
      <c r="K64" s="12"/>
    </row>
    <row r="65" spans="11:11" x14ac:dyDescent="0.35">
      <c r="K65" s="12"/>
    </row>
    <row r="66" spans="11:11" x14ac:dyDescent="0.35">
      <c r="K66" s="12"/>
    </row>
    <row r="67" spans="11:11" x14ac:dyDescent="0.35">
      <c r="K67" s="12"/>
    </row>
    <row r="68" spans="11:11" x14ac:dyDescent="0.35">
      <c r="K68" s="12"/>
    </row>
    <row r="70" spans="11:11" x14ac:dyDescent="0.35">
      <c r="K70" s="12"/>
    </row>
    <row r="71" spans="11:11" x14ac:dyDescent="0.35">
      <c r="K71" s="12"/>
    </row>
    <row r="72" spans="11:11" x14ac:dyDescent="0.35">
      <c r="K72" s="12"/>
    </row>
    <row r="73" spans="11:11" x14ac:dyDescent="0.35">
      <c r="K73" s="12"/>
    </row>
    <row r="74" spans="11:11" x14ac:dyDescent="0.35">
      <c r="K74" s="12"/>
    </row>
    <row r="75" spans="11:11" x14ac:dyDescent="0.35">
      <c r="K75" s="12"/>
    </row>
    <row r="76" spans="11:11" x14ac:dyDescent="0.35">
      <c r="K76" s="12"/>
    </row>
    <row r="77" spans="11:11" x14ac:dyDescent="0.35">
      <c r="K77" s="12"/>
    </row>
    <row r="78" spans="11:11" x14ac:dyDescent="0.35">
      <c r="K78" s="12"/>
    </row>
  </sheetData>
  <mergeCells count="11">
    <mergeCell ref="B14:C14"/>
    <mergeCell ref="B15:C15"/>
    <mergeCell ref="B16:C16"/>
    <mergeCell ref="B17:C17"/>
    <mergeCell ref="B19:L19"/>
    <mergeCell ref="B12:C12"/>
    <mergeCell ref="B6:C6"/>
    <mergeCell ref="B7:C7"/>
    <mergeCell ref="B8:C8"/>
    <mergeCell ref="B10:C10"/>
    <mergeCell ref="B11:C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0" t="s">
        <v>41</v>
      </c>
      <c r="H3" t="s">
        <v>88</v>
      </c>
    </row>
    <row r="4" spans="2:8" x14ac:dyDescent="0.25">
      <c r="B4" t="s">
        <v>31</v>
      </c>
      <c r="D4">
        <v>579702001</v>
      </c>
      <c r="F4" s="20" t="s">
        <v>42</v>
      </c>
      <c r="H4" t="s">
        <v>86</v>
      </c>
    </row>
    <row r="5" spans="2:8" x14ac:dyDescent="0.25">
      <c r="B5" t="s">
        <v>33</v>
      </c>
      <c r="D5">
        <v>6290002225</v>
      </c>
      <c r="F5" s="20" t="s">
        <v>43</v>
      </c>
      <c r="H5" t="s">
        <v>81</v>
      </c>
    </row>
    <row r="6" spans="2:8" x14ac:dyDescent="0.25">
      <c r="B6" t="s">
        <v>34</v>
      </c>
      <c r="D6">
        <v>6290002328</v>
      </c>
      <c r="F6" s="20" t="s">
        <v>44</v>
      </c>
      <c r="H6" t="s">
        <v>82</v>
      </c>
    </row>
    <row r="7" spans="2:8" x14ac:dyDescent="0.25">
      <c r="B7" t="s">
        <v>35</v>
      </c>
      <c r="D7">
        <v>6290035153</v>
      </c>
      <c r="F7" s="20" t="s">
        <v>45</v>
      </c>
      <c r="H7" t="s">
        <v>83</v>
      </c>
    </row>
    <row r="8" spans="2:8" x14ac:dyDescent="0.25">
      <c r="B8" t="s">
        <v>36</v>
      </c>
      <c r="D8">
        <v>6290046289</v>
      </c>
      <c r="F8" s="20" t="s">
        <v>46</v>
      </c>
      <c r="H8" t="s">
        <v>93</v>
      </c>
    </row>
    <row r="9" spans="2:8" x14ac:dyDescent="0.25">
      <c r="D9">
        <v>6290064906</v>
      </c>
      <c r="F9" s="20" t="s">
        <v>47</v>
      </c>
      <c r="H9" t="s">
        <v>89</v>
      </c>
    </row>
    <row r="10" spans="2:8" x14ac:dyDescent="0.25">
      <c r="D10">
        <v>1135970835</v>
      </c>
      <c r="F10" s="20" t="s">
        <v>48</v>
      </c>
      <c r="H10" t="s">
        <v>100</v>
      </c>
    </row>
    <row r="11" spans="2:8" x14ac:dyDescent="0.25">
      <c r="D11">
        <v>9406934115</v>
      </c>
      <c r="F11" s="20" t="s">
        <v>49</v>
      </c>
      <c r="H11" t="s">
        <v>84</v>
      </c>
    </row>
    <row r="12" spans="2:8" x14ac:dyDescent="0.25">
      <c r="D12">
        <v>44100000482</v>
      </c>
      <c r="F12" s="20" t="s">
        <v>50</v>
      </c>
      <c r="H12" t="s">
        <v>85</v>
      </c>
    </row>
    <row r="13" spans="2:8" x14ac:dyDescent="0.25">
      <c r="F13" s="20" t="s">
        <v>51</v>
      </c>
      <c r="H13" t="s">
        <v>90</v>
      </c>
    </row>
    <row r="14" spans="2:8" x14ac:dyDescent="0.25">
      <c r="F14" s="20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  <vt:lpstr>'LIBRO BANCO'!Área_de_impresión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2026-04-23T15:03:54Z</cp:lastPrinted>
  <dcterms:created xsi:type="dcterms:W3CDTF">2025-12-17T13:21:20Z</dcterms:created>
  <dcterms:modified xsi:type="dcterms:W3CDTF">2026-04-23T15:04:00Z</dcterms:modified>
</cp:coreProperties>
</file>