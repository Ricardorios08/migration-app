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CONCILIACIÓN!$B$40:$H$338</definedName>
    <definedName name="_xlnm.Print_Area" localSheetId="3">CONCILIACIÓN!$B$2:$H$346</definedName>
  </definedNames>
  <calcPr calcId="145621"/>
</workbook>
</file>

<file path=xl/calcChain.xml><?xml version="1.0" encoding="utf-8"?>
<calcChain xmlns="http://schemas.openxmlformats.org/spreadsheetml/2006/main">
  <c r="I1316" i="3" l="1"/>
  <c r="H1316" i="3"/>
  <c r="J8" i="3" l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J1007" i="3" s="1"/>
  <c r="J1008" i="3" s="1"/>
  <c r="J1009" i="3" s="1"/>
  <c r="J1010" i="3" s="1"/>
  <c r="J1011" i="3" s="1"/>
  <c r="J1012" i="3" s="1"/>
  <c r="J1013" i="3" s="1"/>
  <c r="J1014" i="3" s="1"/>
  <c r="J1015" i="3" s="1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7" i="3" s="1"/>
  <c r="J1058" i="3" s="1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J1083" i="3" s="1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J1104" i="3" s="1"/>
  <c r="J1105" i="3" s="1"/>
  <c r="J1106" i="3" s="1"/>
  <c r="J1107" i="3" s="1"/>
  <c r="J1108" i="3" s="1"/>
  <c r="J1109" i="3" s="1"/>
  <c r="J1110" i="3" s="1"/>
  <c r="J1111" i="3" s="1"/>
  <c r="J1112" i="3" s="1"/>
  <c r="J1113" i="3" s="1"/>
  <c r="J1114" i="3" s="1"/>
  <c r="J1115" i="3" s="1"/>
  <c r="J1116" i="3" s="1"/>
  <c r="J1117" i="3" s="1"/>
  <c r="J1118" i="3" s="1"/>
  <c r="J1119" i="3" s="1"/>
  <c r="J1120" i="3" s="1"/>
  <c r="J1121" i="3" s="1"/>
  <c r="J1122" i="3" s="1"/>
  <c r="J1123" i="3" s="1"/>
  <c r="J1124" i="3" s="1"/>
  <c r="J1125" i="3" s="1"/>
  <c r="J1126" i="3" s="1"/>
  <c r="J1127" i="3" s="1"/>
  <c r="J1128" i="3" s="1"/>
  <c r="J1129" i="3" s="1"/>
  <c r="J1130" i="3" s="1"/>
  <c r="J1131" i="3" s="1"/>
  <c r="J1132" i="3" s="1"/>
  <c r="J1133" i="3" s="1"/>
  <c r="J1134" i="3" s="1"/>
  <c r="J1135" i="3" s="1"/>
  <c r="J1136" i="3" s="1"/>
  <c r="J1137" i="3" s="1"/>
  <c r="J1138" i="3" s="1"/>
  <c r="J1139" i="3" s="1"/>
  <c r="J1140" i="3" s="1"/>
  <c r="J1141" i="3" s="1"/>
  <c r="J1142" i="3" s="1"/>
  <c r="J1143" i="3" s="1"/>
  <c r="J1144" i="3" s="1"/>
  <c r="J1145" i="3" s="1"/>
  <c r="J1146" i="3" s="1"/>
  <c r="J1147" i="3" s="1"/>
  <c r="J1148" i="3" s="1"/>
  <c r="J1149" i="3" s="1"/>
  <c r="J1150" i="3" s="1"/>
  <c r="J1151" i="3" s="1"/>
  <c r="J1152" i="3" s="1"/>
  <c r="J1153" i="3" s="1"/>
  <c r="J1154" i="3" s="1"/>
  <c r="J1155" i="3" s="1"/>
  <c r="J1156" i="3" s="1"/>
  <c r="J1157" i="3" s="1"/>
  <c r="J1158" i="3" s="1"/>
  <c r="J1159" i="3" s="1"/>
  <c r="J1160" i="3" s="1"/>
  <c r="J1161" i="3" s="1"/>
  <c r="J1162" i="3" s="1"/>
  <c r="J1163" i="3" s="1"/>
  <c r="J1164" i="3" s="1"/>
  <c r="J1165" i="3" s="1"/>
  <c r="J1166" i="3" s="1"/>
  <c r="J1167" i="3" s="1"/>
  <c r="J1168" i="3" s="1"/>
  <c r="J1169" i="3" s="1"/>
  <c r="J1170" i="3" s="1"/>
  <c r="J1171" i="3" s="1"/>
  <c r="J1172" i="3" s="1"/>
  <c r="J1173" i="3" s="1"/>
  <c r="J1174" i="3" s="1"/>
  <c r="J1175" i="3" s="1"/>
  <c r="J1176" i="3" s="1"/>
  <c r="J1177" i="3" s="1"/>
  <c r="J1178" i="3" s="1"/>
  <c r="J1179" i="3" s="1"/>
  <c r="J1180" i="3" s="1"/>
  <c r="J1181" i="3" s="1"/>
  <c r="J1182" i="3" s="1"/>
  <c r="J1183" i="3" s="1"/>
  <c r="J1184" i="3" s="1"/>
  <c r="J1185" i="3" s="1"/>
  <c r="J1186" i="3" s="1"/>
  <c r="J1187" i="3" s="1"/>
  <c r="J1188" i="3" s="1"/>
  <c r="J1189" i="3" s="1"/>
  <c r="J1190" i="3" s="1"/>
  <c r="J1191" i="3" s="1"/>
  <c r="J1192" i="3" s="1"/>
  <c r="J1193" i="3" s="1"/>
  <c r="J1194" i="3" s="1"/>
  <c r="J1195" i="3" s="1"/>
  <c r="J1196" i="3" s="1"/>
  <c r="J1197" i="3" s="1"/>
  <c r="J1198" i="3" s="1"/>
  <c r="J1199" i="3" s="1"/>
  <c r="J1200" i="3" s="1"/>
  <c r="J1201" i="3" s="1"/>
  <c r="J1202" i="3" s="1"/>
  <c r="J1203" i="3" s="1"/>
  <c r="J1204" i="3" s="1"/>
  <c r="J1205" i="3" s="1"/>
  <c r="J1206" i="3" s="1"/>
  <c r="J1207" i="3" s="1"/>
  <c r="J1208" i="3" s="1"/>
  <c r="J1209" i="3" s="1"/>
  <c r="J1210" i="3" s="1"/>
  <c r="J1211" i="3" s="1"/>
  <c r="J1212" i="3" s="1"/>
  <c r="J1213" i="3" s="1"/>
  <c r="J1214" i="3" s="1"/>
  <c r="J1215" i="3" s="1"/>
  <c r="J1216" i="3" s="1"/>
  <c r="J1217" i="3" s="1"/>
  <c r="J1218" i="3" s="1"/>
  <c r="J1219" i="3" s="1"/>
  <c r="J1220" i="3" s="1"/>
  <c r="J1221" i="3" s="1"/>
  <c r="J1222" i="3" s="1"/>
  <c r="J1223" i="3" s="1"/>
  <c r="J1224" i="3" s="1"/>
  <c r="J1225" i="3" s="1"/>
  <c r="J1226" i="3" s="1"/>
  <c r="J1227" i="3" s="1"/>
  <c r="J1228" i="3" s="1"/>
  <c r="J1229" i="3" s="1"/>
  <c r="J1230" i="3" s="1"/>
  <c r="J1231" i="3" s="1"/>
  <c r="J1232" i="3" s="1"/>
  <c r="J1233" i="3" s="1"/>
  <c r="J1234" i="3" s="1"/>
  <c r="J1235" i="3" s="1"/>
  <c r="J1236" i="3" s="1"/>
  <c r="J1237" i="3" s="1"/>
  <c r="J1238" i="3" s="1"/>
  <c r="J1239" i="3" s="1"/>
  <c r="J1240" i="3" s="1"/>
  <c r="J1241" i="3" s="1"/>
  <c r="J1242" i="3" s="1"/>
  <c r="J1243" i="3" s="1"/>
  <c r="J1244" i="3" s="1"/>
  <c r="J1245" i="3" s="1"/>
  <c r="J1246" i="3" s="1"/>
  <c r="J1247" i="3" s="1"/>
  <c r="J1248" i="3" s="1"/>
  <c r="J1249" i="3" s="1"/>
  <c r="J1250" i="3" s="1"/>
  <c r="J1251" i="3" s="1"/>
  <c r="J1252" i="3" s="1"/>
  <c r="J1253" i="3" s="1"/>
  <c r="J1254" i="3" s="1"/>
  <c r="J1255" i="3" s="1"/>
  <c r="J1256" i="3" s="1"/>
  <c r="J1257" i="3" s="1"/>
  <c r="J1258" i="3" s="1"/>
  <c r="J1259" i="3" s="1"/>
  <c r="J1260" i="3" s="1"/>
  <c r="J1261" i="3" s="1"/>
  <c r="J1262" i="3" s="1"/>
  <c r="J1263" i="3" s="1"/>
  <c r="J1264" i="3" s="1"/>
  <c r="J1265" i="3" s="1"/>
  <c r="J1266" i="3" s="1"/>
  <c r="J1267" i="3" s="1"/>
  <c r="J1268" i="3" s="1"/>
  <c r="J1269" i="3" s="1"/>
  <c r="J1270" i="3" s="1"/>
  <c r="J1271" i="3" s="1"/>
  <c r="J1272" i="3" s="1"/>
  <c r="J1273" i="3" s="1"/>
  <c r="J1274" i="3" s="1"/>
  <c r="J1275" i="3" s="1"/>
  <c r="J1276" i="3" s="1"/>
  <c r="J1277" i="3" s="1"/>
  <c r="J1278" i="3" s="1"/>
  <c r="J1279" i="3" s="1"/>
  <c r="J1280" i="3" s="1"/>
  <c r="J1281" i="3" s="1"/>
  <c r="J1282" i="3" s="1"/>
  <c r="J1283" i="3" s="1"/>
  <c r="J1284" i="3" s="1"/>
  <c r="J1285" i="3" s="1"/>
  <c r="J1286" i="3" s="1"/>
  <c r="J1287" i="3" s="1"/>
  <c r="J1288" i="3" s="1"/>
  <c r="J1289" i="3" s="1"/>
  <c r="J1290" i="3" s="1"/>
  <c r="J1291" i="3" s="1"/>
  <c r="J1292" i="3" s="1"/>
  <c r="J1293" i="3" s="1"/>
  <c r="J1294" i="3" s="1"/>
  <c r="J1295" i="3" s="1"/>
  <c r="J1296" i="3" s="1"/>
  <c r="J1297" i="3" s="1"/>
  <c r="J1298" i="3" s="1"/>
  <c r="J1299" i="3" s="1"/>
  <c r="J1300" i="3" s="1"/>
  <c r="J1301" i="3" s="1"/>
  <c r="J1302" i="3" s="1"/>
  <c r="J1303" i="3" s="1"/>
  <c r="J1304" i="3" s="1"/>
  <c r="J1305" i="3" s="1"/>
  <c r="J1306" i="3" s="1"/>
  <c r="J1307" i="3" s="1"/>
  <c r="J1308" i="3" s="1"/>
  <c r="J1309" i="3" s="1"/>
  <c r="J1310" i="3" s="1"/>
  <c r="J1311" i="3" s="1"/>
  <c r="J1312" i="3" s="1"/>
  <c r="J1313" i="3" s="1"/>
  <c r="J1314" i="3" s="1"/>
  <c r="J1315" i="3" s="1"/>
  <c r="J1316" i="3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F28" i="4" l="1"/>
  <c r="E35" i="4" s="1"/>
  <c r="E28" i="4"/>
  <c r="E36" i="4" s="1"/>
  <c r="F20" i="4"/>
  <c r="E34" i="4" s="1"/>
  <c r="E20" i="4"/>
  <c r="E33" i="4" s="1"/>
  <c r="E346" i="5"/>
  <c r="D346" i="5"/>
  <c r="E340" i="5"/>
  <c r="D340" i="5"/>
  <c r="E36" i="5"/>
  <c r="D36" i="5"/>
  <c r="E30" i="5"/>
  <c r="D13" i="5" s="1"/>
  <c r="D30" i="5"/>
  <c r="D15" i="5" l="1"/>
  <c r="D14" i="5"/>
  <c r="D12" i="5"/>
  <c r="E37" i="4"/>
  <c r="E39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<sst xmlns="http://schemas.openxmlformats.org/spreadsheetml/2006/main" count="15620" uniqueCount="1754">
  <si>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</si>
  <si>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</si>
  <si>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</si>
  <si>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</si>
  <si>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</si>
  <si>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</si>
  <si>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</si>
  <si>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</si>
  <si>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</si>
  <si>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</si>
  <si>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</si>
  <si>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</si>
  <si>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</si>
  <si>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</si>
  <si>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</si>
  <si>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</si>
  <si>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</si>
  <si>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</si>
  <si>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</si>
  <si>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</si>
  <si>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</si>
  <si>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</si>
  <si>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</si>
  <si>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</si>
  <si>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</si>
  <si>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</si>
  <si>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</si>
  <si>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</si>
  <si>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</si>
  <si>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</si>
  <si>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</si>
  <si>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</si>
  <si>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</si>
  <si>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</si>
  <si>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</si>
  <si>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</si>
  <si>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</si>
  <si>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</si>
  <si>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</si>
  <si>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</si>
  <si>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</si>
  <si>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</si>
  <si>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</si>
  <si>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</si>
  <si>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</si>
  <si>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</si>
  <si>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</si>
  <si>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</si>
  <si>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</si>
  <si>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</si>
  <si>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</si>
  <si>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</si>
  <si>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</si>
  <si>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</si>
  <si>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</si>
  <si>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</si>
  <si>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</si>
  <si>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</si>
  <si>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</si>
  <si>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</si>
  <si>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</si>
  <si>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</si>
  <si>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</si>
  <si>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</si>
  <si>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</si>
  <si>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</si>
  <si>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</si>
  <si>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</si>
  <si>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</si>
  <si>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</si>
  <si>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</si>
  <si>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</si>
  <si>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</si>
  <si>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</si>
  <si>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</si>
  <si>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</si>
  <si>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</si>
  <si>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</si>
  <si>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</si>
  <si>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</si>
  <si>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</si>
  <si>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</si>
  <si>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</si>
  <si>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</si>
  <si>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</si>
  <si>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</si>
  <si>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</si>
  <si>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</si>
  <si>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</si>
  <si>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</si>
  <si>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</si>
  <si>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</si>
  <si>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</si>
  <si>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</si>
  <si>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</si>
  <si>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</si>
  <si>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</si>
  <si>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</si>
  <si>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</si>
  <si>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</si>
  <si>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</si>
  <si>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</si>
  <si>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1 - CHEQUE</t>
  </si>
  <si>
    <t>EE 10736-25 Devolución de Boleto Municipal -  Daniel Valverde - OP 3754</t>
  </si>
  <si>
    <t>EE 26528-25 Pago de Fondo Fijo Cultura - Vico Ana Carolina - OP 5555</t>
  </si>
  <si>
    <t>EE 21896-25 Devolución de Boleto Municipal - Hernan Jalef Martinez OP 5596</t>
  </si>
  <si>
    <t>EE 27616-25 Devolución de Boleto Municipal - Alexia Gisel Motos - OP 6246</t>
  </si>
  <si>
    <t>EE 31339-25 Rendición de Fondo Fijo - Tesorería - OP 6421</t>
  </si>
  <si>
    <t>EE 29169-25 Devolución de Boleto Municipal - Juan Condori - OP 6916</t>
  </si>
  <si>
    <t>5 - DEPOSITO</t>
  </si>
  <si>
    <t>EE 34538-25 Liquidaciones Acred. Bco. Supervielle SA</t>
  </si>
  <si>
    <t xml:space="preserve"> - Crédito extracto</t>
  </si>
  <si>
    <t>Ajustes No Contabilizado Detalle 295</t>
  </si>
  <si>
    <t>EE 738-26 DDJJ GANANCIAS 1Q 12/2025</t>
  </si>
  <si>
    <t>EE 670-26 DDJJ SUSS 1Q 12/2025</t>
  </si>
  <si>
    <t>TRF.DATA</t>
  </si>
  <si>
    <t xml:space="preserve">TRANS DATA               </t>
  </si>
  <si>
    <t xml:space="preserve">AKZO NOBEL ARGENTINA SA                 </t>
  </si>
  <si>
    <t xml:space="preserve">GIRE SA                                 </t>
  </si>
  <si>
    <t xml:space="preserve">SERVICIO ELECT DE PAGO SA               </t>
  </si>
  <si>
    <t xml:space="preserve">MUNICIPALIDAD DE GUAYMALLEN S           </t>
  </si>
  <si>
    <t>DEBIN</t>
  </si>
  <si>
    <t xml:space="preserve">DEBIN                    </t>
  </si>
  <si>
    <t xml:space="preserve">           </t>
  </si>
  <si>
    <t xml:space="preserve">                                        </t>
  </si>
  <si>
    <t>SER.REC.OP</t>
  </si>
  <si>
    <t xml:space="preserve">SER.REC.OP               </t>
  </si>
  <si>
    <t xml:space="preserve">GIRE S.A.                               </t>
  </si>
  <si>
    <t>TR. DE CTA</t>
  </si>
  <si>
    <t xml:space="preserve">TR. DE CTA               </t>
  </si>
  <si>
    <t>SUSCRI.FCI</t>
  </si>
  <si>
    <t xml:space="preserve">SUSCRIPCION FCI          </t>
  </si>
  <si>
    <t>COMISIONES</t>
  </si>
  <si>
    <t xml:space="preserve">COMISIONES               </t>
  </si>
  <si>
    <t>DEP.EFVO</t>
  </si>
  <si>
    <t xml:space="preserve">DEP EFVO                 </t>
  </si>
  <si>
    <t xml:space="preserve">MELINA ABRIL QUIROGA                    </t>
  </si>
  <si>
    <t>REMUNERAC</t>
  </si>
  <si>
    <t xml:space="preserve">REMUNERACIONES           </t>
  </si>
  <si>
    <t xml:space="preserve">DIEGO ROBERTO RUIZ                      </t>
  </si>
  <si>
    <t>DEBITOS</t>
  </si>
  <si>
    <t xml:space="preserve">VARIOS                   </t>
  </si>
  <si>
    <t>CO.TRF.ELE</t>
  </si>
  <si>
    <t xml:space="preserve">COM.TEF DN               </t>
  </si>
  <si>
    <t xml:space="preserve">NACION SERVICIOS S.A.                   </t>
  </si>
  <si>
    <t xml:space="preserve">HUGO CARLOS GIAMPIERI E HIJOS           </t>
  </si>
  <si>
    <t>TR. BCRA</t>
  </si>
  <si>
    <t xml:space="preserve">TR. BCRA                 </t>
  </si>
  <si>
    <t xml:space="preserve">MH TGP GOB. MENDOZA PAGO A PR           </t>
  </si>
  <si>
    <t xml:space="preserve">PEPSICO DE ARGENTINA                    </t>
  </si>
  <si>
    <t>COB.TAR.CR</t>
  </si>
  <si>
    <t xml:space="preserve"> </t>
  </si>
  <si>
    <t xml:space="preserve">COB.TARJ.CTO.            </t>
  </si>
  <si>
    <t xml:space="preserve">EDEMSA                                  </t>
  </si>
  <si>
    <t xml:space="preserve">DEPTO. GRAL. DE IRRIGACION -R           </t>
  </si>
  <si>
    <t xml:space="preserve">CASA VINICOLA RE                        </t>
  </si>
  <si>
    <t xml:space="preserve">TIA MARUCA ARGENTINA SA                 </t>
  </si>
  <si>
    <t xml:space="preserve">MASSALIN PARTICULARE                    </t>
  </si>
  <si>
    <t>TR SNP MIN</t>
  </si>
  <si>
    <t>TRANSFERENCIA S.N.P-MINOR</t>
  </si>
  <si>
    <t>D.CH 48 LD</t>
  </si>
  <si>
    <t xml:space="preserve">D.CH 48 LD               </t>
  </si>
  <si>
    <t>CJE.IN.R24</t>
  </si>
  <si>
    <t xml:space="preserve">CJE.IN.R24               </t>
  </si>
  <si>
    <t>PGO.SERV</t>
  </si>
  <si>
    <t xml:space="preserve">PGO.SERV.                </t>
  </si>
  <si>
    <t xml:space="preserve">MASTERFOODS ARGENTINA LT                </t>
  </si>
  <si>
    <t xml:space="preserve">MUNICIPALIDAD DE GUAYMALLEN             </t>
  </si>
  <si>
    <t xml:space="preserve">DIRECTV ARGENTINA SR                    </t>
  </si>
  <si>
    <t xml:space="preserve">ENTE MENDOZA TURISMO                    </t>
  </si>
  <si>
    <t>CHEQUE CJA</t>
  </si>
  <si>
    <t xml:space="preserve">CHEQUE CJA               </t>
  </si>
  <si>
    <t xml:space="preserve">PRITTY S.A.                             </t>
  </si>
  <si>
    <t>CH/RECIB48</t>
  </si>
  <si>
    <t>PAGO CHEQUE CAMARA RECIBI</t>
  </si>
  <si>
    <t xml:space="preserve">BEIERSDORF SA SN                        </t>
  </si>
  <si>
    <t xml:space="preserve">SAMSUNG ELECTRON                        </t>
  </si>
  <si>
    <t xml:space="preserve">SINTEPLAST SA                           </t>
  </si>
  <si>
    <t>C.MANT.CTA</t>
  </si>
  <si>
    <t xml:space="preserve">C/MANT CTA               </t>
  </si>
  <si>
    <t>SALDO FINAL</t>
  </si>
  <si>
    <t>Pendientes 12/2025</t>
  </si>
  <si>
    <t>Comisiones e IVA 01/2026</t>
  </si>
  <si>
    <t>InterBanking</t>
  </si>
  <si>
    <t>21 Cheq.em</t>
  </si>
  <si>
    <t>23 Trans.A</t>
  </si>
  <si>
    <t>Nro :000000012123305</t>
  </si>
  <si>
    <t xml:space="preserve">Carolina Vico                                                         </t>
  </si>
  <si>
    <t>reintegro cargo a rendir</t>
  </si>
  <si>
    <t xml:space="preserve">Transferencia del Supervielle al Macro </t>
  </si>
  <si>
    <t>COMPRA - semillas - MARTINEZ SONIA  Dic/25 fact nÂº 0007 00000021 fs64 - Finaliza OC 1323</t>
  </si>
  <si>
    <t>SERVICIO - taller formativo- ASOCIACION MENDOCINA DE ARTES ESCENICAS ASOCIACION CIVIL Dic/25 fact nÂº  0001 00001472 fs138</t>
  </si>
  <si>
    <t>SERVICIO - intervencion de lengua de sena- Carrascosa Poroyan  Federico - Dic/25 fact nÂº 0002 00000157 fs 128 - Finaliza Contrato</t>
  </si>
  <si>
    <t>SERVICIO - diseno e ilustraciones digitales -Andres Casciani - Dic/25 fact nÂº  0003 00000082 fs57 - Finaliza OC 1486</t>
  </si>
  <si>
    <t xml:space="preserve">AZCURRA KATHERINA ELIZABETH                                           </t>
  </si>
  <si>
    <t>Reintegro por subsidio</t>
  </si>
  <si>
    <t xml:space="preserve">GARCIA LUCIA BELEN                                                    </t>
  </si>
  <si>
    <t xml:space="preserve">ADMINISTRACION CENTRAL                                                </t>
  </si>
  <si>
    <t xml:space="preserve">Supervielle 2001                                                      </t>
  </si>
  <si>
    <t xml:space="preserve">Suscripcion FCI Supervielle </t>
  </si>
  <si>
    <t>Suscripcion FCI Supervielle</t>
  </si>
  <si>
    <t>PAGO de aranceles -SADAIC - Dic/25 fact nÂº 1022 00033919 fs41 - Finaliza OC 1434</t>
  </si>
  <si>
    <t>PAGO de aranceles - AADI CAPIF  - dic/25 fact nÂº 1120 00065599 fs40 - Finaliza OC 1437</t>
  </si>
  <si>
    <t>PAGO de aranceles -  ARGENTORES - dic/25 fact nÂº 0031 00000666 fs44 - Finaliza OC 1433</t>
  </si>
  <si>
    <t>SERVICIO - intervencion musical -Movimientos Independiente Mendocino de Musicos - nov/25 fact nÂº 00005 00013595 fs69 - Finaliza OP 1362</t>
  </si>
  <si>
    <t>SERVICIO - publicidad- FABRELLO PATRICIA- Nov/25 fact nÂº  0002 00000008 fs124 - Finaliza contrato</t>
  </si>
  <si>
    <t>SERVICIO - intervencion artistica - ASOCIACION CIVIL MOVIMIENTO POR LA DANZA - dic/25 fact nÂº  0003 00012881 fs 75 - Finaliza OC 1336</t>
  </si>
  <si>
    <t>SERVICIO - intervencion artistica - Asociacion Cultural Casa de los Titeres - dic/25 fact nÂº  0002 00003354 fs64 - Finaliza OC 1432</t>
  </si>
  <si>
    <t>SERVICIO -intervenciones de locucion- Nov/25 fact nÂº 0003 00000011 fs56 - Finaliza contrato</t>
  </si>
  <si>
    <t>SERVICIO - publicidad - RODOLFO MARCELO MORENO - dic/25 fact  0003 00000391 fs90 - Finaliza OC 952</t>
  </si>
  <si>
    <t>SERVICIO- taller formativo- ASOCIACION MENDOCINA DE PROFESIONALES DE LA DANZA - Nov/25 fact  0002 00018483 fs92 - Finaliza OC 1382</t>
  </si>
  <si>
    <t>SERVICIO - mantenimiento de ascensores -HUEPIL S A - Dic/25 fact  0003 00015962 fs262 - Finaliza OC 1077</t>
  </si>
  <si>
    <t>SERVICIO - formacion de operadores de hidrogruas- BEINAT MAURICIO - Nov/25 fact nÂº  0006 00000236 fs200 - Finaliza OC1357</t>
  </si>
  <si>
    <t>SERVICIO - publicidad - SURACI JUAN  - Dic/25 fact nÂº  0003 00000846 fs94 - Finaliza OC 918</t>
  </si>
  <si>
    <t>COMPRA - madicacion inyectable- PIAZZA JORGE - Dic/25 fact  0004 00021281 fs 102 - Finaliza OC 1494</t>
  </si>
  <si>
    <t>SERVICIO - intervenciones locucion - Monteagudo Paula - Dic/25 fact nÂº 0002 00000074 fs80 - Finaliza Contrato</t>
  </si>
  <si>
    <t>SERVICIO  de Locucion - BOMPREZZI MARIANELA - Dic/25 fact nÂº  0001 00000334 fs100 - Finaliza OC 910</t>
  </si>
  <si>
    <t>SERVICIO - intervencion artistica - Asociacion Civil Movimiento por la Danza - Dic/25 fact nÂº  0003 00012890 fs 164 - Finaliza OC 862</t>
  </si>
  <si>
    <t xml:space="preserve">SERVICIO - intervencion artistica- Asociacion Mendocina de Profesionales de la Danza - Dic/25 fact nÂº  0002 00018269 fs 91 - Finaliza OC 1342 </t>
  </si>
  <si>
    <t>COMPRA - lanza y mangueras - TARMACO INGENIERIA S A S - dic/25 fact nÂº  0001 00000348 fs96 - Finaliza OC 1456</t>
  </si>
  <si>
    <t xml:space="preserve">SERVICIO - publicidad -CALISAYA VICENTE - dic/25 fact nÂº 0002 00000933 fs110 - Resta OC 930 $ 64 512 00 </t>
  </si>
  <si>
    <t>SERVICIO - publicidad - GOMEZ CENTURION FERNANDO- dic/25 fact  0002 00000246 fs106 - Finaliza OC 961</t>
  </si>
  <si>
    <t>COMPRA - material de oleohidraulica - GRUPO IDF S A S - Dic/25 fact  0003 00000042 fs160 - Finaliza OC</t>
  </si>
  <si>
    <t>SERVICIO - distribucion de boletos- CORREO OFICIAL R A  S A  - Dic/25 fact  2980 00026859 fs58   2980 00026860 fs64 - Finaliza OC 901</t>
  </si>
  <si>
    <t>SERVICIO- publicidad- BAROLO EMANUEL - Dic/25 fact  0002 00000141 fs122- Finaliza OC 813</t>
  </si>
  <si>
    <t>SERVICIO - publicidad - ZOMOYAS JOSEFA - Dic/25 fact 0002 00000219 fs91 - Finaliza OC 1044</t>
  </si>
  <si>
    <t>COMPRA - insumos informaticos - BIWELL S A S  - Dic/25 fact 0001 00000015 fs 28-c2- Finaliza OC 1197</t>
  </si>
  <si>
    <t>COMPRA de aditivos hidrofugos- SIDERCHAP S A  - Dic/25 fact 0010 00157759 fs 187 - Finaliza OC 1412</t>
  </si>
  <si>
    <t>SERVICIO - seguridad - MINISTERIO DE SEGURIDAD- Dic/25 156-25 fs40 - Finaliza contrato</t>
  </si>
  <si>
    <t>SERVICIO - alq  impresoras - QUATRO SA  - Dic/25 fact  0003 00003693 fs148 - Finaliza OC 892</t>
  </si>
  <si>
    <t>COMPRA de raticida - RUTEGA SAS - Dic/25 0001 00000036 fs357 - Finaliza OC 1173</t>
  </si>
  <si>
    <t>SERVICIO - publicidad - BARROSO OSCAR - Dic/25 fact  0002 00000277 fs118 - Finaliza OC 1043</t>
  </si>
  <si>
    <t>SERVICIO de viandas - LA CRIOLLA- Dic/25 fact nÂº  0006 00000189 fs168 - Finaliza OC 1512</t>
  </si>
  <si>
    <t xml:space="preserve">Transferencia del Supervielle al Nacion 2328 </t>
  </si>
  <si>
    <t xml:space="preserve">DPTO  GRAL  IRRIGACION                                                </t>
  </si>
  <si>
    <t>PARTIDA ACREDITADA 13-01-26</t>
  </si>
  <si>
    <t xml:space="preserve">BANCO SUPERVIELLE                                                     </t>
  </si>
  <si>
    <t>REMUNERACIONES POR DINERO EN CTA-AJSUTE DIC 25</t>
  </si>
  <si>
    <t xml:space="preserve">SANTINI CARINA PAOLA                                                  </t>
  </si>
  <si>
    <t>SERVICIO - publicidad - TERRAZA HECTOR - Dic/25 fact nÂº 0001 00000065 fs101 - Finaliza OC 955</t>
  </si>
  <si>
    <t>SERVICIO - publicidad - DEMO VIEL S A  - Dic/25 fact  0002 00000275 fs109- Finaliza OC 957</t>
  </si>
  <si>
    <t>SERVICIO - publicidad - DIUMENJO BAZAN EMILIO - Dic/25 fact  0001 00000011 fs 100 - Finaliza OC 1027</t>
  </si>
  <si>
    <t>SERVICIO - publicidad - GILABERT OSCAR - Dic/25 fact  0002 00000206 fs102- Finaliza OC 977</t>
  </si>
  <si>
    <t>SERVICIO - intervencion artistica - COLUCHI FRANCO  Dic/25 fact nÂº 0002 00000129 fs 57   Finaliza OC</t>
  </si>
  <si>
    <t>COMPRA - convertidor SAP-LED- BIWELL S A S  - Dic/25 fact 0001 00000014 fs533 - Finaliza OC 1025</t>
  </si>
  <si>
    <t>SERVICIO - formacion de agentes - DIAZ YAMILA  -Oct/25 fact 0002 00000296 fs84 - Finaliza OC 1034</t>
  </si>
  <si>
    <t xml:space="preserve">SERVICIO - cursos - FUNDACION UNIVERSIDAD NACIONAL DE CUYO -Dic/25 fact  0044 00000232 fs352 - Resta OC 1060 $ 6 550 000 00  6 550 000 00   </t>
  </si>
  <si>
    <t>SUBSIDIO</t>
  </si>
  <si>
    <t>SUBSIDIOS</t>
  </si>
  <si>
    <t xml:space="preserve">SUBSIDIO </t>
  </si>
  <si>
    <t>subsidio</t>
  </si>
  <si>
    <t>SUBSSDIO</t>
  </si>
  <si>
    <t>PAGO - EDEMSA -transferencia</t>
  </si>
  <si>
    <t xml:space="preserve">Rescate FCI Supervielle </t>
  </si>
  <si>
    <t xml:space="preserve">FCI Supervielle                                                       </t>
  </si>
  <si>
    <t>RESCATE 15/01/2026</t>
  </si>
  <si>
    <t xml:space="preserve">RESCATE 15/01/2026 </t>
  </si>
  <si>
    <t>SERVICIO - publicidad - REYES PEDRO - nov/25 fact nÂº 0001 00000286 fs77 y dic/25 fact nÂº 0001 00000287 fs84- Finaliza OC 1035</t>
  </si>
  <si>
    <t>SERVICIO - publicidad - JORNADA  -  dic/25 fact 0032 00001467 fs112 - finaliza OC 974</t>
  </si>
  <si>
    <t>SERVICIO - publicidad - VELASCO RAVEAUX LAURA - NOV/25 fac  0003 00000219 fs95   dic/25  0003 00000222 fs103 - Finaliza OC981</t>
  </si>
  <si>
    <t>SERVICIO - publicidad - PALET LEONARDO - Dic/25 fact nÂº  0007 00000034 fs104 - Finaliza OC 963</t>
  </si>
  <si>
    <t>SERVICIO - publicidad - CADELLI SERGIO - dic/25 fact 0002 00000447 fs92 - Finaliza OC 953</t>
  </si>
  <si>
    <t>SERVICIO - distribucion de boletos - CORREO OFICIAL R A  S A - Jul/25 fact  2980 00025906 fs85 - Finaliza oc 1263</t>
  </si>
  <si>
    <t xml:space="preserve">SERVICIO - publicidad - GRUPO ANFER - dic/25 fac  0002 00000883 fs119 - Resta OC 1042 $ 5 500 000 00  </t>
  </si>
  <si>
    <t>SERVICIO -publicidad - PLATAFORMA DIGITAL S A  - dic/ 25 fact 0002 00002131 fs105 -finaliza OC 973</t>
  </si>
  <si>
    <t>SERVICIO - publicidad - CHACON FRANCO - DIC/25 fact 0001 00000057 fs 99- finaliza OC 985</t>
  </si>
  <si>
    <t>SERVICIO - publicidad - AIMALE MARIA  - Dic/25 fact  0002 00000710 fs 112- finaliza OC 975</t>
  </si>
  <si>
    <t>SERVICIO - publicidad - ROMERA GRACIELA - dic/25 fact  0002 00000478 fs83 - FINALIZA oc 1028</t>
  </si>
  <si>
    <t>SERVICIO - publicidad - VEGA ANA  - dic/25 fac   0003 00000741 fs93 - Fin  OC 1008</t>
  </si>
  <si>
    <t>SERVICIO - publicidad - MEDIOS ANDINOS S A - dic/25 fact  0002 00001264 fs 92 - finaliza OC 1131</t>
  </si>
  <si>
    <t>SERVICIO - publicidad - SALVADOR PABLO - dic/25 fact 0002 00000516fs92 - Finaliza OC1032</t>
  </si>
  <si>
    <t xml:space="preserve">EDEMSA                                                                </t>
  </si>
  <si>
    <t>SERVICIO - publicidad - BIGMEDIA  - dic/25 fac   0002 00002633 fs124 - Finaliza OC 1096</t>
  </si>
  <si>
    <t xml:space="preserve">SERVICIO- publicidad - LEVINSON NOEMI - dic/ 25 fac  0003 00000316 fs86 - Finaliza OC 1091 </t>
  </si>
  <si>
    <t>SERVICIO - publicidad - RADIODIFUSORA DEL CENTRO - dic/25 fac  0004 00038168 fs104 - Finaliza OC 1026</t>
  </si>
  <si>
    <t>SERVICIO - publicidad - RADIO DE CUYO - dic/25 fac  0003 00012670 fs85   0003 00012671 fs92   0003 00012668 fs101   0003 00012669 fs108 - Resta OC 879 $ 45 081 56</t>
  </si>
  <si>
    <t>SERVICIO - publicidad - METCART S  A  - dic/25 fact 0001 00000089 fs 173 -  Finaliza OC 1080</t>
  </si>
  <si>
    <t xml:space="preserve">ALQUILER  - Hostal de los Andes - LUNA CLAUDIA - dic/25 fact  0002 00000708 fs57 - resta OC 1363 $ 6 000 000 00 </t>
  </si>
  <si>
    <t>SERVICIO - publicidad - IDEALES TRASANDINOS  - dic/25 fac   0001 00000125 fs107 - Finaliza OC1082</t>
  </si>
  <si>
    <t>PAGO de certificados - remodelacion entorno Notti - GENCO SA  - oct/25 fact 0012 00001093 fs254  nov/25 fact 0012 00001101 fs345 y 0012 00001094 fs259 Ajuste Redet precio- Resta contrato $ 1 488 945 241 82</t>
  </si>
  <si>
    <t>DIF  LIQUIDACION DICIEMBRE 2025</t>
  </si>
  <si>
    <t>Rescate 15-01-26</t>
  </si>
  <si>
    <t>SERVICIO - publicidad - GALVAN JULIAN - dic/25 fact 0003 00000391 fs 97 - finaliza OC 1071</t>
  </si>
  <si>
    <t>SERVICIO - publicidad - PLATAFORMA DIGITAL S A  - Dic/25 fact  0002 00002117 fs111 - Finaliza OC1045</t>
  </si>
  <si>
    <t>SERVICIO - publicidad - MARASCO DORA  - dic/25 fact  0004 00000657 fs77 - finaliza OC1039</t>
  </si>
  <si>
    <t>SERVICIO - publicidad - INMEDIA SA - Dic/25 fact nÂº 0001 00000240 fs107 - Finaliza OC 1040</t>
  </si>
  <si>
    <t>SERVICIO - publicidad - HERNANDEZ CARLOS  - dic/25 fac  0002 00001040 fs90 - Finaliza OC 1078</t>
  </si>
  <si>
    <t>SERVICIO -publicidad -PLATAFORMA DIGITAL S A  - Dic/25 fact  0002 00002116 fs 111 - Finaliza OC 1029</t>
  </si>
  <si>
    <t>SERVICIO - publicidad - MELLIMACI CECILIA - dic/25 fac   0003 00000700 fs90 - finaliza  OC 983</t>
  </si>
  <si>
    <t>SERVICIO - publicidad - CRISTINA SUAREZ - fact  0002 00000258 fs 107 - Finaliza OP 939</t>
  </si>
  <si>
    <t>SERVICIO - publicidad - A S P I L D  - nov/25 fac   0002 00001099 fs132  dic/25 fac  0002 00001104 fs152 - finaliza OC 1022</t>
  </si>
  <si>
    <t>SERVICIO - publicidad - TEJADA VIVIANA - &gt;Dic/25 fact 0001 00000132 fs107 - Finaliza OC 931</t>
  </si>
  <si>
    <t>SERVICIO - publicidad - BASILE ROMINA  - dic/25 fac 0001 00000046 fs90 - Finaliza OC 929</t>
  </si>
  <si>
    <t>SERVICIO -publicidad - GRUPO ANFER S A - dic/25 fact 0002 00000884 fs125 - Finaliza OC986</t>
  </si>
  <si>
    <t>SERVICIO - publicidad - CALIGOLI ROBERTO - dic/25 fac  0002 00000012 fs112 - finaliza OC 982</t>
  </si>
  <si>
    <t>SERVICIO - publicidad - CARDINALI ROSARIO - dic/25 fact 0002 00000198 fs87 - Finaliza OC 998</t>
  </si>
  <si>
    <t>COMPRA - medicamentos - DROGUERIA BD S R L  - dic/25 fact 0002 00042958 fs09 - Finaliza OC1505</t>
  </si>
  <si>
    <t>PAGO - SERVICIO - FB 3 - 25033</t>
  </si>
  <si>
    <t>PAGO DE SERVICIO COOP CORRALCOP LTDA - 6 - 614494 31/12/25</t>
  </si>
  <si>
    <t>PAGO DE SERVICIO COOP RURAL DE SERVICIOS PUBLICOS FB 2 - 65602 13/01/26</t>
  </si>
  <si>
    <t>COMPRA - Compra de Flejes- DAYBREAKER dic/25  fc 0001 00000077 - finaliza oc1489</t>
  </si>
  <si>
    <t>COMPRA de luminarias - ELT ARGENTINA S A  - Dic/25 fact  0007 00000902 fs63    0007 00000903 fs 71 - Finaliza OC 1458</t>
  </si>
  <si>
    <t>SERVICIO - publicidad - TRANSPORTE STESAN - dic/25 0005 00000121 - finaliza op1130</t>
  </si>
  <si>
    <t>COMPRA de agua - DAVID OSCAR  - Dic/25 fact 0123 00008401 fs32 - Finaliza OC 1452</t>
  </si>
  <si>
    <t xml:space="preserve">ALQUILER - balneario esc de verano - MARIO ARANITI Y/O LIDIA ARANITI S H - dic/25 fc 0001 00000060 fs52 - Resta oc 1417 $ 11 219 000 00  </t>
  </si>
  <si>
    <t>PAGO - aranceles AADI CAPIF - Dic/25 fact 1120 00065653 fs103 - Finaliza OC 1208</t>
  </si>
  <si>
    <t>COMPRA - lamparas electricas - MARCOS S A - dic/25 fact 0003 00004880 fs421 - finaliza OC 1461</t>
  </si>
  <si>
    <t xml:space="preserve">SERVICIO - informes comerciales- INFOEXPERTO S A  - nov/25 fact  0002 00064428 fs125 - Resta OC 1167 $ 221 400 00  </t>
  </si>
  <si>
    <t xml:space="preserve">SERVICIO - desagote de pozos - ASAS MICUNA S A S  - Dic/25 fact 0001 00000748 fs107 - Resta OC 1188 $  741 600 00  </t>
  </si>
  <si>
    <t>SERVICIOS - taller formativo - TOSI ORNELLA - OCT/25 0001 00000073 fs40 - Finaliza OC</t>
  </si>
  <si>
    <t xml:space="preserve">COMPRA - agua para el hcd - SODA DI MARCO S R L  - dic/25 fact  0034 00039662 fs290 - Resta OC 224 $ 270 729 00  </t>
  </si>
  <si>
    <t>COMPRA - totem interactivo - INFOCUYO S A - ene/26 fc  0005 00004288 fs 581 - finaliza oc1426</t>
  </si>
  <si>
    <t>SERVICIO - tecnico de sonido - PABLO ROLDAN ORTIZ - Dic/25 fact nÂº 0002 00000122 fs49 - Finaliza OC 1407</t>
  </si>
  <si>
    <t>SERVICIO - ingenieria estructural - 3D INGENIERIA S A  - Dic/25 fact 0003 00000039 fs155 - FinalizaOC 1449</t>
  </si>
  <si>
    <t>SERVICIO - internet - SERVICARGAS MENDOZA - dic/25 fac  0004 00000041 fs514 - Finaliza OC 3</t>
  </si>
  <si>
    <t>SERVICIO - efectos especiales vendimia - FESTA S A S  - dic/25 fac  0001 00000493 fs 169 - Finaliza OC 1466</t>
  </si>
  <si>
    <t>SERVICIO -circuito cerrado de tv y streaming -GRUPO ANFER S A  - Dic/25 fact nÂº 0002 00000876 fs160 - Finaliza OC 1411</t>
  </si>
  <si>
    <t>SERVICIO - seguridad y vigilancia privada- ALTA SEGURIDAD S A  - Dic/25 fact nÂº  0003 00001598 fs229 - Finaliza OC 1435</t>
  </si>
  <si>
    <t>PAGO - indemnizacion LUJAN HUGO - S/ Dec 4995-25</t>
  </si>
  <si>
    <t>LOCACION</t>
  </si>
  <si>
    <t>locacion de servicio</t>
  </si>
  <si>
    <t>Locacion de Servicio</t>
  </si>
  <si>
    <t xml:space="preserve">LOCACIONES DE SERVICIO </t>
  </si>
  <si>
    <t>Locacion de servicio</t>
  </si>
  <si>
    <t>locaciones de servicio</t>
  </si>
  <si>
    <t>loaciones de servicio</t>
  </si>
  <si>
    <t xml:space="preserve">Locacion de Servicio </t>
  </si>
  <si>
    <t>Locaciones de servicio</t>
  </si>
  <si>
    <t>LOCACION DE SERVICIOS</t>
  </si>
  <si>
    <t xml:space="preserve">Locacion de Servicio NroExt 324 </t>
  </si>
  <si>
    <t xml:space="preserve">Locacion de Servicio NroExt 273 </t>
  </si>
  <si>
    <t xml:space="preserve">Locacion de Servicio NroExt 325 </t>
  </si>
  <si>
    <t xml:space="preserve">Locaciï¿½on de Servicio NroExt 274 </t>
  </si>
  <si>
    <t xml:space="preserve">Locacion de Servicio NroExt 326 </t>
  </si>
  <si>
    <t xml:space="preserve">Locacion de Servicio NroExt 275 </t>
  </si>
  <si>
    <t xml:space="preserve">Locacion de Servicio NroExt 327 </t>
  </si>
  <si>
    <t xml:space="preserve">Locacion de Servicio NroExt 276 </t>
  </si>
  <si>
    <t xml:space="preserve">Locacion de Servicio NroExt 328 </t>
  </si>
  <si>
    <t xml:space="preserve">Locacion de Servicio NroExt 277 </t>
  </si>
  <si>
    <t xml:space="preserve">Locacion de Servicio NroExt 329 </t>
  </si>
  <si>
    <t xml:space="preserve">Locacion de Servicio NroExt 330 </t>
  </si>
  <si>
    <t xml:space="preserve">Locacion de Servicio NroExt 278 </t>
  </si>
  <si>
    <t>Locacion de Servicio NroExt 331</t>
  </si>
  <si>
    <t xml:space="preserve">Locacion de Servicio NroExt 279 </t>
  </si>
  <si>
    <t xml:space="preserve">Locacion de Servicio NroExt 332 </t>
  </si>
  <si>
    <t xml:space="preserve">Locacion de Servicio NroExt 280 </t>
  </si>
  <si>
    <t xml:space="preserve">Locacion de Servicio NroExt 377 </t>
  </si>
  <si>
    <t xml:space="preserve">Locacion de Servicio NroExt 281 </t>
  </si>
  <si>
    <t xml:space="preserve">Locacion de Servicio NroExt 378 </t>
  </si>
  <si>
    <t xml:space="preserve">Locacion de Servicio NroExt 379 </t>
  </si>
  <si>
    <t xml:space="preserve">Locacion de Servicio NroExt 282 </t>
  </si>
  <si>
    <t xml:space="preserve">Locacion de Servicio NroExt 380 </t>
  </si>
  <si>
    <t>Locacion de Servicios</t>
  </si>
  <si>
    <t xml:space="preserve">Locacion de Servicio NroExt 283 </t>
  </si>
  <si>
    <t xml:space="preserve">Locacion de Servicio NroExt 381 </t>
  </si>
  <si>
    <t xml:space="preserve">Locacion de Servicio NroExt 284 </t>
  </si>
  <si>
    <t xml:space="preserve">Locacion de Servicio NroExt 285 </t>
  </si>
  <si>
    <t xml:space="preserve">Locacion de Servicio NroExt 382 </t>
  </si>
  <si>
    <t xml:space="preserve">Locacion de Servicio NroExt 286 </t>
  </si>
  <si>
    <t>Locacion de Servicio NroExt 383</t>
  </si>
  <si>
    <t>Locacion de Servicio NroExt 287</t>
  </si>
  <si>
    <t>Locacion de Servicio NroExt 384</t>
  </si>
  <si>
    <t>Locacion de Servicio NroExt 288</t>
  </si>
  <si>
    <t>Locacion de Servicio NroExt 385</t>
  </si>
  <si>
    <t xml:space="preserve">Locacion de Servicio NroExt 289 </t>
  </si>
  <si>
    <t>Locacion de Servicio NroExt 386</t>
  </si>
  <si>
    <t xml:space="preserve">Locacion de Servicio NroExt 387 </t>
  </si>
  <si>
    <t xml:space="preserve">Locacion de Servicio NroExt 290 </t>
  </si>
  <si>
    <t>Locacion de Servicio NroExt 388</t>
  </si>
  <si>
    <t xml:space="preserve">Locacion de Servicio NroExt 291 </t>
  </si>
  <si>
    <t>Locacion de Servicio NroExt 389</t>
  </si>
  <si>
    <t>Locacion de servicios</t>
  </si>
  <si>
    <t>Locacion de Servicio NroExt 390</t>
  </si>
  <si>
    <t xml:space="preserve">Locacion de Servicios NroExt 292 </t>
  </si>
  <si>
    <t>Locacion de Servicio NroExt 391</t>
  </si>
  <si>
    <t>Locacion de servicios NroExt 293</t>
  </si>
  <si>
    <t>Locacion de Servicio NroExt 392</t>
  </si>
  <si>
    <t>Locacion de Servicio NroExt 393</t>
  </si>
  <si>
    <t xml:space="preserve">Locacion de Servicio NroExt 394 </t>
  </si>
  <si>
    <t>LOCACIONES</t>
  </si>
  <si>
    <t xml:space="preserve">Locacion de Servicio NroExt 258 </t>
  </si>
  <si>
    <t xml:space="preserve">Locacion de Servicio NroExt 307 </t>
  </si>
  <si>
    <t xml:space="preserve">Locacion de Servicio NroExt 308 </t>
  </si>
  <si>
    <t xml:space="preserve">Locacion de Servicio NroExt 259 </t>
  </si>
  <si>
    <t xml:space="preserve">Locacion de Servicio NroExt 309 </t>
  </si>
  <si>
    <t xml:space="preserve">Locacion de Servicio NroExt 260 </t>
  </si>
  <si>
    <t xml:space="preserve">Locacion de Servicio NroExt 310 </t>
  </si>
  <si>
    <t xml:space="preserve">Locacion de Servicio NroExt 311 </t>
  </si>
  <si>
    <t xml:space="preserve">Locacion de Servicio NroExt 261 </t>
  </si>
  <si>
    <t xml:space="preserve">Locacion de Servicio NroExt 312 </t>
  </si>
  <si>
    <t xml:space="preserve">Locacion de Servicio NroExt 262 </t>
  </si>
  <si>
    <t xml:space="preserve">Locacion de Servicio NroExt 313 </t>
  </si>
  <si>
    <t xml:space="preserve">Locacion de Servicio NroExt 263 </t>
  </si>
  <si>
    <t>Locacion de Servicio NroExt 314</t>
  </si>
  <si>
    <t xml:space="preserve">Locacion de Servicio NroExt 264 </t>
  </si>
  <si>
    <t>Locacion de Servicio NroExt 315</t>
  </si>
  <si>
    <t xml:space="preserve">Locacion de Servicio NroExt 265 </t>
  </si>
  <si>
    <t>Locacion de Servicio NroExt 316</t>
  </si>
  <si>
    <t xml:space="preserve">Locacion de Servicio NroExt 266 </t>
  </si>
  <si>
    <t xml:space="preserve">Locacion de Servicio NroExt 317 </t>
  </si>
  <si>
    <t xml:space="preserve">Locacion de Servicio NroExt 318 </t>
  </si>
  <si>
    <t xml:space="preserve">Locacion de Servicio NroExt 267 </t>
  </si>
  <si>
    <t xml:space="preserve">Locacion de Servicio NroExt 319 </t>
  </si>
  <si>
    <t xml:space="preserve">Locacion de Servicio NroExt 268 </t>
  </si>
  <si>
    <t xml:space="preserve">Locacion de Servicio NroExt 320 </t>
  </si>
  <si>
    <t xml:space="preserve">Locacion de Servicio NroExt 269 </t>
  </si>
  <si>
    <t>Locacion de Servicio NroExt 321</t>
  </si>
  <si>
    <t xml:space="preserve">Locacion de Servicio NroExt 270 </t>
  </si>
  <si>
    <t xml:space="preserve">Locacion de Servicio NroExt 322 </t>
  </si>
  <si>
    <t xml:space="preserve">Locacion de Servicio NroExt 271 </t>
  </si>
  <si>
    <t>Locacion de Servicio NroExt 323</t>
  </si>
  <si>
    <t xml:space="preserve">Locacion de Servicio NroExt 272 </t>
  </si>
  <si>
    <t>LOCACIONES DE SERVICIO</t>
  </si>
  <si>
    <t>Locacion de Servicio NroExt 295</t>
  </si>
  <si>
    <t>Locacion de Servicio NroExt 296</t>
  </si>
  <si>
    <t>Locacion de Servicio NroExt 297</t>
  </si>
  <si>
    <t>Locacion de Servicio NroExt 298</t>
  </si>
  <si>
    <t xml:space="preserve">Locacion de Servicio NroExt 299 </t>
  </si>
  <si>
    <t>Locacion de Servicio NroExt 300</t>
  </si>
  <si>
    <t>Locacion de Servicio NroExt 301</t>
  </si>
  <si>
    <t xml:space="preserve">Locacion de Servicio NroExt 302 </t>
  </si>
  <si>
    <t xml:space="preserve">Locacion de Servicio NroExt 254 </t>
  </si>
  <si>
    <t>Locacion de Servicio NroExt 303</t>
  </si>
  <si>
    <t xml:space="preserve">Locacion de Servicio NroExt 255 </t>
  </si>
  <si>
    <t xml:space="preserve">Locacion de Servicio NroExt 304 </t>
  </si>
  <si>
    <t xml:space="preserve">Locacion de Servicio NroExt 256 </t>
  </si>
  <si>
    <t xml:space="preserve">Locacion de Servicio NroExt 305 </t>
  </si>
  <si>
    <t xml:space="preserve">Locacion de Servicio NroExt 257 </t>
  </si>
  <si>
    <t xml:space="preserve">Locacion de Servicio NroExt 306 </t>
  </si>
  <si>
    <t xml:space="preserve">Transferencia del Macro al Supervielle </t>
  </si>
  <si>
    <t xml:space="preserve">ENTE MENDOZA TURISMO                                                  </t>
  </si>
  <si>
    <t>COPARTICIPACION PAGO FINAL 2025</t>
  </si>
  <si>
    <t xml:space="preserve">RESCATE 22-01-26 </t>
  </si>
  <si>
    <t>RESCATE 22/01/26</t>
  </si>
  <si>
    <t xml:space="preserve">SERVICIO - auditorias internas- FUNDACION UNIVERSIDAD NACIONAL DE CUYO - nov/25 fact 0020 00002362 fs76 - Resta OC 1269 $  5 145 000 00 </t>
  </si>
  <si>
    <t>SERVICIO - publicidad - PUNTO A PUNTO MENDOZA S A  - dic/25 fact  0004 00000924 fs97 -Finaliza OC 1140</t>
  </si>
  <si>
    <t>SERVICIO - publicidad - SILVESTRI MARIA  - dic/25  0002 00001432 - finaliza  oc 921</t>
  </si>
  <si>
    <t xml:space="preserve">SERVICIO - mantenimiento de sofware - R-LINK S A  - dic/25 fact  0006 00000072 fs97 - Resta OC 1304 $ 35 000 000 00  </t>
  </si>
  <si>
    <t>SERVICIO -publicidad - SOSA ROMINA - dic/25 fac   0002 00000305 fs71 - Finaliza OC 1137</t>
  </si>
  <si>
    <t>SERVICIO - publicidad -LUNA CARLA - dic /25 0002 00000344 fs 128 -finaliza oc976</t>
  </si>
  <si>
    <t>SERVICIO - publicidad - PLATAFORMA DIGITAL S A  - di/25 fact  0002 00002119 fs 80 - Finaliza OC 1146</t>
  </si>
  <si>
    <t>SERVICIO - publicidad - ZARRAGA FERNANDO - di/25 fact  0004 00000365 fs74 - Finaliza OC1128</t>
  </si>
  <si>
    <t>COMPRA - meriendas - RUTEGA SAS - Dic/25 fact 0001 00000032 fs 21 - Finaliza OC 1509</t>
  </si>
  <si>
    <t>COMPRA - meriendas - DAVID OSCAR - Dic/25 fact0123 00008332 fs14 - Fializa OC 1507</t>
  </si>
  <si>
    <t>SERVICIO - publicidad - PUBLIC ROAD SOCIEDAD ANONIMA - Dic/25 fact  0001 00000254 fs97 - Finaliza OC 1145</t>
  </si>
  <si>
    <t>SERVICIO - publicidad - QUARQ SAS - Oct/25  0001 00000387 fs161  Nov/25 0001 00000398 fs178- Finaliza Cont</t>
  </si>
  <si>
    <t>SERVICIO - publicidad- MARIA ALEJANDRA MARTIN - dic/25 fact  0002 00000839 fs65 - Finaliza OC 1136</t>
  </si>
  <si>
    <t>SERVICIO - intervencion maquilladora artistica - Fundacion el Galpon Espacio Cultural - dic/25 fact nÂº  0002 00000208 fs65  -Finaliza OC 1514</t>
  </si>
  <si>
    <t>SERVICIO - intervencion artistica - MOV IND  MENDOCINO DE MUSICOS - Dic/25 fact 0005 00013590 fs66 - Finaliza OC 1501</t>
  </si>
  <si>
    <t>COMPRA - selladores de pileta - TECNICOLOR S A  -Dic/25 fact 0003 00011062 fs 27- Finaliza OC 1393</t>
  </si>
  <si>
    <t>COMPRA de meriendas - Tecnicolor S A - Dic/25 fact nÂº 0005 00002508 fs31 - Finaliza OC 1508</t>
  </si>
  <si>
    <t>COMPRA - merchandising - PAOLA QUINTAL PUGLIOLI - fact  0001 00000062 fs10 - Finaliza OC 1386</t>
  </si>
  <si>
    <t xml:space="preserve">SERVICIO - telefonia celular - AMX ARGENTINA - dic/25 fact  1331 64006099 fs237  - Resta OC 868 $ 15 081 397 68 </t>
  </si>
  <si>
    <t>COMPRA  de libros - ASOCIACION AMIGOS DEL MUSEO DE ARTE MODERNO - Dic/25 fact 0004 00000012 fs81 - FINALIZA OC 1169</t>
  </si>
  <si>
    <t>COMPRA - MERCHANDISING - CHICON DANIELA - ene/25 fact 0001 00000006 fs15 -Finaliza OC 1385</t>
  </si>
  <si>
    <t>SERVICIO - internet HCD - AMX ARGENTINA S A  - nov/25 fact 1331 65185764 fs35   1331 65164127 fs321 y  1331 64997028 fs327 - Resta OC 215 $ 469 359 00</t>
  </si>
  <si>
    <t>COMPRA - pintura - PINTURERIA MAIPU COLOR S A S  - Dic/25 fact  0002 00004103 fs13 - Finaliza OC 1392</t>
  </si>
  <si>
    <t>ALQUILER - balneario - FUNDACION CONSTRUYENDO VIDA- Dic25 fc  0002 00018104 fs79 - Resta OC 1328 $ 5 670 000 00</t>
  </si>
  <si>
    <t xml:space="preserve">SERVICIO -seguridad para inspecciones- MINISTERIO DE SEGURIDAD - dic/25 o/s 2025 1002(3) - Resta $ 4 128 476 26  </t>
  </si>
  <si>
    <t>SERVICIO - demarcacion vial - SEYLO S A  - oct/25 fact  0004 00000523 FS 621 - Redeterminacion de precio</t>
  </si>
  <si>
    <t>SERVICIO - demarcacion vial - SEYLO S A  - oct/25 fact 0004 00000516 fs539  -Resta OC376 $ 100590 00</t>
  </si>
  <si>
    <t xml:space="preserve">SERVICIO - publicidad - DIAZ GUSTAVO -dic/25 0005 00000420 fs115- finaliza oc978 </t>
  </si>
  <si>
    <t>PAGO - aranceles - SOCIEDAD GRAL DE AUTORES  - dic/25 fact  0031 00000736 fs93 - finaliza OC 1226</t>
  </si>
  <si>
    <t xml:space="preserve">SERVICIO -  diagnosticos gestion municipal - FUNDACIAN NUESTRA MENDOZA- dic/25 fact  0003 00000155 fs91- Resta OC 1295 $  12 903 000 00 </t>
  </si>
  <si>
    <t>SERVICIO - taller formativo - DALMAU EMILIANO - Nov/25 fact  0001 00000002 fs43 - Finaliza OC 1324</t>
  </si>
  <si>
    <t>SERVICIO - publicidad- COOP  DE TRABAJO GIRAMUNDO -oct/25 fact  0001 00000115 fs84  nov/25  0001 00000112 fs76  dic/25   0001 00000113 fs96 - Finaliza OC 1189</t>
  </si>
  <si>
    <t>SERVICIO - aplicacion de politicas publicas - GALOIS SAS - ENE/26 fac  0001 00000005 fs147</t>
  </si>
  <si>
    <t>SERVICIO - publicidad - ELIAS REIN MARIA - Nov/25 fact 0001 00000040 fs 36 - Finaliza OC 36</t>
  </si>
  <si>
    <t>SERVICIO - intervencion artistica - Movimiento Independiente Mendocino de musicos - dic/25 fact nÂº 0005 00013591 fs 66 - Finaliza OC 1520</t>
  </si>
  <si>
    <t>COMPRA - Merchandising - AGUERREGARAY RAMIRO- dic/25 fact  0003 00000185 fs36 - Finaliza OC 1387</t>
  </si>
  <si>
    <t>COMPRA - Merchandising Institucional - BIWELL - ene/26 - fac   0001 00000019 fs17 - Finaliza OC1384</t>
  </si>
  <si>
    <t>COMPRA de pilas - RODRIGUEZ DANIEL - Dic/25 fact 0001 00005978 fs05-  Finaliza OC 1484</t>
  </si>
  <si>
    <t>COMPRA - materiales electricos - MIODOWKY MARCELO - Dic/25 fact 0009 00000081 fs14 - Finaliza OC 1521</t>
  </si>
  <si>
    <t>SERVICIO - publicidad - REZ MASUD MARIA - dic/25 fact  0003 00000041 fs30 - Finaliza OC 1517</t>
  </si>
  <si>
    <t>SERVICIO - publicidad - dic/25 fac 0001 00000530 - finaliza oc 584</t>
  </si>
  <si>
    <t xml:space="preserve">SERVICIO - mantenimiento y soporte de sistema INFOGOV S A  - dic/25 fact 0002 00001922 fs82 - Resta OC 1302 $ 57 870 000 00 </t>
  </si>
  <si>
    <t>BALLET</t>
  </si>
  <si>
    <t>Servicios</t>
  </si>
  <si>
    <t>SERVICIO - confeccion de pliegos - ELIZONDO JAVIER -dic/25 fact 0002 00000023 fs69 - FINALIZA CONTRATO</t>
  </si>
  <si>
    <t>Rescate FCI Supervielle</t>
  </si>
  <si>
    <t xml:space="preserve">RENTAS                                                                </t>
  </si>
  <si>
    <t>Recaudacion de sistema externo RENTAS</t>
  </si>
  <si>
    <t>reintegro de dinero de boleto de desarchivo</t>
  </si>
  <si>
    <t>Devolucion de boleto Municipal</t>
  </si>
  <si>
    <t>Pago servicio de Ecogas por debito en cuenta</t>
  </si>
  <si>
    <t xml:space="preserve">Servicio de EDEMSA pagados por debito en cuenta  </t>
  </si>
  <si>
    <t>Devolucion SEOS -JM020-JCM Amiguitos</t>
  </si>
  <si>
    <t>PAGO - pasantias 2 suple enero 2026</t>
  </si>
  <si>
    <t>PASANTIAS EDUCATIVAS</t>
  </si>
  <si>
    <t>ACREDIT  SUELDO 2Âº SUPLEM  ENERO/26</t>
  </si>
  <si>
    <t>SUPLEMENTARIA ENERO 2026 - SEOS -</t>
  </si>
  <si>
    <t>APORTE OSEP SEOS 2DA SUPLE ENERO</t>
  </si>
  <si>
    <t>SERVICIO - publicidad - EUTIMIA S  A  S  - dic/25  0002 00000029 - finaliza oc874</t>
  </si>
  <si>
    <t>SERVICIO - ambulacia - ASISMIN - dic/25 fc   00005505 00008766 - restan oc 1462 $ 2 967 793 43</t>
  </si>
  <si>
    <t xml:space="preserve">PAGO servicio telefonia TELEFONICA MOVILES ARGENTINA S A </t>
  </si>
  <si>
    <t>COMPRA - insumos informaticos - TARMACO SAS - dIC/25 fact nÂº  0001 00000340 fs53 - Fianliza OC 946</t>
  </si>
  <si>
    <t>COMPRA de arboles - SAN FRANCISCO CONSULTORES - Dic/25 fact 0003 00000062 fs28 -Finaliza OC 789</t>
  </si>
  <si>
    <t xml:space="preserve">SERVICIO - publicidad - PEREZ FERNANDO  - Dic/25 fact 0002 00000225 fs181- Finaliza OC 585 </t>
  </si>
  <si>
    <t xml:space="preserve">SERVICIO - publicidad - NEXO S  A  - dic/25 fc  0003 00007482 - resta oc $ 5 266 591 50  </t>
  </si>
  <si>
    <t xml:space="preserve">SERVICIO - publicidad - dic/25  0011 00001991   0013 00001475   0014 00001164 y  0012 00001228- resta oc891 $ 313 154 74 </t>
  </si>
  <si>
    <t>SERVICIO - publicidad - GALVANO SANTIAGO - dic/25 fc   0002 00000347 - finaliza oc 1092</t>
  </si>
  <si>
    <t>SERVICIO - publicidad - PACHECO DANIEL  - oct/25 fc 0002 00000968   nov/25  0002 00000969  dic/25  0002 00000975 - finaliza oc 1074</t>
  </si>
  <si>
    <t>SERVICIOS de intervenciones artisticas  - ASOC  MENDOC  DE PROF DANZA-NOV/25 fc  0002 00018395 dic/25  0002 00018494 - finaliza oc 857</t>
  </si>
  <si>
    <t xml:space="preserve">PAGO SERVICIO DE EDEMSA </t>
  </si>
  <si>
    <t xml:space="preserve">PAGO - de danos - DEPOSITO JUDICIAL - </t>
  </si>
  <si>
    <t xml:space="preserve">PAGO - honorarios DEP JUDICIAL - </t>
  </si>
  <si>
    <t>DECLARACION JURADA GANANCIAS ENERO 2026</t>
  </si>
  <si>
    <t>PAGO -  GUAYMALLEN INVIERTE CON VOS  QUIROGA ABACA ROQUE - s/dec 11-2026</t>
  </si>
  <si>
    <t xml:space="preserve">PAGO - subsidio Gllen invierte en vos- CASA JUAN FEMENIA S R L -  </t>
  </si>
  <si>
    <t xml:space="preserve">PAGO - Programa â€œGuaymallen invierte con vosâ€- GIMENEZ PABLO </t>
  </si>
  <si>
    <t xml:space="preserve">SERVICIO - viandas - DIMARIA S A  - nov/25 fc 0007 00028602 - dic/25 fc  0007 00028603 - resta oc 1211 $ 14 859 108 09 </t>
  </si>
  <si>
    <t>SERVICIO - publicidad - FERNANDEZ ARIEL  - dic/25 fc 0003 00000093 - finaliza oc 873</t>
  </si>
  <si>
    <t>SERVICIO - publicidad - CORTIZ S A S - dic/25 fc 0001 00000382 - finaliza oc</t>
  </si>
  <si>
    <t>SERVICIO - -publicidad- EFE ARGENTINA SOCIEDAD ANONIMA - dic/25 fact 0010 00000878 fs134 - Finaliza OC 1122</t>
  </si>
  <si>
    <t>SERVICIO - publicidad - ALONSO LUIS - dic/25 fac 0002 00003200 - finaliza oc 928</t>
  </si>
  <si>
    <t>SERVICIO - publicidad - GONZALEZ MENDIONDO MARIA - nov/25 fact 0002 00000758 200 - dic/25 fact  0002 00000765 fs 217- FINALIZA OC 405</t>
  </si>
  <si>
    <t>COMPRA - asfalto en caliente- ALMARZA S A  - set/25 fact  5000 00000286 fs 490- Finaliza OC1513</t>
  </si>
  <si>
    <t>SERVICIO - intervencion artistica - ASOCIACION CIVIL MOVIMIENTO POR LA DANZA - dic/25 fc0003 00012896 - finaliza oc1529</t>
  </si>
  <si>
    <t>SERVICIO - publicidad - oct/25 fac   0002 00000061 fs80   nov/25  0002 00000061 fs68 y dic/25  0002 00000062 fs91 - Finaliza OC1072</t>
  </si>
  <si>
    <t>SERVICIO - publicidad - DEMO VIEL S A  - dic/25 fact  0002 00000276 fs87- Finaliza OC 1210</t>
  </si>
  <si>
    <t xml:space="preserve">SERVICIO de LAN to LAN - TECNET ARGENTINA S A - dic/25 fac  0007 00000124 fs266 - Resta OC 13 $ 1 765 673 43 </t>
  </si>
  <si>
    <t>SERVICIO - ambulancia - A TIEMPO S A  - dic/25 fc 0006 00000343 y redet  0006 00000344 -  0006 00000345</t>
  </si>
  <si>
    <t xml:space="preserve">PAGO - honorarios por Depos Judicial </t>
  </si>
  <si>
    <t xml:space="preserve">SERVICIO - dllo tablero de gestion de datos - 95 MERO DATA -oct/25 fac  0003 00000071 fs365   0003 00000060 fs285  0003 00000068 fs332   0003 00000065 fs 309  0003 00000066 fs315  0003 00000069 fs338 Redeterm de Precios - Resta OC 1298 $ 625 500 18 </t>
  </si>
  <si>
    <t>SERVICIO - gestion de datos- 5 MERO DATA - oct/25 fac  0003 00000070 fs 360   nov/25 0003 00000064 fs296- Resta OC 1298 $ 1 804 147 23</t>
  </si>
  <si>
    <t xml:space="preserve">PAGO indemnizacion RUVIRA GUILLERO </t>
  </si>
  <si>
    <t>PAGO de danos a la propiedad - S/Dec nÂº 4965-25</t>
  </si>
  <si>
    <t>DEVOLUCION DE BOLETO MUNICIPAL</t>
  </si>
  <si>
    <t>PAGO - programa GUAYMALLEN INVIERTE CON VOS DISTRIBUIDORA MILO SRL - s/dec 4376 - 2025</t>
  </si>
  <si>
    <t xml:space="preserve">SERVICIO - medicina laboral - ALTA SALUD - dic/25 fac   0004 00000151 fs193 - Resta OC 794 $ 64 242 000 00 </t>
  </si>
  <si>
    <t>SERVICIO - internet- B4 HOLDING SRL - set/25 fact 0001 00000020 fs46 - reconoc-gasto</t>
  </si>
  <si>
    <t>COMPRA - bolsones tipo big bag - BIWELL S A S - dic/25 0001 00000018 fs206 - finaliza oc</t>
  </si>
  <si>
    <t xml:space="preserve">SERVICIO - banquete p/ vendimia departamental - ADAMO JOEL - dic/25 fact  0001 00000111 fs15 - Resta OC 1488 $ 1 150 000 00 </t>
  </si>
  <si>
    <t xml:space="preserve">SERVICIO - internet - SERVICARGAS MENDOZA  - dic/25 fac  0004 00000042 fs301 - Resta OC 12 $ 12 071 612 91 </t>
  </si>
  <si>
    <t xml:space="preserve">SERVICIO - modulos sanitarios - ASAS MICUNA - nov/ 25 fc  0001 00000740  dic/25  0001 00000743   0001 00000747  0001 00000749  0001 00000750  0001 00000750 - </t>
  </si>
  <si>
    <t>SERVICIO - banquete - ADAMO JOEL - Oct/25 fact 0001 00000110 fs 26 - Finaliza OC 1268</t>
  </si>
  <si>
    <t>SERVICIO - comunicacion en redes - CAMPIGOTTO LUCIANA -Dic/25 fact 0001 00000031 Finaliza OC 1518</t>
  </si>
  <si>
    <t xml:space="preserve">SERVICIO- consultoria y soporte tecnico - UNIVERSIDAD DEL ACONCAGUA - dic/25 fc 0002 00000296 - resta $ 77 257 741 94  </t>
  </si>
  <si>
    <t xml:space="preserve">SERVICIO - alq impresoras - QUATRO SA  - dic/ 25 fc 0003 00003692 -  0003 00003694 - 0003 00003695 - RESTA  $ 654 201 51 </t>
  </si>
  <si>
    <t>SERVICIO - mantenimiento ascensores - ASCENSORES IMSA - oct/25  0002 00005634 y nov/25  0002 00005635</t>
  </si>
  <si>
    <t>PAGO - subsidio -Gllen inviente en vos - VAZQUEZ JARDEL MARIA</t>
  </si>
  <si>
    <t xml:space="preserve">ALQUILER DELEGACION BUENA NUEVA- NOTO SALVADOR- OCT/25 fc 0005 00000309 - finaliza cont </t>
  </si>
  <si>
    <t>COMPRA - asfalto en caliente - EMUVIAL S A  - set/25 fact 0001 00000604 fs123 - finaliza OC 1500</t>
  </si>
  <si>
    <t>PAGO CERTIFICADOS de OBRA - AYFRA S R L - dic/25 fc   0003 00000905 (base) y nov/25 0003 00000906  redet  precio</t>
  </si>
  <si>
    <t>PAGO RECUPERADORES ACTIVIDADES DE DICIEMBRE</t>
  </si>
  <si>
    <t xml:space="preserve">SERVICIO - publicidad - FERNANDEZ JORGE - dic/25 fc  0003 00000440 - resta oc 1041 $ 61 920 00 </t>
  </si>
  <si>
    <t xml:space="preserve">COMPRA- alimentos y bebidas p/ esc ver -SAUDA S R L  - ene/26 fc0022 00000142 - resta oc $ 12 947 024 20 </t>
  </si>
  <si>
    <t>SERVICIO - publicidad - RAMOS ERNESTO - dic/25 fc0003 00000237 - finaliza oc</t>
  </si>
  <si>
    <t>SERVICIO - publicidad - dic/25 fc 0001 00000752</t>
  </si>
  <si>
    <t>COMPRA - globos - FRAGUGLIA SERGIO - dic/25 fc  0004 00002700 -finaliza oc 1249</t>
  </si>
  <si>
    <t xml:space="preserve">COMPRA - insumos - TESTINI MATIAS -ene/26 fc 0001 00000008 - resta oc $ 13 180 860 00  </t>
  </si>
  <si>
    <t>SERVICIO - publicidad - SUAREZ ROBERTO - dic/25 fc - 0003 00000338 - finaliza oc 1142</t>
  </si>
  <si>
    <t>SERVICIO - publicidad - PLATAFORMA DIGITAL S A  - dic/25 fact  0002 00002121 fs92 - finaliza OC 1143</t>
  </si>
  <si>
    <t xml:space="preserve">SERVICIO - publicidad - ORTIZ JAVIER - dic/25 fc  0002 00000700 - finaliza oc 1138 </t>
  </si>
  <si>
    <t>COMPRA - meriendas - RAMON BUJ  - ene/26 fc 0009 00170825 - fin  oc</t>
  </si>
  <si>
    <t>SERVICIO - publicidad - INVERSORA CORPORATIVA - dic/25 fc0007 00003896 - finaliza oc 1133</t>
  </si>
  <si>
    <t>SERVICIO - publicidad - GRUPO COMUNICARTE  - dic/25 fc  0002 00000344 - finaliza oc</t>
  </si>
  <si>
    <t>SERVICIO - publicidad - ORTIZ JAVIER -dic/25 fc 0002 00000701 - finaliza oc 1272</t>
  </si>
  <si>
    <t>SERVICIO - publicidad- LA MOSQUITERA - dic/25 fc  0002 00000607 - finaliza oc 1036</t>
  </si>
  <si>
    <t>SERVICIO - publicidad - ZARRAGA FERNANDO  - dic/25 fc 0004 00000366 - finaliza oc 1409</t>
  </si>
  <si>
    <t>SERVICIO - publicidad - TOMAS DIEGO - dic/25 fc  0002 00000571 -finaliza oc 1406</t>
  </si>
  <si>
    <t>SERVICIO - publicidad - CASTRO BONAMICO NOELIA  - dic  0001 00000116 - finaliza op 1129</t>
  </si>
  <si>
    <t>ALQUILER DELEGACION RODEO DE LA CRUZ - AGUILERA RAUL - ene/26 fc  0005 00002034</t>
  </si>
  <si>
    <t xml:space="preserve">PAGO -depos judicial - GOMEZ GERMAN </t>
  </si>
  <si>
    <t>PAGO - honorarios x dep judicial - AGUILAR ALMA MARIA</t>
  </si>
  <si>
    <t>Suscripcion Fondo Permanente  RAF: 1053  Tipo: 25  Financ: 101  Ejer: 2026   Nro: 1</t>
  </si>
  <si>
    <t>Suscripcion Fondo Permanente  RAF: 1050  Tipo: 25  Financ: 101  Ejer: 2026   Nro: 1</t>
  </si>
  <si>
    <t>PAGO- reconocimiento - FUNDACION SUDAMERICANA</t>
  </si>
  <si>
    <t>COMPRA - lapices de grafito - QUINTEROS CARLOS - dic/25 fc  0001 00000021 - finaliza oc 1442</t>
  </si>
  <si>
    <t>SERVICIO- publicidad - MARKETING REGIONAL  - dic/25 fac  0002 00001235 - finaliza oc1125</t>
  </si>
  <si>
    <t>SERVICIO - publicidad - DIGREGORIO MARTIN  - dic/25 fact  0003 00000424 fs55 - finaliza OC 1127</t>
  </si>
  <si>
    <t>SERVICIO - publicidad - ZITRO PRODUCCIONES - dic/25 fc0002 00001693 - finaliza oc 1148</t>
  </si>
  <si>
    <t>COMPRA de herramientas - BIWELL - ene/26- fc0001 00000017 - fin  oc</t>
  </si>
  <si>
    <t xml:space="preserve">SERVICIO - disposicion final residuos biopatogenicos- TYSA - nov/25 fc 0013 00002584  dic/25  0013 00002583 - resta oc 21 $ 3 273 938 41  </t>
  </si>
  <si>
    <t>SERVICIO - publicidad - PAVESIO LUIS - nv/25  0004 00000466 - dic/25  0004 00000472 - finaliza oc</t>
  </si>
  <si>
    <t>SERVICIO- publicidad - FRECUENCIA PRODUCC  PUBLICITARIAS  - jul/25 fc 0101 00007238 - ago/25 0101 00007241 - finaliza oc 458</t>
  </si>
  <si>
    <t xml:space="preserve">COMPRA - asfalto en caliente - LUIS M  PAGLIARA  - nov/25 fac   0002 00001558 fs169 recon  de gasto    0002 00001570 fs178 Redet precio - </t>
  </si>
  <si>
    <t>ALQUILER DE INMUEBLE DE ANEXO PARA EL HCD - NOTO ROSANA- ene/26 fc 0001 00001726</t>
  </si>
  <si>
    <t xml:space="preserve">SERVICIO - sonido e iluminacion - MERINO AUDIO SISTEMAS S A S  - Dic/25 0001 00000018 fs13 - Resta OC  1052 $ 62 000 000 00  </t>
  </si>
  <si>
    <t xml:space="preserve">PAGO DE SERVICIO </t>
  </si>
  <si>
    <t xml:space="preserve">SERVICIO - viandas - DIMARIA S A  - dic/25 fc 0007 00028605 - resta oc $ 21 132 464 50 </t>
  </si>
  <si>
    <t>COMPRA - bidones de agua - BELLYS INDUSTRIAL SRL - dic/25cfc 000100009084 - resta oc $  1 770 720 00</t>
  </si>
  <si>
    <t>PAGO - alquiler - dic/ 25 fc 0002 00000010 - resta oc 1372 $ 6 000 000 00</t>
  </si>
  <si>
    <t>SERVICIO - publicidad - CARTELES CALLEJEROS S A S  - dic/25 fc  0002 00000290 - finaliza  cont</t>
  </si>
  <si>
    <t>SERVICIO -publicidad - TERRACOTA S A  - dic/25 fc  0002 00003454 - finaliza oc</t>
  </si>
  <si>
    <t xml:space="preserve">PAGO DE SERVICIO- COOP RURAL DE SERVICIOS PUBLICOS PUENTE DE HIERRO LTDA </t>
  </si>
  <si>
    <t>PAGO DE SERVICIOUNION VECINAL DE SERV PUBLICOS EL SAUCE</t>
  </si>
  <si>
    <t>PAGO - ddjj retenciones suss - dic/25</t>
  </si>
  <si>
    <t>COMPRA - manteles bordados - HERRERA CAZAR MARIA  - dic/25 fc   0001 00000111 -finaliza oc1443</t>
  </si>
  <si>
    <t xml:space="preserve">SERVICIO - pliegos para provision sist fotovoltaico - EMPRESA MENDOCINA DE ENERGIA -ene/26 fc 0003 00000032 - resta oc 1465 $ 1 331 000 00 </t>
  </si>
  <si>
    <t>PAGO ddjj ganancias dic/25</t>
  </si>
  <si>
    <t xml:space="preserve">COMPRA Y FABRICACION DE FURGON PARA EL AREA DE ZOONOSIS  </t>
  </si>
  <si>
    <t xml:space="preserve">PAGO - combustible - YPF  - dic/25 fc  2172 00110927   2172 00110928   2172 00110929 - resta $ 295 474 326 12 </t>
  </si>
  <si>
    <t xml:space="preserve">Nro. 29630--2025-1000         </t>
  </si>
  <si>
    <t xml:space="preserve">Nro. 125--2026-1000           </t>
  </si>
  <si>
    <t xml:space="preserve">Nro. 29960--2025-1000         </t>
  </si>
  <si>
    <t xml:space="preserve">Nro. 37--2026-1000            </t>
  </si>
  <si>
    <t xml:space="preserve">Nro. 38--2026-1000            </t>
  </si>
  <si>
    <t xml:space="preserve">Nro. 26940--2025-1000         </t>
  </si>
  <si>
    <t xml:space="preserve">Nro. 24046--2025-1000         </t>
  </si>
  <si>
    <t xml:space="preserve">Nro. 4929--2025-1000          </t>
  </si>
  <si>
    <t xml:space="preserve">Nro. 31596--2025-1000         </t>
  </si>
  <si>
    <t xml:space="preserve">Nro. 24310--2025-1000         </t>
  </si>
  <si>
    <t xml:space="preserve">Nro. 12046--2025-1000         </t>
  </si>
  <si>
    <t xml:space="preserve">                              </t>
  </si>
  <si>
    <t xml:space="preserve">Nro. 643--2026-1000           </t>
  </si>
  <si>
    <t xml:space="preserve">Nro. 803--2026-1000           </t>
  </si>
  <si>
    <t xml:space="preserve">Nro. 30396--2025-1000         </t>
  </si>
  <si>
    <t xml:space="preserve">Nro. 30494--2025-1000         </t>
  </si>
  <si>
    <t xml:space="preserve">Nro. 30420--2025-1000         </t>
  </si>
  <si>
    <t xml:space="preserve">Nro. 28729--2025-1000         </t>
  </si>
  <si>
    <t xml:space="preserve">Nro. 3406--2025-1000          </t>
  </si>
  <si>
    <t xml:space="preserve">Nro. 28842--2025-1000         </t>
  </si>
  <si>
    <t xml:space="preserve">Nro. 30803--2025-1000         </t>
  </si>
  <si>
    <t xml:space="preserve">Nro. 25013--2025-1000         </t>
  </si>
  <si>
    <t xml:space="preserve">Nro. 16811--2025-1000         </t>
  </si>
  <si>
    <t xml:space="preserve">Nro. 28363--2025-1000         </t>
  </si>
  <si>
    <t xml:space="preserve">Nro. 20395--2025-1000         </t>
  </si>
  <si>
    <t xml:space="preserve">Nro. 24407--2025-1000         </t>
  </si>
  <si>
    <t xml:space="preserve">Nro. 16540--2025-1000         </t>
  </si>
  <si>
    <t xml:space="preserve">Nro. 29203--2025-1000         </t>
  </si>
  <si>
    <t xml:space="preserve">Nro. 22982--2025-1000         </t>
  </si>
  <si>
    <t xml:space="preserve">Nro. 16147--2025-1000         </t>
  </si>
  <si>
    <t xml:space="preserve">Nro. 13688--2025-1000         </t>
  </si>
  <si>
    <t xml:space="preserve">Nro. 27911--2025-1000         </t>
  </si>
  <si>
    <t xml:space="preserve">Nro. 29471--2025-1000         </t>
  </si>
  <si>
    <t xml:space="preserve">Nro. 16696--2025-1000         </t>
  </si>
  <si>
    <t xml:space="preserve">Nro. 19547--2025-1000         </t>
  </si>
  <si>
    <t xml:space="preserve">Nro. 29337--2025-1000         </t>
  </si>
  <si>
    <t xml:space="preserve">Nro. 16022--2025-1000         </t>
  </si>
  <si>
    <t xml:space="preserve">Nro. 13351--2025-1000         </t>
  </si>
  <si>
    <t xml:space="preserve">Nro. 19173--2025-1000         </t>
  </si>
  <si>
    <t xml:space="preserve">Nro. 11872--2025-1000         </t>
  </si>
  <si>
    <t xml:space="preserve">Nro. 26891--2025-1000         </t>
  </si>
  <si>
    <t xml:space="preserve">Nro. 33317--2025-1000         </t>
  </si>
  <si>
    <t xml:space="preserve">Nro. 12655--2025-1000         </t>
  </si>
  <si>
    <t xml:space="preserve">Nro. 18740--2025-1000         </t>
  </si>
  <si>
    <t xml:space="preserve">Nro. 16794--2025-1000         </t>
  </si>
  <si>
    <t xml:space="preserve">Nro. 31483--2025-1000         </t>
  </si>
  <si>
    <t xml:space="preserve">Nro. 895--2026-1000           </t>
  </si>
  <si>
    <t xml:space="preserve">Nro. 14637--2025-1000         </t>
  </si>
  <si>
    <t xml:space="preserve">Nro. 16652--2025-1000         </t>
  </si>
  <si>
    <t xml:space="preserve">Nro. 18871--2025-1000         </t>
  </si>
  <si>
    <t xml:space="preserve">Nro. 19519--2025-1000         </t>
  </si>
  <si>
    <t xml:space="preserve">Nro. 19044--2025-1000         </t>
  </si>
  <si>
    <t xml:space="preserve">Nro. 27025--2025-1000         </t>
  </si>
  <si>
    <t xml:space="preserve">Nro. 11282--2025-1000         </t>
  </si>
  <si>
    <t xml:space="preserve">Nro. 16574--2025-1000         </t>
  </si>
  <si>
    <t xml:space="preserve">Nro. 14966--2025-1000         </t>
  </si>
  <si>
    <t xml:space="preserve">Nro. 34504--2025-1000         </t>
  </si>
  <si>
    <t xml:space="preserve">Nro. 874--2026-1000           </t>
  </si>
  <si>
    <t xml:space="preserve">Nro. 965--2026-1000           </t>
  </si>
  <si>
    <t xml:space="preserve">Nro. 1120--2026-1000          </t>
  </si>
  <si>
    <t xml:space="preserve">Nro. 1127--2026-1000          </t>
  </si>
  <si>
    <t xml:space="preserve">Nro. 19845--2025-1000         </t>
  </si>
  <si>
    <t xml:space="preserve">Nro. 18827--2025-1000         </t>
  </si>
  <si>
    <t xml:space="preserve">Nro. 16680--2025-1000         </t>
  </si>
  <si>
    <t xml:space="preserve">Nro. 16727--2025-1000         </t>
  </si>
  <si>
    <t xml:space="preserve">Nro. 16699--2025-1000         </t>
  </si>
  <si>
    <t xml:space="preserve">Nro. 12045--2025-1000         </t>
  </si>
  <si>
    <t xml:space="preserve">Nro. 18789--2025-1000         </t>
  </si>
  <si>
    <t xml:space="preserve">Nro. 18838--2025-1000         </t>
  </si>
  <si>
    <t xml:space="preserve">Nro. 19430--2025-1000         </t>
  </si>
  <si>
    <t xml:space="preserve">Nro. 19364--2025-1000         </t>
  </si>
  <si>
    <t xml:space="preserve">Nro. 19570--2025-1000         </t>
  </si>
  <si>
    <t xml:space="preserve">Nro. 19079--2025-1000         </t>
  </si>
  <si>
    <t xml:space="preserve">Nro. 26116--2025-1000         </t>
  </si>
  <si>
    <t xml:space="preserve">Nro. 20576--2025-1000         </t>
  </si>
  <si>
    <t xml:space="preserve">Nro. 1242--2026-1000          </t>
  </si>
  <si>
    <t xml:space="preserve">Nro. 20581--2025-1000         </t>
  </si>
  <si>
    <t xml:space="preserve">Nro. 21161--2025-1000         </t>
  </si>
  <si>
    <t xml:space="preserve">Nro. 20582--2025-1000         </t>
  </si>
  <si>
    <t xml:space="preserve">Nro. 15607--2025-1000         </t>
  </si>
  <si>
    <t xml:space="preserve">Nro. 21030--2025-1000         </t>
  </si>
  <si>
    <t xml:space="preserve">Nro. 26452--2025-1000         </t>
  </si>
  <si>
    <t xml:space="preserve">Nro. 21115--2025-1000         </t>
  </si>
  <si>
    <t xml:space="preserve">Nro. 26537--2025-1000         </t>
  </si>
  <si>
    <t xml:space="preserve">Nro. 20907--2025-1000         </t>
  </si>
  <si>
    <t xml:space="preserve">Nro. 19856--2025-1000         </t>
  </si>
  <si>
    <t xml:space="preserve">Nro. 20905--2025-1000         </t>
  </si>
  <si>
    <t xml:space="preserve">Nro. 20579--2025-1000         </t>
  </si>
  <si>
    <t xml:space="preserve">Nro. 20575--2025-1000         </t>
  </si>
  <si>
    <t xml:space="preserve">Nro. 19870--2025-1000         </t>
  </si>
  <si>
    <t xml:space="preserve">Nro. 18993--2025-1000         </t>
  </si>
  <si>
    <t xml:space="preserve">Nro. 16716--2025-1000         </t>
  </si>
  <si>
    <t xml:space="preserve">Nro. 19220--2025-1000         </t>
  </si>
  <si>
    <t xml:space="preserve">Nro. 16613--2025-1000         </t>
  </si>
  <si>
    <t xml:space="preserve">Nro. 16531--2025-1000         </t>
  </si>
  <si>
    <t xml:space="preserve">Nro. 18882--2025-1000         </t>
  </si>
  <si>
    <t xml:space="preserve">Nro. 18787--2025-1000         </t>
  </si>
  <si>
    <t xml:space="preserve">Nro. 18813--2025-1000         </t>
  </si>
  <si>
    <t xml:space="preserve">Nro. 1425--2026-1000          </t>
  </si>
  <si>
    <t xml:space="preserve">Nro. 34204--2025-1000         </t>
  </si>
  <si>
    <t xml:space="preserve">Nro. 1074--2025-1000          </t>
  </si>
  <si>
    <t xml:space="preserve">Nro. 1074--2026-1000          </t>
  </si>
  <si>
    <t xml:space="preserve">Nro. 30591--2025-1000         </t>
  </si>
  <si>
    <t xml:space="preserve">Nro. 30856--2025-1000         </t>
  </si>
  <si>
    <t xml:space="preserve">Nro. 26819--2025-1000         </t>
  </si>
  <si>
    <t xml:space="preserve">Nro. 31321--2025-1000         </t>
  </si>
  <si>
    <t xml:space="preserve">Nro. 29062--2025-1000         </t>
  </si>
  <si>
    <t xml:space="preserve">Nro. 23887--2025-1000         </t>
  </si>
  <si>
    <t xml:space="preserve">Nro. 22132--2025-1000         </t>
  </si>
  <si>
    <t xml:space="preserve">Nro. 20436--2025-1000         </t>
  </si>
  <si>
    <t xml:space="preserve">Nro. 21636--2025-1000         </t>
  </si>
  <si>
    <t xml:space="preserve">Nro. 25026--2025-1000         </t>
  </si>
  <si>
    <t xml:space="preserve">Nro. 10004--2025-1000         </t>
  </si>
  <si>
    <t xml:space="preserve">Nro. 25619--2025-1000         </t>
  </si>
  <si>
    <t xml:space="preserve">Nro. 29747--2025-1000         </t>
  </si>
  <si>
    <t xml:space="preserve">Nro. 30173--2025-1000         </t>
  </si>
  <si>
    <t xml:space="preserve">Nro. 7643--2025-1000          </t>
  </si>
  <si>
    <t xml:space="preserve">Nro. 30227--2025-1000         </t>
  </si>
  <si>
    <t xml:space="preserve">Nro. 29491--2025-1000         </t>
  </si>
  <si>
    <t xml:space="preserve">Nro. 30228--2025-1000         </t>
  </si>
  <si>
    <t xml:space="preserve">Nro. 30876--2025-1000         </t>
  </si>
  <si>
    <t xml:space="preserve">Nro. 168--2026-1000           </t>
  </si>
  <si>
    <t xml:space="preserve">Nro. 1561--2026-1000          </t>
  </si>
  <si>
    <t xml:space="preserve">Nro. 1496--2026-1000          </t>
  </si>
  <si>
    <t xml:space="preserve">Nro. 26297--2025-1000         </t>
  </si>
  <si>
    <t xml:space="preserve">Nro. 26341--2025-1000         </t>
  </si>
  <si>
    <t xml:space="preserve">Nro. 16467--2025-1000         </t>
  </si>
  <si>
    <t xml:space="preserve">Nro. 26760--2025-1000         </t>
  </si>
  <si>
    <t xml:space="preserve">Nro. 26783--2025-1000         </t>
  </si>
  <si>
    <t xml:space="preserve">Nro. 19438--2025-1000         </t>
  </si>
  <si>
    <t xml:space="preserve">Nro. 25746--2025-1000         </t>
  </si>
  <si>
    <t xml:space="preserve">Nro. 26178--2025-1000         </t>
  </si>
  <si>
    <t xml:space="preserve">Nro. 34092--2025-1000         </t>
  </si>
  <si>
    <t xml:space="preserve">Nro. 34629--2025-1000         </t>
  </si>
  <si>
    <t xml:space="preserve">Nro. 20578--2025-1000         </t>
  </si>
  <si>
    <t xml:space="preserve">Nro. 5894--2025-1000          </t>
  </si>
  <si>
    <t xml:space="preserve">Nro. 26916--2025-1000         </t>
  </si>
  <si>
    <t xml:space="preserve">Nro. 32581--2025-1000         </t>
  </si>
  <si>
    <t xml:space="preserve">Nro. 31750--2025-1000         </t>
  </si>
  <si>
    <t xml:space="preserve">Nro. 33472--2025-1000         </t>
  </si>
  <si>
    <t xml:space="preserve">Nro. 33981--2025-1000         </t>
  </si>
  <si>
    <t xml:space="preserve">Nro. 346--2026-1000           </t>
  </si>
  <si>
    <t xml:space="preserve">Nro. 11513--2025-1000         </t>
  </si>
  <si>
    <t xml:space="preserve">Nro. 5422--2025-1000          </t>
  </si>
  <si>
    <t xml:space="preserve">Nro. 526--2025-1000           </t>
  </si>
  <si>
    <t xml:space="preserve">Nro. 7445--2025-1000          </t>
  </si>
  <si>
    <t xml:space="preserve">Nro. 34444--2025-1000         </t>
  </si>
  <si>
    <t xml:space="preserve">Nro. 26403--2025-1000         </t>
  </si>
  <si>
    <t xml:space="preserve">Nro. 5315--2025-1000          </t>
  </si>
  <si>
    <t xml:space="preserve">Nro. 7521--2025-1000          </t>
  </si>
  <si>
    <t xml:space="preserve">Nro. 19449--2025-1000         </t>
  </si>
  <si>
    <t xml:space="preserve">Nro. 23897--2025-1000         </t>
  </si>
  <si>
    <t xml:space="preserve">Nro. 26809--2025-1000         </t>
  </si>
  <si>
    <t xml:space="preserve">Nro. 27426--2025-1000         </t>
  </si>
  <si>
    <t xml:space="preserve">Nro. 24399--2025-1000         </t>
  </si>
  <si>
    <t xml:space="preserve">Nro. 24468--2025-1000         </t>
  </si>
  <si>
    <t xml:space="preserve">Nro. 29809--2025-1000         </t>
  </si>
  <si>
    <t xml:space="preserve">Nro. 31807--2025-1000         </t>
  </si>
  <si>
    <t xml:space="preserve">Nro. 34211--2025-1000         </t>
  </si>
  <si>
    <t xml:space="preserve">Nro. 34520--2025-1000         </t>
  </si>
  <si>
    <t xml:space="preserve">Nro. 34168--2025-1000         </t>
  </si>
  <si>
    <t xml:space="preserve">Nro. 7--2026-1000             </t>
  </si>
  <si>
    <t xml:space="preserve">Nro. 33938--2025-1000         </t>
  </si>
  <si>
    <t xml:space="preserve">Nro. 5075--2025-1000          </t>
  </si>
  <si>
    <t xml:space="preserve">Nro. 26933--2025-1000         </t>
  </si>
  <si>
    <t xml:space="preserve">Nro. 12265--2025-1000         </t>
  </si>
  <si>
    <t xml:space="preserve">Nro. 30409--2025-1000         </t>
  </si>
  <si>
    <t xml:space="preserve">Nro. 1663--2026-1000          </t>
  </si>
  <si>
    <t xml:space="preserve">Nro. 1661--2026-1000          </t>
  </si>
  <si>
    <t xml:space="preserve">Nro. 1747--2026-1000          </t>
  </si>
  <si>
    <t xml:space="preserve">Nro. 31949--2025-1000         </t>
  </si>
  <si>
    <t xml:space="preserve">Nro. 32798--2026-1000         </t>
  </si>
  <si>
    <t xml:space="preserve">Nro. 936--2026-1000           </t>
  </si>
  <si>
    <t xml:space="preserve">Nro. 32945--2025-1000         </t>
  </si>
  <si>
    <t xml:space="preserve">Nro. 682--2026-1000           </t>
  </si>
  <si>
    <t xml:space="preserve">Nro. 684--2026-1000           </t>
  </si>
  <si>
    <t xml:space="preserve">Nro. 685--2026-1000           </t>
  </si>
  <si>
    <t xml:space="preserve">Nro. 15143--2025-1000         </t>
  </si>
  <si>
    <t xml:space="preserve">Nro. 15574--2025-1000         </t>
  </si>
  <si>
    <t xml:space="preserve">Nro. 1198--2026-1000          </t>
  </si>
  <si>
    <t xml:space="preserve">Nro. 28174--2025-1000         </t>
  </si>
  <si>
    <t xml:space="preserve">Nro. 34392--2025-1000         </t>
  </si>
  <si>
    <t xml:space="preserve">Nro. 5450--2025-1000          </t>
  </si>
  <si>
    <t xml:space="preserve">Nro. 15636--2025-1000         </t>
  </si>
  <si>
    <t xml:space="preserve">Nro. 15608--2025-1000         </t>
  </si>
  <si>
    <t xml:space="preserve">Nro. 21488--2025-1000         </t>
  </si>
  <si>
    <t xml:space="preserve">Nro. 20910--2025-1000         </t>
  </si>
  <si>
    <t xml:space="preserve">Nro. 13684--2025-1000         </t>
  </si>
  <si>
    <t xml:space="preserve">Nro. 1401--2026-1000          </t>
  </si>
  <si>
    <t xml:space="preserve">Nro. 5494--2025-1000          </t>
  </si>
  <si>
    <t xml:space="preserve">Nro. 21512--2025-1000         </t>
  </si>
  <si>
    <t xml:space="preserve">Nro. 27186--2025-1000         </t>
  </si>
  <si>
    <t xml:space="preserve">Nro. 28704--2025-1000         </t>
  </si>
  <si>
    <t xml:space="preserve">Nro. 27226--2025-1000         </t>
  </si>
  <si>
    <t xml:space="preserve">Nro. 18736--2025-1000         </t>
  </si>
  <si>
    <t xml:space="preserve">Nro. 14591--2025-1000         </t>
  </si>
  <si>
    <t xml:space="preserve">Nro. 20641--2025-1000         </t>
  </si>
  <si>
    <t xml:space="preserve">Nro. 25759--2025-1000         </t>
  </si>
  <si>
    <t xml:space="preserve">Nro. 16461--2025-1000         </t>
  </si>
  <si>
    <t xml:space="preserve">Nro. 5462--2025-1000          </t>
  </si>
  <si>
    <t xml:space="preserve">Nro. 8859--2025-1000          </t>
  </si>
  <si>
    <t xml:space="preserve">Nro. 33119--2025-1000         </t>
  </si>
  <si>
    <t xml:space="preserve">Nro. 20909--2025-1000         </t>
  </si>
  <si>
    <t xml:space="preserve">Nro. 24592--2025-1000         </t>
  </si>
  <si>
    <t xml:space="preserve">Nro. 5401--2025-1000          </t>
  </si>
  <si>
    <t xml:space="preserve">Nro. 6029--2025-1000          </t>
  </si>
  <si>
    <t xml:space="preserve">Nro. 9883--2025-1000          </t>
  </si>
  <si>
    <t xml:space="preserve">Nro. 5978--2025-1000          </t>
  </si>
  <si>
    <t xml:space="preserve">Nro. 18817--2025-1000         </t>
  </si>
  <si>
    <t xml:space="preserve">Nro. 24058--2025-1000         </t>
  </si>
  <si>
    <t xml:space="preserve">Nro. 30825--2025-1000         </t>
  </si>
  <si>
    <t xml:space="preserve">Nro. 26465--2025-1000         </t>
  </si>
  <si>
    <t xml:space="preserve">Nro. 32319--2025-1000         </t>
  </si>
  <si>
    <t xml:space="preserve">Nro. 26627--2025-1000         </t>
  </si>
  <si>
    <t xml:space="preserve">Nro. 26665--2025-1000         </t>
  </si>
  <si>
    <t xml:space="preserve">Nro. 27909--2025-1000         </t>
  </si>
  <si>
    <t xml:space="preserve">Nro. 1892--2026-1000          </t>
  </si>
  <si>
    <t xml:space="preserve">Nro. 22111--2025-1000         </t>
  </si>
  <si>
    <t xml:space="preserve">Nro. 27821--2025-1000         </t>
  </si>
  <si>
    <t xml:space="preserve">Nro. 30343--2025-1000         </t>
  </si>
  <si>
    <t xml:space="preserve">Nro. 34663--2025-1000         </t>
  </si>
  <si>
    <t xml:space="preserve">Nro. 5409--2025-1000          </t>
  </si>
  <si>
    <t xml:space="preserve">Nro. 20244--2025-1000         </t>
  </si>
  <si>
    <t xml:space="preserve">Nro. 34757--2025-1000         </t>
  </si>
  <si>
    <t xml:space="preserve">Nro. 33940--2025-1000         </t>
  </si>
  <si>
    <t xml:space="preserve">Nro. 19462--2025-1000         </t>
  </si>
  <si>
    <t xml:space="preserve">Nro. 9396--2025-1000          </t>
  </si>
  <si>
    <t xml:space="preserve">Nro. 13118--2025-1000         </t>
  </si>
  <si>
    <t xml:space="preserve">Nro. 26343--2025-1000         </t>
  </si>
  <si>
    <t xml:space="preserve">Nro. 9253--2025-1000          </t>
  </si>
  <si>
    <t xml:space="preserve">Nro. 25159--2025-1000         </t>
  </si>
  <si>
    <t xml:space="preserve">Nro. 26104--2025-1000         </t>
  </si>
  <si>
    <t xml:space="preserve">Nro. 26375--2025-1000         </t>
  </si>
  <si>
    <t xml:space="preserve">Nro. 27875--2025-1000         </t>
  </si>
  <si>
    <t xml:space="preserve">Nro. 20429--2025-1000         </t>
  </si>
  <si>
    <t xml:space="preserve">Nro. 1462--2026-1000          </t>
  </si>
  <si>
    <t xml:space="preserve">Nro. 16669--2025-1000         </t>
  </si>
  <si>
    <t xml:space="preserve">Nro. 20589--2025-1000         </t>
  </si>
  <si>
    <t xml:space="preserve">Nro. 24200--2025-1000         </t>
  </si>
  <si>
    <t xml:space="preserve">Nro. 1349--2026-1000          </t>
  </si>
  <si>
    <t xml:space="preserve">Nro. 27506--2025-1000         </t>
  </si>
  <si>
    <t xml:space="preserve">Nro. 25869--2025-1000         </t>
  </si>
  <si>
    <t xml:space="preserve">Nro. 27813--2025-1000         </t>
  </si>
  <si>
    <t xml:space="preserve">Nro. 1273--2026-1000          </t>
  </si>
  <si>
    <t xml:space="preserve">Nro. 26793--2025-1000         </t>
  </si>
  <si>
    <t xml:space="preserve">Nro. 5947--2025-1000          </t>
  </si>
  <si>
    <t xml:space="preserve">Nro. 26262--2025-1000         </t>
  </si>
  <si>
    <t xml:space="preserve">Nro. 20700--2025-1000         </t>
  </si>
  <si>
    <t xml:space="preserve">Nro. 30030--2025-1000         </t>
  </si>
  <si>
    <t xml:space="preserve">Nro. 30089--2025-1000         </t>
  </si>
  <si>
    <t xml:space="preserve">Nro. 28858--2025-1000         </t>
  </si>
  <si>
    <t xml:space="preserve">Nro. 6655--2025-1000          </t>
  </si>
  <si>
    <t xml:space="preserve">Nro. 13690--2025-1000         </t>
  </si>
  <si>
    <t xml:space="preserve">Nro. 29565--2025-1000         </t>
  </si>
  <si>
    <t xml:space="preserve">Nro. 32270--2025-1000         </t>
  </si>
  <si>
    <t xml:space="preserve">Nro. 34531--2025-1000         </t>
  </si>
  <si>
    <t xml:space="preserve">Nro. 18708--2025-1000         </t>
  </si>
  <si>
    <t xml:space="preserve">Nro. 29714--2025-1000         </t>
  </si>
  <si>
    <t xml:space="preserve">Nro. 29548--2025-1000         </t>
  </si>
  <si>
    <t xml:space="preserve">Nro. 28172--2025-1000         </t>
  </si>
  <si>
    <t xml:space="preserve">Nro. 31106--2025-1000         </t>
  </si>
  <si>
    <t xml:space="preserve">Nro. 448--2026-1000           </t>
  </si>
  <si>
    <t xml:space="preserve">Nro. 5104--2025-1000          </t>
  </si>
  <si>
    <t xml:space="preserve">Nro. 5228--2025-1000          </t>
  </si>
  <si>
    <t xml:space="preserve">Nro. 5873--2025-1000          </t>
  </si>
  <si>
    <t xml:space="preserve">Nro. 30855--2025-1000         </t>
  </si>
  <si>
    <t xml:space="preserve">Nro. 13709--2025-1000         </t>
  </si>
  <si>
    <t xml:space="preserve">Nro. 34466--2025-1000         </t>
  </si>
  <si>
    <t xml:space="preserve">Nro. 31140--2025-1000         </t>
  </si>
  <si>
    <t xml:space="preserve">Nro. 6967--2025-1000          </t>
  </si>
  <si>
    <t xml:space="preserve">Nro. 28723--2025-1000         </t>
  </si>
  <si>
    <t xml:space="preserve">Nro. 14946--2025-1000         </t>
  </si>
  <si>
    <t xml:space="preserve">Nro. 27876--2025-1000         </t>
  </si>
  <si>
    <t xml:space="preserve">Nro. 1450--2026-1000          </t>
  </si>
  <si>
    <t xml:space="preserve">Nro. 29656--2025-1000         </t>
  </si>
  <si>
    <t xml:space="preserve">Nro. 29512--2025-1000         </t>
  </si>
  <si>
    <t xml:space="preserve">Nro. 20181--2025-1000         </t>
  </si>
  <si>
    <t xml:space="preserve">Nro. 5773--2025-1000          </t>
  </si>
  <si>
    <t>Anulado</t>
  </si>
  <si>
    <t>Definitivo</t>
  </si>
  <si>
    <t>6 Transf.</t>
  </si>
  <si>
    <t>8 Recauda</t>
  </si>
  <si>
    <t xml:space="preserve">2925-CARUSO DAIANA ELIZABETH                                       </t>
  </si>
  <si>
    <t xml:space="preserve">1553-MARTINEZ SONIA ELENA                                          </t>
  </si>
  <si>
    <t xml:space="preserve">18-ASOCIACION MENDOCINA DE ARTES ESCENICAS ASOCIACION CIVIL      </t>
  </si>
  <si>
    <t xml:space="preserve">934-CARRASCOSA POROYAN FEDERICO MARTIN                            </t>
  </si>
  <si>
    <t xml:space="preserve">672-CASCIANI ANDRES                                               </t>
  </si>
  <si>
    <t xml:space="preserve">2809-SADAIC                                                        </t>
  </si>
  <si>
    <t xml:space="preserve">2054-AADI CAPIF                                                    </t>
  </si>
  <si>
    <t xml:space="preserve">2022-Sociedad Gral de Autores de la Argentina                      </t>
  </si>
  <si>
    <t xml:space="preserve">31-MOV IND  MENDOCINO DE MUSICOS Y HACEDORES AFINES ASOC CIVIL   </t>
  </si>
  <si>
    <t xml:space="preserve">1734-FABRELLO PATRICIA ALEJANDRA                                   </t>
  </si>
  <si>
    <t xml:space="preserve">20-ASOCIACION CIVIL MOVIMIENTO POR LA DANZA                      </t>
  </si>
  <si>
    <t xml:space="preserve">2453-Asociacion Cultural Casa de Los Titeres                       </t>
  </si>
  <si>
    <t xml:space="preserve">429-MARIO ALEJANDRO ALVAREZ                                       </t>
  </si>
  <si>
    <t xml:space="preserve">390-RODOLFO MARCELO MORENO                                        </t>
  </si>
  <si>
    <t xml:space="preserve">19-ASOCIACION MENDOCINA DE PROFESIONALES DE LA DANZA             </t>
  </si>
  <si>
    <t xml:space="preserve">2390-HUEPIL S A                                                    </t>
  </si>
  <si>
    <t xml:space="preserve">571-BEINAT MAURICIO EDUARDO                                       </t>
  </si>
  <si>
    <t xml:space="preserve">7-SURACI JUAN ESTEBAN                                           </t>
  </si>
  <si>
    <t xml:space="preserve">101-PIAZZA JORGE EDUARDO                                          </t>
  </si>
  <si>
    <t xml:space="preserve">1651-MONTEAGUDO PAULA SOLEDAD                                      </t>
  </si>
  <si>
    <t xml:space="preserve">1760-BOMPREZZI MARIANELA                                           </t>
  </si>
  <si>
    <t xml:space="preserve">55-TARMACO INGENIERIA S A S                                      </t>
  </si>
  <si>
    <t xml:space="preserve">291-CALISAYA VICENTE                                              </t>
  </si>
  <si>
    <t xml:space="preserve">42-GOMEZ CENTURION FERNANDO JOAQUIN                              </t>
  </si>
  <si>
    <t xml:space="preserve">2730-GRUPO IDF S A S                                               </t>
  </si>
  <si>
    <t xml:space="preserve">2299-CORREO OFICIAL R A  S A                                       </t>
  </si>
  <si>
    <t xml:space="preserve">752-BAROLO EMANUEL ORLANDO                                        </t>
  </si>
  <si>
    <t xml:space="preserve">33-ZOMOYAS JOSEFA LUISA                                          </t>
  </si>
  <si>
    <t xml:space="preserve">2752-BIWELL S A S                                                  </t>
  </si>
  <si>
    <t xml:space="preserve">2589-SIDERCHAP S A                                                 </t>
  </si>
  <si>
    <t xml:space="preserve">57-MINISTERIO DE SEGURIDAD                                       </t>
  </si>
  <si>
    <t xml:space="preserve">4-BARROSO OSCAR ALBERTO                                         </t>
  </si>
  <si>
    <t xml:space="preserve">991-COLUCHI FRANCO MARCIO RUBEN                                   </t>
  </si>
  <si>
    <t xml:space="preserve">2328-QUATRO SA                                                     </t>
  </si>
  <si>
    <t xml:space="preserve">2704-RUTEGA SAS                                                    </t>
  </si>
  <si>
    <t xml:space="preserve">2667-LA CRIOLLA S A S                                              </t>
  </si>
  <si>
    <t xml:space="preserve">2730-GRUPO IDF SAS                                                 </t>
  </si>
  <si>
    <t xml:space="preserve">283-TERRAZA HECTOR VICENTE                                      </t>
  </si>
  <si>
    <t xml:space="preserve">50-DEMO VIEL S A                                                 </t>
  </si>
  <si>
    <t xml:space="preserve">728-DIUMENJO BAZAN EMILIO EDUARDO                                 </t>
  </si>
  <si>
    <t xml:space="preserve">198-GILABERT OSCAR E                                              </t>
  </si>
  <si>
    <t xml:space="preserve">1694-DIAZ YAMILA GISEL                                             </t>
  </si>
  <si>
    <t xml:space="preserve">2105-Fundacion Universidad Nacional de Cuyo                        </t>
  </si>
  <si>
    <t xml:space="preserve">2981-MOYANO LEONARDO RUFINO                                        </t>
  </si>
  <si>
    <t xml:space="preserve">2980-BUSTOS CAMILA MILAGROS                                        </t>
  </si>
  <si>
    <t xml:space="preserve">2934-ELENA EDITH CORREA                                            </t>
  </si>
  <si>
    <t xml:space="preserve">2935-VIGO MARIANELA FRANCISCA                                      </t>
  </si>
  <si>
    <t xml:space="preserve">2936-ABALLAY DIEGO ALBERTO                                         </t>
  </si>
  <si>
    <t xml:space="preserve">2937-ESPEJO CARLOS DANIEL                                          </t>
  </si>
  <si>
    <t xml:space="preserve">2938-GOMEZ ARTURO ENRIQUE                                          </t>
  </si>
  <si>
    <t xml:space="preserve">3031-CATALDO DIEGO ARMANDO                                         </t>
  </si>
  <si>
    <t xml:space="preserve">2982-TOLEDANO HERMELINDA MARIBEL                                   </t>
  </si>
  <si>
    <t xml:space="preserve">2983-VIGO ROBERTO ISMAEL                                           </t>
  </si>
  <si>
    <t xml:space="preserve">3030-ROMERO CARLOS JESUS                                           </t>
  </si>
  <si>
    <t xml:space="preserve">2984-FARINA SERGIO DAVID                                           </t>
  </si>
  <si>
    <t xml:space="preserve">2939-ESTELA CARMEN ALEJANDRA                                       </t>
  </si>
  <si>
    <t xml:space="preserve">2940-ROSALES LUCIO DARIO                                           </t>
  </si>
  <si>
    <t xml:space="preserve">2941-LUNA ALEXANDRA MACARENA                                       </t>
  </si>
  <si>
    <t xml:space="preserve">3029-CABRERA CLAUDIO MARCELO                                       </t>
  </si>
  <si>
    <t xml:space="preserve">2942-ROSALES MARIANO ANDRES                                        </t>
  </si>
  <si>
    <t xml:space="preserve">2943-CARMONA GASTON ALBERTO                                        </t>
  </si>
  <si>
    <t xml:space="preserve">2985-ROSALES TAMARA BEATRIZ                                        </t>
  </si>
  <si>
    <t xml:space="preserve">3028-VERON MARCELO EMMANUEL                                        </t>
  </si>
  <si>
    <t xml:space="preserve">2986-CORREA CARLA ROCIO ELIZABETH                                  </t>
  </si>
  <si>
    <t xml:space="preserve">3023-PEREZ GONZALO ALEXIS                                          </t>
  </si>
  <si>
    <t xml:space="preserve">2987-ROSALES ANTONELLA DAMARIS                                     </t>
  </si>
  <si>
    <t xml:space="preserve">3027-PEREZ EMANUEL EXEQUIEL                                        </t>
  </si>
  <si>
    <t xml:space="preserve">2944-BUZON BUSTOS FRANCO DAVID                                     </t>
  </si>
  <si>
    <t xml:space="preserve">2945-BUZON BUSTOS KEVIN BRANDON                                    </t>
  </si>
  <si>
    <t xml:space="preserve">2988-PONCE SONIA CRISTINA                                          </t>
  </si>
  <si>
    <t xml:space="preserve">2947-QUIROGA VICTOR HUGO                                           </t>
  </si>
  <si>
    <t xml:space="preserve">2948-QUIROGA NERI VICTORIA                                         </t>
  </si>
  <si>
    <t xml:space="preserve">2989-SEPULVEDA SABRINA MILAGROS                                    </t>
  </si>
  <si>
    <t xml:space="preserve">2946-PEREZ JOSE LUIS                                               </t>
  </si>
  <si>
    <t xml:space="preserve">3026-OLGUIN CAROLINA LORENA                                        </t>
  </si>
  <si>
    <t xml:space="preserve">2990-CORREA SARA JENNIFER NAHIR                                    </t>
  </si>
  <si>
    <t xml:space="preserve">3025-VERON ADOLFO RUBEN                                            </t>
  </si>
  <si>
    <t xml:space="preserve">2991-FERNANDEZ JOSE ALBERTO                                        </t>
  </si>
  <si>
    <t xml:space="preserve">2949-LARA LEIZA BELEN                                              </t>
  </si>
  <si>
    <t xml:space="preserve">2950-QUIROGA ROBERTO JONATHAN                                      </t>
  </si>
  <si>
    <t xml:space="preserve">2992-ROSALES LAURA BEATRIZ                                         </t>
  </si>
  <si>
    <t xml:space="preserve">2951-DIAZ SEBASTIAN ARCENIO                                        </t>
  </si>
  <si>
    <t xml:space="preserve">3024-PEREZ CRISTIAN SAMUEL                                         </t>
  </si>
  <si>
    <t xml:space="preserve">2952-VEGA GIMENA JENNIFER                                          </t>
  </si>
  <si>
    <t xml:space="preserve">2953-ESTELA ADRIANA ESTER                                          </t>
  </si>
  <si>
    <t xml:space="preserve">2993-FERNANDEZ JUAN OSCAR                                          </t>
  </si>
  <si>
    <t xml:space="preserve">3022-CORREA MARIA LAURA                                            </t>
  </si>
  <si>
    <t xml:space="preserve">2995-CASTILLO MIRTA DEL ROSARIO                                    </t>
  </si>
  <si>
    <t xml:space="preserve">3015-QUIROGA CAROLINA NATALIA                                      </t>
  </si>
  <si>
    <t xml:space="preserve">2996-NEGUELOVA DELICIA PATRICIA                                    </t>
  </si>
  <si>
    <t xml:space="preserve">2954-MORALES JUAN CARLOS                                           </t>
  </si>
  <si>
    <t xml:space="preserve">2955-VIGO LOURDES MACARENA                                         </t>
  </si>
  <si>
    <t xml:space="preserve">2956-DIAZ ROSA ISABEL                                              </t>
  </si>
  <si>
    <t xml:space="preserve">3021-PEREZ NESTOR FABIAN                                           </t>
  </si>
  <si>
    <t xml:space="preserve">2957-CATALDO JUAN MARCELO                                          </t>
  </si>
  <si>
    <t xml:space="preserve">2958-CORNEJO CECILIA LUVINA JESUS                                  </t>
  </si>
  <si>
    <t xml:space="preserve">2999-RAJOY MAYRA LOURDES                                           </t>
  </si>
  <si>
    <t xml:space="preserve">3020-ROLDAN JUANA ROSA                                             </t>
  </si>
  <si>
    <t xml:space="preserve">3000-NEGELOVA JESUS ALBERTO                                        </t>
  </si>
  <si>
    <t xml:space="preserve">3014-VIGO WANDA AYLEN                                              </t>
  </si>
  <si>
    <t xml:space="preserve">2959-CORNEJO CAMILA LUVINA JESUS                                   </t>
  </si>
  <si>
    <t xml:space="preserve">3001-MENDEZ VICTORIA ANGELICA                                      </t>
  </si>
  <si>
    <t xml:space="preserve">2960-ORTIZ NELIDA ISABEL                                           </t>
  </si>
  <si>
    <t xml:space="preserve">2961-FORCONI TERESITA LUISA                                        </t>
  </si>
  <si>
    <t xml:space="preserve">3019-QUIROGA MARIA DE LOS ANGELES                                  </t>
  </si>
  <si>
    <t xml:space="preserve">2962-OLMOS SARA ALESSANDRA                                         </t>
  </si>
  <si>
    <t xml:space="preserve">2963-SEPULVEDA CARINA GIULIANA                                     </t>
  </si>
  <si>
    <t xml:space="preserve">3013-PEREZ BRIAN AGUSTIN                                           </t>
  </si>
  <si>
    <t xml:space="preserve">3002-GOMEZ JONATHAN FABIAN                                         </t>
  </si>
  <si>
    <t xml:space="preserve">3018-DIAZ BERNARDEU MAYRA ALEJANDRA                                </t>
  </si>
  <si>
    <t xml:space="preserve">3003-JOFRE HECTOR FELIPE                                           </t>
  </si>
  <si>
    <t xml:space="preserve">3012-CASTRO MILAGROS MARIA                                         </t>
  </si>
  <si>
    <t xml:space="preserve">3004-GOMEZ OROZCO MAURICIO VALENTIN                                </t>
  </si>
  <si>
    <t xml:space="preserve">3017-VERON GASTON DAVID                                            </t>
  </si>
  <si>
    <t xml:space="preserve">3006-CORREA JOSE HERIBERTO                                         </t>
  </si>
  <si>
    <t xml:space="preserve">3007-LUNA VEGA BRIAN EXEQUIEL                                      </t>
  </si>
  <si>
    <t xml:space="preserve">2968-CHIAFITELLI CLAUDIA ELISA                                     </t>
  </si>
  <si>
    <t xml:space="preserve">2967-VEGA ALBA MARILINA                                            </t>
  </si>
  <si>
    <t xml:space="preserve">3008-LUCERO CARLA ABRIL                                            </t>
  </si>
  <si>
    <t xml:space="preserve">2966-LUNA VEGA BRISA MICAELA                                       </t>
  </si>
  <si>
    <t xml:space="preserve">2965-VEGA NATALIA VERONICA                                         </t>
  </si>
  <si>
    <t xml:space="preserve">2964-PERES ROBERTO AXEL                                            </t>
  </si>
  <si>
    <t xml:space="preserve">3009-LUCERO MATIAS MAXIMILIANO NICOLAS                             </t>
  </si>
  <si>
    <t xml:space="preserve">3010-BUSTOS NIETO NATASHA AILEN                                    </t>
  </si>
  <si>
    <t xml:space="preserve">3011-CASTILLO ROMINA MICAELA AILEN                                 </t>
  </si>
  <si>
    <t xml:space="preserve">2973-HERRERA SEBASTIAN IGNACIO                                     </t>
  </si>
  <si>
    <t xml:space="preserve">3016-QUIROGA DANTE NAHUEL                                          </t>
  </si>
  <si>
    <t xml:space="preserve">2972-VILLEGAS MARIELA ELIZABETH                                    </t>
  </si>
  <si>
    <t xml:space="preserve">3005-ROSALES OSCAR JAVIER                                          </t>
  </si>
  <si>
    <t xml:space="preserve">2971-LUNA VEGA ROBERTO AXEL                                        </t>
  </si>
  <si>
    <t xml:space="preserve">2994-BUZON BUSTOS BRIAN AGUSTIN                                    </t>
  </si>
  <si>
    <t xml:space="preserve">2970-ROSALES EDUARDO MIGUEL                                        </t>
  </si>
  <si>
    <t xml:space="preserve">2969-PERES DORA ESTELA                                             </t>
  </si>
  <si>
    <t xml:space="preserve">2997-JOFRE LUIS ALFREDO                                            </t>
  </si>
  <si>
    <t xml:space="preserve">2998-GONZALEZ BEJARANO ANDRES                                      </t>
  </si>
  <si>
    <t xml:space="preserve">2977-AGUERO GISELA EMILCE                                          </t>
  </si>
  <si>
    <t xml:space="preserve">2974-RODRIGUEZ VERONICA NOELIA                                     </t>
  </si>
  <si>
    <t xml:space="preserve">2979-GOMEZ JORGE LUIS                                              </t>
  </si>
  <si>
    <t xml:space="preserve">2976-ANCE GLADYS FABIANA                                           </t>
  </si>
  <si>
    <t xml:space="preserve">2978-MOYANO JONATHAN RUFINO                                        </t>
  </si>
  <si>
    <t xml:space="preserve">2975-MOYANO JOSE CARLOS                                            </t>
  </si>
  <si>
    <t xml:space="preserve">2227-E D E M S A                                                   </t>
  </si>
  <si>
    <t xml:space="preserve">1315-REYES PEDRO SANTIAGO                                          </t>
  </si>
  <si>
    <t xml:space="preserve">48-JORNADA SOCIEDAD ANONIMA                                      </t>
  </si>
  <si>
    <t xml:space="preserve">43-VELASCO RAVEAUX LAURA FERNANDA                                </t>
  </si>
  <si>
    <t xml:space="preserve">602-PALET LEONARDO ENRIQUE AGUSTIN                                </t>
  </si>
  <si>
    <t xml:space="preserve">333-CADELLI SERGIO DANIEL                                         </t>
  </si>
  <si>
    <t xml:space="preserve">10-GRUPO ANFER S A                                               </t>
  </si>
  <si>
    <t xml:space="preserve">46-PLATAFORMA DIGITAL S A                                        </t>
  </si>
  <si>
    <t xml:space="preserve">921-CHACON FRANCO DARIO                                           </t>
  </si>
  <si>
    <t xml:space="preserve">54-AIMALE MARIA INES                                             </t>
  </si>
  <si>
    <t xml:space="preserve">17-ROMERA GRACIELA ENCARNACION                                   </t>
  </si>
  <si>
    <t xml:space="preserve">38-VEGA ANA MARIA                                                </t>
  </si>
  <si>
    <t xml:space="preserve">2430-MEDIOS ANDINOS S A                                            </t>
  </si>
  <si>
    <t xml:space="preserve">470-SALVADOR PABLO FEDERICO                                       </t>
  </si>
  <si>
    <t xml:space="preserve">2438-BIGMEDIA ARGENTINA S A                                        </t>
  </si>
  <si>
    <t xml:space="preserve">5-LEVINSON NOEMI                                                </t>
  </si>
  <si>
    <t xml:space="preserve">47-RADIODIFUSORA DEL CENTRO S A                                  </t>
  </si>
  <si>
    <t xml:space="preserve">2002-RADIO DE CUYO S A                                             </t>
  </si>
  <si>
    <t xml:space="preserve">3-METCART S  A                                                  </t>
  </si>
  <si>
    <t xml:space="preserve">1445-LUNA CLAUDIA AZUCENA                                          </t>
  </si>
  <si>
    <t xml:space="preserve">2741-IDEALES TRASANDINOS S A                                       </t>
  </si>
  <si>
    <t xml:space="preserve">2089-GENCO SA                                                      </t>
  </si>
  <si>
    <t xml:space="preserve">439-GALVAN JULIAN DAMIAN                                          </t>
  </si>
  <si>
    <t xml:space="preserve">1375-MARASCO DORA CONCEPCION                                       </t>
  </si>
  <si>
    <t xml:space="preserve">11-INMEDIA SOCIEDAD ANONIMA                                      </t>
  </si>
  <si>
    <t xml:space="preserve">269-HERNANDEZ CARLOS ALBERTO                                      </t>
  </si>
  <si>
    <t xml:space="preserve">1493-MELLIMACI CECILIA VERONICA                                    </t>
  </si>
  <si>
    <t xml:space="preserve">1475-MARIA CRISTINA SUAREZ                                         </t>
  </si>
  <si>
    <t xml:space="preserve">2318-A S P I L D                                                   </t>
  </si>
  <si>
    <t xml:space="preserve">1459-TEJADA VIVIANA BEATRIZ                                        </t>
  </si>
  <si>
    <t xml:space="preserve">6-BASILE ROMINA LELIA                                           </t>
  </si>
  <si>
    <t xml:space="preserve">843-CALIGOLI ROBERTO FABRIZIO                                     </t>
  </si>
  <si>
    <t xml:space="preserve">1176-CARDINALI ROSARIO CRISTINA                                    </t>
  </si>
  <si>
    <t xml:space="preserve">2537-DROGUERIA BD S R L                                            </t>
  </si>
  <si>
    <t xml:space="preserve">2060-LUMACO SRL                                                    </t>
  </si>
  <si>
    <t xml:space="preserve">2834-COOP CORRALCOP LTDA                                           </t>
  </si>
  <si>
    <t xml:space="preserve">2836-Coop Rural de Servicios Publicos Puente de Hierro Ltda        </t>
  </si>
  <si>
    <t xml:space="preserve">2880-DAYBREAKER S A S                                              </t>
  </si>
  <si>
    <t xml:space="preserve">2196-ELT ARGENTINA S A                                             </t>
  </si>
  <si>
    <t xml:space="preserve">2673-TRANSPORTE STESAN S A                                         </t>
  </si>
  <si>
    <t xml:space="preserve">136-DAVID OSCAR RUBEN                                             </t>
  </si>
  <si>
    <t xml:space="preserve">2564-MARIO ARANITI Y/O LIDIA ARANITI S H                           </t>
  </si>
  <si>
    <t xml:space="preserve">2054-AADI CAPIF ASOCIACION CIVIL RECAUDADORA                       </t>
  </si>
  <si>
    <t xml:space="preserve">2490-MARCOS S A                                                    </t>
  </si>
  <si>
    <t xml:space="preserve">2617-INFOEXPERTO S A                                               </t>
  </si>
  <si>
    <t xml:space="preserve">2676-ASAS MICUNA S A S                                             </t>
  </si>
  <si>
    <t xml:space="preserve">1627-TOSI ORNELA                                                   </t>
  </si>
  <si>
    <t xml:space="preserve">2025-SODA DI MARCO S R L                                           </t>
  </si>
  <si>
    <t xml:space="preserve">2271-INFOCUYO S A                                                  </t>
  </si>
  <si>
    <t xml:space="preserve">785-ROLDAN ORTIZ SIMON PABLO                                      </t>
  </si>
  <si>
    <t xml:space="preserve">2371-3D INGENIERIA S A                                             </t>
  </si>
  <si>
    <t xml:space="preserve">2311-SERVICARGAS MENDOZA S A                                       </t>
  </si>
  <si>
    <t xml:space="preserve">2869-FESTA S A S                                                   </t>
  </si>
  <si>
    <t xml:space="preserve">2510-ALTA SEGURIDAD S A                                            </t>
  </si>
  <si>
    <t xml:space="preserve">3042-LUJAN HUGO MARCELO                                            </t>
  </si>
  <si>
    <t xml:space="preserve">272-MURGANA GABRIEL ALEJANDRO                                     </t>
  </si>
  <si>
    <t xml:space="preserve">612-PERULAN MARIANO MARTIN                                        </t>
  </si>
  <si>
    <t xml:space="preserve">1068-DECARA ZARATE BRIAN EZEQUIEL                                  </t>
  </si>
  <si>
    <t xml:space="preserve">1464-MARENGO ALEJANDRA SUSANA                                      </t>
  </si>
  <si>
    <t xml:space="preserve">1370-MORAN NORMA GLADYS                                            </t>
  </si>
  <si>
    <t xml:space="preserve">1401-MILANI MARTA PATRICIA                                         </t>
  </si>
  <si>
    <t xml:space="preserve">1251-RODRIGUEZ ELVIA                                               </t>
  </si>
  <si>
    <t xml:space="preserve">1661-AGULLO VANESA SOLEDAD                                         </t>
  </si>
  <si>
    <t xml:space="preserve">1800-CASTRO ANA LAURA                                              </t>
  </si>
  <si>
    <t xml:space="preserve">1319-HERRERA MARCOS JAVIER                                         </t>
  </si>
  <si>
    <t xml:space="preserve">1875-LIMA NAHIR RACHEL                                             </t>
  </si>
  <si>
    <t xml:space="preserve">1029-ESTEBAN LULL FRANCO GABRIEL                                   </t>
  </si>
  <si>
    <t xml:space="preserve">1829-OLIVARES PELLERITTI JULIETA ALDANA                            </t>
  </si>
  <si>
    <t xml:space="preserve">1565-RODRIGUEZ FABIANA VERONICA                                    </t>
  </si>
  <si>
    <t xml:space="preserve">923-SUAREZ FACUNDO IMANOL                                         </t>
  </si>
  <si>
    <t xml:space="preserve">1154-SISCO LIRA LUIS JOSE                                          </t>
  </si>
  <si>
    <t xml:space="preserve">3146-ROMERO GONZALO NAHUEL                                         </t>
  </si>
  <si>
    <t xml:space="preserve">1701-SOSA CARLA MARINA                                             </t>
  </si>
  <si>
    <t xml:space="preserve">3089-ARANCIBIA OSCAR EMANUEL                                       </t>
  </si>
  <si>
    <t xml:space="preserve">1509-DE LONGO SANDRA PATRICIA                                      </t>
  </si>
  <si>
    <t xml:space="preserve">1284-SUAREZ MARIA GIMENA                                           </t>
  </si>
  <si>
    <t xml:space="preserve">3147-MUNIVEZ MIRCO NICOLAS EXEQUIEL                                </t>
  </si>
  <si>
    <t xml:space="preserve">3148-CABELLO LUCERO JONATHAN                                       </t>
  </si>
  <si>
    <t xml:space="preserve">669-MIRANDA LEONARDO CARLOS                                       </t>
  </si>
  <si>
    <t xml:space="preserve">1885-VARAS ANA PAULA                                               </t>
  </si>
  <si>
    <t xml:space="preserve">1216-FUSARI JUAN CESAR                                             </t>
  </si>
  <si>
    <t xml:space="preserve">626-TONIONI CLAUDIO DANIEL                                        </t>
  </si>
  <si>
    <t xml:space="preserve">3149-GARCIA ROSELLO AGUSTIN NICOLAS                                </t>
  </si>
  <si>
    <t xml:space="preserve">1377-AZCURRA NOEMI CRISTINA                                        </t>
  </si>
  <si>
    <t xml:space="preserve">1300-ALLENDE MACARENA AILIN                                        </t>
  </si>
  <si>
    <t xml:space="preserve">1925-QUINTANA ROA ALEJANDRA YULIETH                                </t>
  </si>
  <si>
    <t xml:space="preserve">1268-VICENT SOSA YANINA                                            </t>
  </si>
  <si>
    <t xml:space="preserve">1888-SAAVEDRA DE LONGO BETSABE                                     </t>
  </si>
  <si>
    <t xml:space="preserve">1813-CAMPOS CYNTIA JANET                                           </t>
  </si>
  <si>
    <t xml:space="preserve">1080-CABRILLANA GONZALO ARIEL                                      </t>
  </si>
  <si>
    <t xml:space="preserve">1295-GIGLIO MARIA DE LOS ANGELES                                   </t>
  </si>
  <si>
    <t xml:space="preserve">1866-ARGUELLO STHEFANI KAREN                                       </t>
  </si>
  <si>
    <t xml:space="preserve">1052-LLANOS MIGUEL ANGEL                                           </t>
  </si>
  <si>
    <t xml:space="preserve">928-MEDINA JURADO ALEXIS EMMANUEL                                 </t>
  </si>
  <si>
    <t xml:space="preserve">1569-MEJIAS CECILIA VERONICA                                       </t>
  </si>
  <si>
    <t xml:space="preserve">1491-ALVAREZ ERICA DANIELA                                         </t>
  </si>
  <si>
    <t xml:space="preserve">1600-BONILLA ANA MARIA DE BELEN                                    </t>
  </si>
  <si>
    <t xml:space="preserve">1476-BARRERA MONICA EVANGELINA                                     </t>
  </si>
  <si>
    <t xml:space="preserve">358-MENDOLA MICHEL FREDDY                                         </t>
  </si>
  <si>
    <t xml:space="preserve">1501-MIRANDA MARIANA JAQUELINA                                     </t>
  </si>
  <si>
    <t xml:space="preserve">396-MONTANEZ ROBERTO CARLOS                                       </t>
  </si>
  <si>
    <t xml:space="preserve">864-MOYANO MAURICIO DAVID                                         </t>
  </si>
  <si>
    <t xml:space="preserve">1396-BASILE SILVINA ALEJANDRA                                      </t>
  </si>
  <si>
    <t xml:space="preserve">1705-ZALAZAR FERNANDEZ NATALIA BELEN                               </t>
  </si>
  <si>
    <t xml:space="preserve">1426-MADAF GRACIELA JENNY                                          </t>
  </si>
  <si>
    <t xml:space="preserve">597-PEDERNERA ERNESTO CEFERINO                                    </t>
  </si>
  <si>
    <t xml:space="preserve">1775-CORRADI YANINA LOURDES                                        </t>
  </si>
  <si>
    <t xml:space="preserve">2406-PUNTO A PUNTO MENDOZA S A                                     </t>
  </si>
  <si>
    <t xml:space="preserve">1487-SILVESTRI MARIA JIMENA                                        </t>
  </si>
  <si>
    <t xml:space="preserve">2360-R-LINK S A                                                    </t>
  </si>
  <si>
    <t xml:space="preserve">1791-SOSA ROMINA NATALI                                            </t>
  </si>
  <si>
    <t xml:space="preserve">1522-LUNA CARLA JORGELINA                                          </t>
  </si>
  <si>
    <t xml:space="preserve">46-PLATAFORMA DIGITAL S A                                       </t>
  </si>
  <si>
    <t xml:space="preserve">16-ZARRAGA FERNANDO MARCELO                                      </t>
  </si>
  <si>
    <t xml:space="preserve">29-PUBLIC ROAD SOCIEDAD ANONIMA                                  </t>
  </si>
  <si>
    <t xml:space="preserve">2696-QUARQ SAS                                                     </t>
  </si>
  <si>
    <t xml:space="preserve">39-MARIA ALEJANDRA MARTIN                                        </t>
  </si>
  <si>
    <t xml:space="preserve">2555-FUNDACION EL GALPON ESPACIO CULTURAL                          </t>
  </si>
  <si>
    <t xml:space="preserve">2474-TECNICOLOR S A                                                </t>
  </si>
  <si>
    <t xml:space="preserve">1739-JANET PAOLA QUINTAL PUGLIOLI                                  </t>
  </si>
  <si>
    <t xml:space="preserve">2146-AMX ARGENTINA S A                                             </t>
  </si>
  <si>
    <t xml:space="preserve">2097-ASOCIACION AMIGOS DEL MUSEO DE ARTE MODERNO                   </t>
  </si>
  <si>
    <t xml:space="preserve">1732-CHICON DANIELA LUCIA                                          </t>
  </si>
  <si>
    <t xml:space="preserve">2908-PINTURERIA MAIPU COLOR S A S                                  </t>
  </si>
  <si>
    <t xml:space="preserve">2290-FUNDACION CONSTRUYENDO VIDA PARA LOS NIÂ¥OS                    </t>
  </si>
  <si>
    <t xml:space="preserve">2610-SEYLO S A                                                     </t>
  </si>
  <si>
    <t xml:space="preserve">58-DIAZ GUSTAVO RUBEN                                            </t>
  </si>
  <si>
    <t xml:space="preserve">2022-SOCIEDAD GRAL DE AUTORES DE LA ARGENTINA                      </t>
  </si>
  <si>
    <t xml:space="preserve">2525-FUNDACIaN NUESTRA MENDOZA                                     </t>
  </si>
  <si>
    <t xml:space="preserve">3036-DALMAU EMILIANO MANUEL                                        </t>
  </si>
  <si>
    <t xml:space="preserve">2874-COOP  DE TRABAJO GIRAMUNDO COMUNICACION POPULAR LTDA          </t>
  </si>
  <si>
    <t xml:space="preserve">2794-GALOIS SAS                                                    </t>
  </si>
  <si>
    <t xml:space="preserve">49-ELIAS REIN MARIA JOSE                                         </t>
  </si>
  <si>
    <t xml:space="preserve">723-Aguerregaray Ramiro Alejandro Jesus                           </t>
  </si>
  <si>
    <t xml:space="preserve">437-RODRIGUEZ DANIEL GUSTAVO                                      </t>
  </si>
  <si>
    <t xml:space="preserve">221-MIODOWKY MARCELO EDUARDO                                      </t>
  </si>
  <si>
    <t xml:space="preserve">2916-REZ MASUD MARIA LAURA SARA                                    </t>
  </si>
  <si>
    <t xml:space="preserve">169-PARDO RODOLFO                                                 </t>
  </si>
  <si>
    <t xml:space="preserve">2851-INFOGOV S A                                                   </t>
  </si>
  <si>
    <t xml:space="preserve">1312-MORALES REYES  URIEL IMANOL                                   </t>
  </si>
  <si>
    <t xml:space="preserve">1320-SALINAS GABRIEL SEBASTIAN                                     </t>
  </si>
  <si>
    <t xml:space="preserve">1907-GERAGHTY GUADALUPE                                            </t>
  </si>
  <si>
    <t xml:space="preserve">1908-CORREA  AGUSTINA FLORENCIA                                    </t>
  </si>
  <si>
    <t xml:space="preserve">1131-ZARATE QUIROGA TOMAS BENJAMIN                                 </t>
  </si>
  <si>
    <t xml:space="preserve">1148-NUÂ¥EZ BARRANZUELA CARLOS ENRIQUE                              </t>
  </si>
  <si>
    <t xml:space="preserve">1130-VARGAS  MARTIN NICOLAS                                        </t>
  </si>
  <si>
    <t xml:space="preserve">1931-SANTARELLI ANTONELLA BIANCA                                   </t>
  </si>
  <si>
    <t xml:space="preserve">1091-SOSA BAEZ NICOLAS AUGUSTO                                     </t>
  </si>
  <si>
    <t xml:space="preserve">1082-TELLO  DIEGO BENJAMON                                         </t>
  </si>
  <si>
    <t xml:space="preserve">1957-GOMEZ AILIN DENISE                                            </t>
  </si>
  <si>
    <t xml:space="preserve">1975-MESQUIDA MELANIE LUCIANA                                      </t>
  </si>
  <si>
    <t xml:space="preserve">1064-SOTO BECERRA  MATOAS FERNANDO                                 </t>
  </si>
  <si>
    <t xml:space="preserve">1977-BARRIONUEVO MAROA EMILIA                                      </t>
  </si>
  <si>
    <t xml:space="preserve">3039-VICENTELA GUADALUPE BELEN                                     </t>
  </si>
  <si>
    <t xml:space="preserve">3040-GALDAME ARIANA PRISCILA                                       </t>
  </si>
  <si>
    <t xml:space="preserve">2525-FUNDACION NUESTRA MENDOZA                                     </t>
  </si>
  <si>
    <t xml:space="preserve">3037-ELIZONDO JAVIER OSCAR                                         </t>
  </si>
  <si>
    <t xml:space="preserve">2926-GABRIEL MERETTA                                               </t>
  </si>
  <si>
    <t xml:space="preserve">2928-LOPEZ RUBEN ALEJANDRO                                         </t>
  </si>
  <si>
    <t xml:space="preserve">2828-DISTRIBUIDORA DE GAS CUYANA S A                               </t>
  </si>
  <si>
    <t xml:space="preserve">2127-DIRECCION GENERAL DE ESCUELAS                                 </t>
  </si>
  <si>
    <t xml:space="preserve">3097-PEREYRA DARIO NELSON                                          </t>
  </si>
  <si>
    <t xml:space="preserve">3098-KLEIN QUIROGA LAUTARO JEREMIAS                                </t>
  </si>
  <si>
    <t xml:space="preserve">3099-SILVA HEREDIA JUAN MANUEL                                     </t>
  </si>
  <si>
    <t xml:space="preserve">3100-ARCOS ESQUIVEL EMMANUEL ORLANDO                               </t>
  </si>
  <si>
    <t xml:space="preserve">3101-LUCERO ENZO ADRIEL                                            </t>
  </si>
  <si>
    <t xml:space="preserve">3102-NEBOT LEANDRO NICOLAS                                         </t>
  </si>
  <si>
    <t xml:space="preserve">3103-CRESPO AMOR FRANCISCO IMANOL                                  </t>
  </si>
  <si>
    <t xml:space="preserve">3104-GIMENEZ BERTOMEO JUAN DANIEL                                  </t>
  </si>
  <si>
    <t xml:space="preserve">3106-PACHECO FARRO CRISTIAN ARIEL                                  </t>
  </si>
  <si>
    <t xml:space="preserve">3107-ARCE CARLOS AUGUSTO                                           </t>
  </si>
  <si>
    <t xml:space="preserve">3108-CARRIZO GRASSETTO MARIA TRINIDAD                              </t>
  </si>
  <si>
    <t xml:space="preserve">3109-SIMO GATICA ABRIL DANIELA                                     </t>
  </si>
  <si>
    <t xml:space="preserve">3110-BISCARO CAMILA NEREA                                          </t>
  </si>
  <si>
    <t xml:space="preserve">3111-ESPINOZA NANCY MABEL                                          </t>
  </si>
  <si>
    <t xml:space="preserve">3112-VALDEZ DAIANA CAROLINA                                        </t>
  </si>
  <si>
    <t xml:space="preserve">3114-MOGRO CUELA SABRINA JULISSA                                   </t>
  </si>
  <si>
    <t xml:space="preserve">3115-RUIZ ADRIANA DANIELA                                          </t>
  </si>
  <si>
    <t xml:space="preserve">3116-DEBLASI MAIRA BETSABE                                         </t>
  </si>
  <si>
    <t xml:space="preserve">3117-PERAZZOLI YANELA DAIANA                                       </t>
  </si>
  <si>
    <t xml:space="preserve">3118-MOLINA SOFIA BELEN                                            </t>
  </si>
  <si>
    <t xml:space="preserve">3119-FERNANDEZ JIMENA BELEN                                        </t>
  </si>
  <si>
    <t xml:space="preserve">3120-VIDELA ARGANARAZ JULIETA VERONICA                             </t>
  </si>
  <si>
    <t xml:space="preserve">3121-SEVERINO TUZZI ROSARIO INES                                   </t>
  </si>
  <si>
    <t xml:space="preserve">3122-RIVERO GUADALUPE LUCIA                                        </t>
  </si>
  <si>
    <t xml:space="preserve">3123-LOPEZ GONZALEZ LUZ MARIEL                                     </t>
  </si>
  <si>
    <t xml:space="preserve">3124-CAYO PUMA CELESTE SOLANGE                                     </t>
  </si>
  <si>
    <t xml:space="preserve">3125-GONZALEZ LUCIANA AYELEN                                       </t>
  </si>
  <si>
    <t xml:space="preserve">3126-ALANIZ LUCIANA MAGALI                                         </t>
  </si>
  <si>
    <t xml:space="preserve">3105-GOMEZ PENICO VALENTIN                                         </t>
  </si>
  <si>
    <t xml:space="preserve">3187-ORDENES DAIANA ESTEFANIA                                      </t>
  </si>
  <si>
    <t xml:space="preserve">3085-BANCO SUPERVIELLE S A                                         </t>
  </si>
  <si>
    <t xml:space="preserve">2096-O S E P                                                       </t>
  </si>
  <si>
    <t xml:space="preserve">59-EUTIMIA S  A  S                                               </t>
  </si>
  <si>
    <t xml:space="preserve">2493-ASISMIN S A                                                   </t>
  </si>
  <si>
    <t xml:space="preserve">2174-TELEFONICA MOVILES ARGENTINA S A                              </t>
  </si>
  <si>
    <t xml:space="preserve">2461-San Francisco Consultores Catolicos S A                       </t>
  </si>
  <si>
    <t xml:space="preserve">826-PEREZ FERNANDO LEONEL                                         </t>
  </si>
  <si>
    <t xml:space="preserve">13-NEXO S  A                                                     </t>
  </si>
  <si>
    <t xml:space="preserve">2033-CUYO TELEVISION S A                                           </t>
  </si>
  <si>
    <t xml:space="preserve">277-GALVANO SANTIAGO JUAN                                         </t>
  </si>
  <si>
    <t xml:space="preserve">276-PACHECO DANIEL OMAR                                           </t>
  </si>
  <si>
    <t xml:space="preserve">3094-CTA JUDICIAL NÂº 9940410328                                    </t>
  </si>
  <si>
    <t xml:space="preserve">3068-CUENTA JUDICIAL NÂº 9941945714                                 </t>
  </si>
  <si>
    <t xml:space="preserve">2922-ARCA - ADMINISTRACION FEDERAL DE INGRESOS PUBLICOS)           </t>
  </si>
  <si>
    <t xml:space="preserve">3081-QUIROGA ABACA ROQUE EXEQUIEL                                  </t>
  </si>
  <si>
    <t xml:space="preserve">2026-CASA JUAN FEMENIA S R L                                       </t>
  </si>
  <si>
    <t xml:space="preserve">3038-GIMENEZ PABLO SANTIAGO                                        </t>
  </si>
  <si>
    <t xml:space="preserve">2229-DIMARIA S A                                                   </t>
  </si>
  <si>
    <t xml:space="preserve">638-FERNANDEZ ARIEL ALFREDO                                       </t>
  </si>
  <si>
    <t xml:space="preserve">28-CORTIZ S A S                                                  </t>
  </si>
  <si>
    <t xml:space="preserve">28-CORTIZ SAS                                                    </t>
  </si>
  <si>
    <t xml:space="preserve">44-EFE ARGENTINA SOCIEDAD ANONIMA                                </t>
  </si>
  <si>
    <t xml:space="preserve">45-ALONSO LUIS PABLO                                             </t>
  </si>
  <si>
    <t xml:space="preserve">1639-GONZALEZ MENDIONDO MARIA AGOSTINA                             </t>
  </si>
  <si>
    <t xml:space="preserve">2167-ALMARZA S A                                                   </t>
  </si>
  <si>
    <t xml:space="preserve">1981-HERBOZO MARIA EUGENIA                                         </t>
  </si>
  <si>
    <t xml:space="preserve">2558-TECNET ARGENTINA S A                                          </t>
  </si>
  <si>
    <t xml:space="preserve">2171-A TIEMPO S A                                                  </t>
  </si>
  <si>
    <t xml:space="preserve">3092-CUENTA JUDICIAL CABRERA ANIBAL                                </t>
  </si>
  <si>
    <t xml:space="preserve">2683-95 MERO DATA SAS                                              </t>
  </si>
  <si>
    <t xml:space="preserve">3144-RUVIRA GUILLERO MARCELO                                       </t>
  </si>
  <si>
    <t xml:space="preserve">2931-MARTINO HUMBERTO DOMINGO                                      </t>
  </si>
  <si>
    <t xml:space="preserve">2929-HERRERA MICAELA FERNANDA                                      </t>
  </si>
  <si>
    <t xml:space="preserve">2933-GOMEZ NATALIA CARINA                                          </t>
  </si>
  <si>
    <t xml:space="preserve">2927-LAUTARO EZEQUIEL SOSA                                         </t>
  </si>
  <si>
    <t xml:space="preserve">3064-DISTRIBUIDORA MILO SRL                                        </t>
  </si>
  <si>
    <t xml:space="preserve">3154-ARAYA GUILLERMO HERNAN                                        </t>
  </si>
  <si>
    <t xml:space="preserve">3052-BRAMPTON SAS                                                  </t>
  </si>
  <si>
    <t xml:space="preserve">590-ADAMO Joel Alexis                                             </t>
  </si>
  <si>
    <t xml:space="preserve">25-EMUVIAL S A                                                   </t>
  </si>
  <si>
    <t xml:space="preserve">345-NOTO SALVADOR HUMBERTO                                        </t>
  </si>
  <si>
    <t xml:space="preserve">2302-ALTA SALUD S A                                                </t>
  </si>
  <si>
    <t xml:space="preserve">2619-B4 HOLDING SRL                                                </t>
  </si>
  <si>
    <t xml:space="preserve">2915-CAMPIGOTTO LUCIANA CECILIA                                    </t>
  </si>
  <si>
    <t xml:space="preserve">2036-UNIVERSIDAD DEL ACONCAGUA                                     </t>
  </si>
  <si>
    <t xml:space="preserve">2566-ASCENSORES IMSA S A                                           </t>
  </si>
  <si>
    <t xml:space="preserve">3033-VAZQUEZ JARDEL MARIA JIMENA                                   </t>
  </si>
  <si>
    <t xml:space="preserve">3076-ROUZA DISTRIBUCIONES S A S                                    </t>
  </si>
  <si>
    <t xml:space="preserve">3066-ANGUSBAR CUYO SAS                                             </t>
  </si>
  <si>
    <t xml:space="preserve">2140-AYFRA S R L                                                   </t>
  </si>
  <si>
    <t xml:space="preserve">3167-MATURANO LOURDES PRISCILA MICAELA                             </t>
  </si>
  <si>
    <t xml:space="preserve">3166-DIAZ DAIANA VALERIA                                           </t>
  </si>
  <si>
    <t xml:space="preserve">3165-PAEZ CARLOS DAVID                                             </t>
  </si>
  <si>
    <t xml:space="preserve">3163-BUSTOS RICARDO ANTONIO                                        </t>
  </si>
  <si>
    <t xml:space="preserve">3162-ROSALES JULIETA ROCIO                                         </t>
  </si>
  <si>
    <t xml:space="preserve">290-FERNANDEZ JORGE DARIO                                         </t>
  </si>
  <si>
    <t xml:space="preserve">2228-SAUDA S R L                                                   </t>
  </si>
  <si>
    <t xml:space="preserve">9-RAMOS ERNESTO JOSE                                            </t>
  </si>
  <si>
    <t xml:space="preserve">2866-BAUFRA MEDIOS S A S                                           </t>
  </si>
  <si>
    <t xml:space="preserve">354-FRAGUGLIA SERGIO                                              </t>
  </si>
  <si>
    <t xml:space="preserve">787-TESTINI MATIAS JAVIER                                         </t>
  </si>
  <si>
    <t xml:space="preserve">328-SUAREZ ROBERTO ANTONIO                                        </t>
  </si>
  <si>
    <t xml:space="preserve">35-ORTIZ JAVIER MARCELO                                          </t>
  </si>
  <si>
    <t xml:space="preserve">2917-RAMON BUJ E HIJOS S A C I A                                   </t>
  </si>
  <si>
    <t xml:space="preserve">2216-INVERSORA CORPORATIVA SA                                      </t>
  </si>
  <si>
    <t xml:space="preserve">2425-GRUPO COMUNICARTE SRL                                         </t>
  </si>
  <si>
    <t xml:space="preserve">51-ASOCIACION COMUNICACIONAL Y CULTURAL LA MOSQUITERA            </t>
  </si>
  <si>
    <t xml:space="preserve">499-TOMAS DIEGO ERNESTO                                           </t>
  </si>
  <si>
    <t xml:space="preserve">15-CASTRO BONAMICO NOELIA VICTORIA                               </t>
  </si>
  <si>
    <t xml:space="preserve">2917-RAMON BUJ E HIJOS SA                                          </t>
  </si>
  <si>
    <t xml:space="preserve">239-AGUILERA RAUL RICARDO                                         </t>
  </si>
  <si>
    <t xml:space="preserve">3161-CUENTA JUDICIAL NÂº 9900381967                                 </t>
  </si>
  <si>
    <t xml:space="preserve">3159-CUENTA JUDICIALNÂº 9941805167                                  </t>
  </si>
  <si>
    <t xml:space="preserve">2894-FONDO PERMANENTE DIR  DE DESARROLLO COMERCIAL E INDUSTRIAL    </t>
  </si>
  <si>
    <t xml:space="preserve">2891-FONDO PERMANENTE HONORABLE CONCEJO  DELIBERANTE               </t>
  </si>
  <si>
    <t xml:space="preserve">3083-FUNDACION SUDAMERICANA                                        </t>
  </si>
  <si>
    <t xml:space="preserve">3156-QUINTEROS CARLOS ANTONIO                                      </t>
  </si>
  <si>
    <t xml:space="preserve">2300-MARKETING REGIONAL SA                                         </t>
  </si>
  <si>
    <t xml:space="preserve">53-DIGREGORIO MARTIN NICOLAS                                     </t>
  </si>
  <si>
    <t xml:space="preserve">37-ZITRO PRODUCCIONES S A                                        </t>
  </si>
  <si>
    <t xml:space="preserve">2224-TECNOLOGIA Y SERVICIOS AMBIENTALES S A  (TYSA)                </t>
  </si>
  <si>
    <t xml:space="preserve">1198-PAVESIO LUIS ALBERTO                                          </t>
  </si>
  <si>
    <t xml:space="preserve">2134-FRECUENCIA PRODUCC  PUBLICITARIAS S A                         </t>
  </si>
  <si>
    <t xml:space="preserve">2183-LUIS M  PAGLIARA S A                                          </t>
  </si>
  <si>
    <t xml:space="preserve">1486-NOTO ROSANA ESTER                                             </t>
  </si>
  <si>
    <t xml:space="preserve">2751-MERINO AUDIO SISTEMAS S A S                                   </t>
  </si>
  <si>
    <t xml:space="preserve">36-BELLYS INDUSTRIAL SRL                                         </t>
  </si>
  <si>
    <t xml:space="preserve">27-CLUB DEL PERSONAL DE RAYEN CURA                               </t>
  </si>
  <si>
    <t xml:space="preserve">2671-CARTELES CALLEJEROS S A S                                     </t>
  </si>
  <si>
    <t xml:space="preserve">2366-TERRACOTA S A                                                 </t>
  </si>
  <si>
    <t xml:space="preserve">2219-Union Vecinal de Serv Publicos El Sauce                       </t>
  </si>
  <si>
    <t xml:space="preserve">3155-HERRERA CAZAR MARIA FLORENCIA                                 </t>
  </si>
  <si>
    <t xml:space="preserve">2530-EMPRESA MENDOCINA DE ENERGIA SA                               </t>
  </si>
  <si>
    <t xml:space="preserve">2562-3 HI B SERVICES S R L                                         </t>
  </si>
  <si>
    <t xml:space="preserve">3091-YPF SOCIEDAD ANONIMA                                          </t>
  </si>
  <si>
    <t xml:space="preserve">560-PEREZ MARIANO FRANCISCO                                       </t>
  </si>
  <si>
    <t xml:space="preserve">953-PEREZ SOSA EZEQUIEL ALEJANDRO                                 </t>
  </si>
  <si>
    <t xml:space="preserve">1983-BRITO TAPIA MYRIAM PAULINA                                    </t>
  </si>
  <si>
    <t xml:space="preserve">1619-TOSI SILVANA VERONICA                                         </t>
  </si>
  <si>
    <t xml:space="preserve">407-BURGOS WALTER EMILIO                                          </t>
  </si>
  <si>
    <t xml:space="preserve">1100-BARRERA CASTILLO LUIS EDUARDO                                 </t>
  </si>
  <si>
    <t xml:space="preserve">1936-FRUGONI CAMILA CELESTE                                        </t>
  </si>
  <si>
    <t xml:space="preserve">1784-CAMPOS NOELIA INES                                            </t>
  </si>
  <si>
    <t xml:space="preserve">120-CARRERA RUBEN GENARO                                          </t>
  </si>
  <si>
    <t xml:space="preserve">3152-CONDORELLI ALICIA BEATRIZ                                     </t>
  </si>
  <si>
    <t xml:space="preserve">1057-VASQUEZ REYNOSO JULIAN                                        </t>
  </si>
  <si>
    <t xml:space="preserve">1772-DAGA CECILIA INDIRA                                           </t>
  </si>
  <si>
    <t xml:space="preserve">188-DIAZ DARDO RAUL                                               </t>
  </si>
  <si>
    <t xml:space="preserve">331-SANFURGO GABRIEL EUGENIO                                      </t>
  </si>
  <si>
    <t xml:space="preserve">227-BUSTOS MARIO OMAR                                             </t>
  </si>
  <si>
    <t xml:space="preserve">822-CAREDDU FACUNDO MAXIMILIANO                                   </t>
  </si>
  <si>
    <t xml:space="preserve">959-BRONDO RODRIGO LUCAS                                          </t>
  </si>
  <si>
    <t xml:space="preserve">1690-ELIZONDO MARIA EUGENIA                                        </t>
  </si>
  <si>
    <t xml:space="preserve">1822-GIMENEZ FLORENCIA TAMARA                                      </t>
  </si>
  <si>
    <t xml:space="preserve">1861-CASTILLO ADRIAN NICOLAS                                       </t>
  </si>
  <si>
    <t xml:space="preserve">216-LILLO MARTIN                                                  </t>
  </si>
  <si>
    <t xml:space="preserve">161-GONZALEZ MARIO RICARDO                                        </t>
  </si>
  <si>
    <t xml:space="preserve">202-ALBORNOZ JORGE                                                </t>
  </si>
  <si>
    <t xml:space="preserve">1766-TORNELLO MARIA LUZ                                            </t>
  </si>
  <si>
    <t xml:space="preserve">1692-MALDONADO LAURA MIRIAM                                        </t>
  </si>
  <si>
    <t xml:space="preserve">1935-NUNEZ FLORENCIA NICOL                                         </t>
  </si>
  <si>
    <t xml:space="preserve">119-MOYANO VICTOR HUGO                                            </t>
  </si>
  <si>
    <t xml:space="preserve">1103-PERULAN FRANCO RAUL                                           </t>
  </si>
  <si>
    <t xml:space="preserve">181-GODOY MIGUEL ANGEL                                            </t>
  </si>
  <si>
    <t xml:space="preserve">1959-GARRO ANTONELLA AYELEN                                        </t>
  </si>
  <si>
    <t xml:space="preserve">308-TESTA LUIS ALDO                                               </t>
  </si>
  <si>
    <t xml:space="preserve">199-SAVINA JUAN CARLOS                                            </t>
  </si>
  <si>
    <t xml:space="preserve">211-GOMEZ JULIO CESAR                                             </t>
  </si>
  <si>
    <t xml:space="preserve">1574-BERNA MARIA NOELIA                                            </t>
  </si>
  <si>
    <t xml:space="preserve">968-VERDEJO RODRIGO AGUSTIN                                       </t>
  </si>
  <si>
    <t xml:space="preserve">237-Oviedo Oscar Alberto                                          </t>
  </si>
  <si>
    <t xml:space="preserve">711-ZULLIGER DIEGO MARTIN                                         </t>
  </si>
  <si>
    <t xml:space="preserve">1638-MONTALTO MARIA INES                                           </t>
  </si>
  <si>
    <t xml:space="preserve">1307-PERULAN AILEN LUCIA                                           </t>
  </si>
  <si>
    <t xml:space="preserve">966-DECIMA LAUTARO ANDRES                                         </t>
  </si>
  <si>
    <t xml:space="preserve">1825-BAZAN GABRIELA SOLEDAD                                        </t>
  </si>
  <si>
    <t xml:space="preserve">435-GOMEZ OSCAR RAMON                                             </t>
  </si>
  <si>
    <t xml:space="preserve">1986-ANAGUA RIVERA MARIA LOURDES                                   </t>
  </si>
  <si>
    <t xml:space="preserve">1214-MEYER CLAUDIO                                                 </t>
  </si>
  <si>
    <t xml:space="preserve">353-FONTAN ROBERTO OSCAR                                          </t>
  </si>
  <si>
    <t xml:space="preserve">1368-ROVAIO ROSARIO                                                </t>
  </si>
  <si>
    <t xml:space="preserve">1683-MARIANI SALUZZO ANTONELLA                                     </t>
  </si>
  <si>
    <t xml:space="preserve">1706-GANDOLFO MELISA BETIANA                                       </t>
  </si>
  <si>
    <t xml:space="preserve">391-LUCERO SERGIO CLAUDIO                                         </t>
  </si>
  <si>
    <t xml:space="preserve">1876-ELLENA RUDELLI ARIANA PAULINA                                 </t>
  </si>
  <si>
    <t xml:space="preserve">1359-MARIN MARIA CELINA                                            </t>
  </si>
  <si>
    <t xml:space="preserve">1381-CHACON SONIA ETHEL                                            </t>
  </si>
  <si>
    <t xml:space="preserve">1167-SALAS OSCAR JULIAN                                            </t>
  </si>
  <si>
    <t xml:space="preserve">1399-QUIROGA SONIA BEATRIZ                                         </t>
  </si>
  <si>
    <t xml:space="preserve">1594-DE ROBLEDO GRANCARA NOELIA LILIANA                            </t>
  </si>
  <si>
    <t xml:space="preserve">205-KIOTASSO CARLOS ALBERTO                                       </t>
  </si>
  <si>
    <t xml:space="preserve">1202-FARIAS CARINA VERONICA                                        </t>
  </si>
  <si>
    <t xml:space="preserve">1367-BATTISTELLA NORMA CRISTINA                                    </t>
  </si>
  <si>
    <t xml:space="preserve">513-VITOLO FRANCISCO JESUS                                        </t>
  </si>
  <si>
    <t xml:space="preserve">1362-CHAMBOULEYRON MYRIAM RUTH                                     </t>
  </si>
  <si>
    <t xml:space="preserve">763-COLLA JAVIER EDUARDO                                          </t>
  </si>
  <si>
    <t xml:space="preserve">668-PEREYRA CARLOS FABRICIO                                       </t>
  </si>
  <si>
    <t xml:space="preserve">596-PALMIERI ESTEBAN JOSE                                         </t>
  </si>
  <si>
    <t xml:space="preserve">588-ECHEGARAY FEDERICO EMILIO                                     </t>
  </si>
  <si>
    <t xml:space="preserve">1952-TEVES MARIA FEDERICA                                          </t>
  </si>
  <si>
    <t xml:space="preserve">304-ESCOBAR OSVALDO DANIEL                                        </t>
  </si>
  <si>
    <t xml:space="preserve">138-MENA CARLOS EDUARDO                                           </t>
  </si>
  <si>
    <t xml:space="preserve">1119-VILLEGAS JUAN VALENTIN                                        </t>
  </si>
  <si>
    <t xml:space="preserve">1413-PRESINKY MARIA ALEJANDRA                                      </t>
  </si>
  <si>
    <t xml:space="preserve">1833-MINNI REYNA DANIELA IVANNA                                    </t>
  </si>
  <si>
    <t xml:space="preserve">1884-CASTELLINO ANA BELEN                                          </t>
  </si>
  <si>
    <t xml:space="preserve">1032-BERGER GROSSI PABLO GABRIEL                                   </t>
  </si>
  <si>
    <t xml:space="preserve">1230-SASSO GONZALO                                                 </t>
  </si>
  <si>
    <t xml:space="preserve">1310-CORVALAN VILLEGAS MATIAS ALEJO                                </t>
  </si>
  <si>
    <t xml:space="preserve">1108-CASTRO RAMIRO GABRIEL                                         </t>
  </si>
  <si>
    <t xml:space="preserve">1787-SANCHEZ MARIA MACARENA                                        </t>
  </si>
  <si>
    <t xml:space="preserve">1469-BAIGORRIA ALEJANDRA SUSANA                                    </t>
  </si>
  <si>
    <t xml:space="preserve">1786-FRAGAPANE MELISA ANTONELLA                                    </t>
  </si>
  <si>
    <t xml:space="preserve">1067-PITA JOAN FRANCO                                              </t>
  </si>
  <si>
    <t xml:space="preserve">1180-RODRIGUEZ BAZAN DANTE JAVIER                                  </t>
  </si>
  <si>
    <t xml:space="preserve">1151-PALOMINOS ALVARADO DIEGO NICOLAS                              </t>
  </si>
  <si>
    <t xml:space="preserve">498-BENEDETTI CLAUDIO JAVIER                                      </t>
  </si>
  <si>
    <t xml:space="preserve">996-CACERES IVAN ALEXIS                                           </t>
  </si>
  <si>
    <t xml:space="preserve">905-CORREA OQUERANZA MAXIMILIANO ARIEL                            </t>
  </si>
  <si>
    <t xml:space="preserve">1364-MOREIRA FELICIDAD LUISA                                       </t>
  </si>
  <si>
    <t xml:space="preserve">945-RODRIGUEZ PABLO ALBERTO                                       </t>
  </si>
  <si>
    <t xml:space="preserve">685-NAVARTA ROBERTO ANTONIO                                       </t>
  </si>
  <si>
    <t xml:space="preserve">362-MARTINEZ JORGE MANUEL                                         </t>
  </si>
  <si>
    <t xml:space="preserve">1420-CUZZOCREA MARIA LAURA                                         </t>
  </si>
  <si>
    <t xml:space="preserve">367-GARCIA PEDRO AMERICO                                          </t>
  </si>
  <si>
    <t xml:space="preserve">226-ZAPATA ARNALDO ULISES                                         </t>
  </si>
  <si>
    <t xml:space="preserve">1645-PETRICH JULIANA                                               </t>
  </si>
  <si>
    <t xml:space="preserve">440-PEREIRA PAULO JAVIER                                          </t>
  </si>
  <si>
    <t xml:space="preserve">1758-GANEM BULLATTI SHAIRA TAMARA                                  </t>
  </si>
  <si>
    <t xml:space="preserve">534-RIQUELME MATIAS JOSE                                          </t>
  </si>
  <si>
    <t xml:space="preserve">662-PETRICCA JUAN PABLO                                           </t>
  </si>
  <si>
    <t xml:space="preserve">1109-BRIZUELA MATIAS ARIEL                                         </t>
  </si>
  <si>
    <t xml:space="preserve">548-LAVRIC FEDERICO                                               </t>
  </si>
  <si>
    <t xml:space="preserve">1018-WEIDMANN TOMAS                                                </t>
  </si>
  <si>
    <t xml:space="preserve">1166-BRESOLINI ALEJANDRO DANIEL                                    </t>
  </si>
  <si>
    <t xml:space="preserve">1169-DRAGON OSCAR ALBERTO                                          </t>
  </si>
  <si>
    <t xml:space="preserve">707-TORRICO EMANUEL AGUSTIN                                       </t>
  </si>
  <si>
    <t xml:space="preserve">1710-MORRALLA MARIA FLORENCIA                                      </t>
  </si>
  <si>
    <t xml:space="preserve">1652-YANZON MONICA YESICA                                          </t>
  </si>
  <si>
    <t xml:space="preserve">1428-JATUFF BUSTOS MERCEDES NOEMI                                  </t>
  </si>
  <si>
    <t xml:space="preserve">1878-ESCOBAR MAURO ROCIO MARINA                                    </t>
  </si>
  <si>
    <t xml:space="preserve">1677-ORELLANO MARIA FERNANDA                                       </t>
  </si>
  <si>
    <t xml:space="preserve">1625-GONZALEZ ANA CECILIA                                          </t>
  </si>
  <si>
    <t xml:space="preserve">1405-ROMERO ETELVINA DEL VALLE                                     </t>
  </si>
  <si>
    <t xml:space="preserve">1595-RUIZ MARIA EUGENIA                                            </t>
  </si>
  <si>
    <t xml:space="preserve">1196-MUNOZ RODOLFO MARCELO EDUARDO                                 </t>
  </si>
  <si>
    <t xml:space="preserve">506-DIP JORGE ORLANDO                                             </t>
  </si>
  <si>
    <t xml:space="preserve">500-PAEZ HECTOR LUIS                                              </t>
  </si>
  <si>
    <t xml:space="preserve">251-SANTI SERGIO ALEJANDRO                                        </t>
  </si>
  <si>
    <t xml:space="preserve">1236-LUCERO MARIA LAURA                                            </t>
  </si>
  <si>
    <t xml:space="preserve">836-BLANES INFANTE RUBEN DARIO                                    </t>
  </si>
  <si>
    <t xml:space="preserve">1353-AGUERO CLARA MABEL                                            </t>
  </si>
  <si>
    <t xml:space="preserve">1557-CORZO CARINA GABRIELA                                         </t>
  </si>
  <si>
    <t xml:space="preserve">151-BENITO CARLOS MANUEL                                          </t>
  </si>
  <si>
    <t xml:space="preserve">741-CRUZ EMMANUEL HERNAN                                          </t>
  </si>
  <si>
    <t xml:space="preserve">1877-AUFRERE MARIA LUZ                                             </t>
  </si>
  <si>
    <t xml:space="preserve">166-Lucero Hugo Ruben                                             </t>
  </si>
  <si>
    <t xml:space="preserve">455-LAZA SEBASTIAN IGNACIO                                        </t>
  </si>
  <si>
    <t xml:space="preserve">217-OCHOA VICTOR CARLOS                                           </t>
  </si>
  <si>
    <t xml:space="preserve">1354-ARNAL PATRICIA MONICA                                         </t>
  </si>
  <si>
    <t xml:space="preserve">1223-ODDINO YANINA VERONICA RAMONA                                 </t>
  </si>
  <si>
    <t xml:space="preserve">1355-OROZCO IRENE ELIZABETH                                        </t>
  </si>
  <si>
    <t xml:space="preserve">512-DIAZ DUILIO ANDRES                                            </t>
  </si>
  <si>
    <t xml:space="preserve">736-RAMONDA PONTONI PEDRO MATIAS                                  </t>
  </si>
  <si>
    <t xml:space="preserve">1349-CAMURRI SILVIA ANGELA ANA                                     </t>
  </si>
  <si>
    <t xml:space="preserve">1160-OJEDA HECTOR EDUARDO                                          </t>
  </si>
  <si>
    <t xml:space="preserve">1175-MAYOL EVANGELINA ROSA                                         </t>
  </si>
  <si>
    <t xml:space="preserve">1342-SARMENTO DORA ALICIA                                          </t>
  </si>
  <si>
    <t xml:space="preserve">186-ROJAS JULIO CESAR                                             </t>
  </si>
  <si>
    <t xml:space="preserve">1015-FERNANDEZ ROMAN LISANDRO                                      </t>
  </si>
  <si>
    <t xml:space="preserve">1725-ESCUDERO MARIA LAURA                                          </t>
  </si>
  <si>
    <t xml:space="preserve">402-PERINETTI FEDERICO HECTOR                                     </t>
  </si>
  <si>
    <t xml:space="preserve">1735-GONZALEZ ANDREA MARINA                                        </t>
  </si>
  <si>
    <t xml:space="preserve">978-MILLARES GRANIZO JUAN MARTIN                                  </t>
  </si>
  <si>
    <t xml:space="preserve">1617-SEGATORE ANSELMO                                              </t>
  </si>
  <si>
    <t xml:space="preserve">218-ADOUE DANIEL FRANCISCO                                        </t>
  </si>
  <si>
    <t xml:space="preserve">1978-DOLZ VALENTINA                                                </t>
  </si>
  <si>
    <t xml:space="preserve">420-DOGLIANI JUAN FRANCISCO                                       </t>
  </si>
  <si>
    <t xml:space="preserve">176-LOBOS JOSE ALDO                                               </t>
  </si>
  <si>
    <t xml:space="preserve">1340-DIAZ DOMITILA NANCY                                           </t>
  </si>
  <si>
    <t xml:space="preserve">3150-SALINAS CECILIA CLELIA                                        </t>
  </si>
  <si>
    <t xml:space="preserve">1344-CHAMBOULEYRON MABEL B                                         </t>
  </si>
  <si>
    <t xml:space="preserve">3151-SUAREZ AGUSTIN                                                </t>
  </si>
  <si>
    <t xml:space="preserve">537-JIMENEZ BAZAN RODRIGO LUIS                                    </t>
  </si>
  <si>
    <t xml:space="preserve"> 402-PERINETTI FEDERICO HECTOR                                     </t>
  </si>
  <si>
    <t xml:space="preserve">Nro. 1127--2026-1000        </t>
  </si>
  <si>
    <t xml:space="preserve">Nro. 1120--2026-1000        </t>
  </si>
  <si>
    <t xml:space="preserve">Nro. 1029--2026-1000        </t>
  </si>
  <si>
    <t xml:space="preserve">Nro. 1425--2026-1000        </t>
  </si>
  <si>
    <t xml:space="preserve">Nro. 1661--2026-1000        </t>
  </si>
  <si>
    <t xml:space="preserve">Nro. 1663--2026-1000        </t>
  </si>
  <si>
    <t>1553-MARTINEZ SONIA ELENA</t>
  </si>
  <si>
    <t>Remuneraciones 8554</t>
  </si>
  <si>
    <t>Comprobante 8555</t>
  </si>
  <si>
    <t>EE 29129-25 Rendición de Fondo Fijo - Tesorería - OP 5826</t>
  </si>
  <si>
    <t>Supervielle 2001</t>
  </si>
  <si>
    <t>Macro 4115</t>
  </si>
  <si>
    <t>FCI Supervielle</t>
  </si>
  <si>
    <t>Rescate FCI</t>
  </si>
  <si>
    <t>Suscripción FCI</t>
  </si>
  <si>
    <t>Ajuste contra Gastos Bancarios</t>
  </si>
  <si>
    <t xml:space="preserve">CANCEL  FINANCIAM  EDUCATIVO 2DA Q  DIC  25 </t>
  </si>
  <si>
    <t>CANCELAC  COPARTICIP  2DA Q  DIC  2025</t>
  </si>
  <si>
    <t>COPARTICIPACION 2DA Q DICIEMBRE 2025</t>
  </si>
  <si>
    <t>FINANCIAMIENTO EDUCATIVO 2DA Q DICIEMBRE 2025</t>
  </si>
  <si>
    <t>Coparticipación 2Q 12/2025</t>
  </si>
  <si>
    <t>Financiamiento Educativo 2Q 12/2025</t>
  </si>
  <si>
    <t>Coparticipación y Financiamiento Educativo 2Q 12/2025</t>
  </si>
  <si>
    <t>COPARTICIPACION 1RA Q  ENERO 2026</t>
  </si>
  <si>
    <t>Coparticipación 1Q 01/2026</t>
  </si>
  <si>
    <t>Coparticipación Pago Final 2025</t>
  </si>
  <si>
    <t>1775-CORRADI YANINA LOURDES</t>
  </si>
  <si>
    <t>Epagos TC - Comp 227 y 246</t>
  </si>
  <si>
    <t>Epagos TC - Comp 228, 230 y 255</t>
  </si>
  <si>
    <t>Epagos TC - Comp 232, 233, 234 y 253</t>
  </si>
  <si>
    <t>Epagos TC - Comp 235</t>
  </si>
  <si>
    <t>Epagos TC - Comp 236 y 237</t>
  </si>
  <si>
    <t>Epagos TC - Comp 239</t>
  </si>
  <si>
    <t>Epagos Debin - Comp 173 y 252</t>
  </si>
  <si>
    <t>Epagos TC - Comp 251</t>
  </si>
  <si>
    <t>Epagos TC - Comp 178 y 254</t>
  </si>
  <si>
    <t>Epagos Debin - Comp 290</t>
  </si>
  <si>
    <t>Epagos TC - Comp 196</t>
  </si>
  <si>
    <t>Epagos Debin - Comp 295</t>
  </si>
  <si>
    <t>Epagos Debin - Comp 298</t>
  </si>
  <si>
    <t>Epagos TC - Comp 296</t>
  </si>
  <si>
    <t>Epagos Debin - Comp 301</t>
  </si>
  <si>
    <t>Epagos Debin - Comp 303 y 472</t>
  </si>
  <si>
    <t>Epagos TC - Comp 302</t>
  </si>
  <si>
    <t>Epagos Debin - Comp 471</t>
  </si>
  <si>
    <t>Epagos TC - Comp 474</t>
  </si>
  <si>
    <t>Epagos Debin - Comp 480</t>
  </si>
  <si>
    <t>Epagos Debin - Comp 483</t>
  </si>
  <si>
    <t>Epagos TC - Comp 476</t>
  </si>
  <si>
    <t>Epagos Debin - Comp 487</t>
  </si>
  <si>
    <t>Epagos TC - Comp 291</t>
  </si>
  <si>
    <t>Rapi Pago - Comp 219</t>
  </si>
  <si>
    <t xml:space="preserve">Intereses x Remuneraciones de Saldo </t>
  </si>
  <si>
    <t>Pago</t>
  </si>
  <si>
    <t>Irrigación - Comp 36</t>
  </si>
  <si>
    <t xml:space="preserve">Nro. 34504--2025-1000        </t>
  </si>
  <si>
    <t>LIQUIDACION COMPENSACIÓN DIC 2025</t>
  </si>
  <si>
    <t>FRANCISCO SAMUEL JOFRE</t>
  </si>
  <si>
    <t>HECTOR MARCELO MATURAN</t>
  </si>
  <si>
    <t>GOLOBLO</t>
  </si>
  <si>
    <t>MARTINA LOURDES VELEZ</t>
  </si>
  <si>
    <t>ROA ORTEGA FERNANDO JOSE</t>
  </si>
  <si>
    <t>MAXIMILIANO DEMEL PONCE</t>
  </si>
  <si>
    <t>EL AHUMADITO SAS</t>
  </si>
  <si>
    <t xml:space="preserve">MUNICIPALIDAD TRANS                        </t>
  </si>
  <si>
    <t>1199-ROMBOLI MARIA LAURA</t>
  </si>
  <si>
    <t>1919-GIUDICE CAMANO IARA MELINA</t>
  </si>
  <si>
    <t>272-MURGANA GABRIEL ALEJANDRO</t>
  </si>
  <si>
    <t>1068-DECARA ZARATE BRIAN EZEQUIEL</t>
  </si>
  <si>
    <t>1464-MARENGO ALEJANDRA SUSANA</t>
  </si>
  <si>
    <t>1370-MORAN NORMA GLADYS</t>
  </si>
  <si>
    <t>1401-MILANI MARTA PATRICIA</t>
  </si>
  <si>
    <t>1251-RODRIGUEZ ELVIA</t>
  </si>
  <si>
    <t>1661-AGULLO VANESA SOLEDAD</t>
  </si>
  <si>
    <t>1800-CASTRO ANA LAURA</t>
  </si>
  <si>
    <t>237-Oviedo Oscar Alberto</t>
  </si>
  <si>
    <t>1875-LIMA NAHIR RACHEL</t>
  </si>
  <si>
    <t>1029-ESTEBAN LULL FRANCO GABRIEL</t>
  </si>
  <si>
    <t>1829-OLIVARES PELLERITTI JULIETA ALDANA</t>
  </si>
  <si>
    <t>923-SUAREZ FACUNDO IMANOL</t>
  </si>
  <si>
    <t>1154-SISCO LIRA LUIS JOSE</t>
  </si>
  <si>
    <t>3146-ROMERO GONZALO NAHUEL</t>
  </si>
  <si>
    <t>Nº 1784 Letra Año 2026 Ámbito 1000 - 03/02/2026</t>
  </si>
  <si>
    <t>3039-VICENTELA GUADALUPE BELEN</t>
  </si>
  <si>
    <t>Distribuidora de Gas Cuyana SA</t>
  </si>
  <si>
    <t>Recuperadores</t>
  </si>
  <si>
    <t xml:space="preserve">PAGO - Programa Guaymallén Invierte Con Vos - CASA JUAN FEMENIA SRL </t>
  </si>
  <si>
    <t>PAGO - Programa Guaymallén Invierte Con Vos - NATALIA CARINA GOMEZ</t>
  </si>
  <si>
    <t xml:space="preserve">PAGO - Programa Guaymallén Invierte Con Vos - ARAYA GUILLERMO </t>
  </si>
  <si>
    <t xml:space="preserve">PAGO - Programa Guaymallén Invierte Con Vos - GIMENEZ PABLO </t>
  </si>
  <si>
    <t>PAGO - Programa Guaymallén Invierte Con Vos - ROUZA DISTRIBUCIONES - s/dec  4688-2025</t>
  </si>
  <si>
    <t>PAGO - Programa Guaymallén Invierte Con Vos - ANGUSBAR CUYO SAS - s/decr 4686-25</t>
  </si>
  <si>
    <t>PAGO - Programa Guaymallén Invierte Con Vos - QUIROGA ABACA ROQUE - s/dec 11-2026</t>
  </si>
  <si>
    <t>PAGO - Programa Guaymallén Invierte Con Vos - MILO SRL - s/dec 4376-2025</t>
  </si>
  <si>
    <t>PAGO - Programa Guaymallén Invierte Con Vos - VAZQUEZ JARDEL MARIA</t>
  </si>
  <si>
    <t>PAGO - Programa Guaymallén Invierte Con Vos - BRAMPTON SAS</t>
  </si>
  <si>
    <t>REYES SEBASTIAN</t>
  </si>
  <si>
    <t>LEDEZMA MARIA LORENA</t>
  </si>
  <si>
    <t>MANRIQUE FERNANDO</t>
  </si>
  <si>
    <t>FERNANDEZ MARIA (RIESCO THIAGO)</t>
  </si>
  <si>
    <t>GILI GASTON LUIS</t>
  </si>
  <si>
    <t>GRAMAGLIA CARLOS GUSTAVO</t>
  </si>
  <si>
    <t>PIZARRO GUSTAVO DAVID</t>
  </si>
  <si>
    <t>PEREZ MARIA FERNANDA</t>
  </si>
  <si>
    <t>Rentas Sist. Ext. - Comp 83</t>
  </si>
  <si>
    <t>BARTOLUCCI JORGE OMAR</t>
  </si>
  <si>
    <t>Rentas Sist. Ext. - Comp 58</t>
  </si>
  <si>
    <t>SAMPIRISI JALEFF CHIARA LUCIA</t>
  </si>
  <si>
    <t>CALIGULE DECH LUIS ALBERTO</t>
  </si>
  <si>
    <t>NEGRO LORENA BELEN</t>
  </si>
  <si>
    <t>DOMINGUEZ ERWIN</t>
  </si>
  <si>
    <t>VALDEOLMILLO PABLO SEBASTIAN</t>
  </si>
  <si>
    <t>CORDERO FIORELLA LUCIANA</t>
  </si>
  <si>
    <t>ESTRADA SARA MABEL</t>
  </si>
  <si>
    <t>GARCIA RAUL JOSE</t>
  </si>
  <si>
    <t>ASTUDILLO GINO</t>
  </si>
  <si>
    <t>PADILLA MORENO MACARENA</t>
  </si>
  <si>
    <t>EFIMENCO PAULA VANINA</t>
  </si>
  <si>
    <t>Rentas Sist. Ext. - Comp 85</t>
  </si>
  <si>
    <t>FERNANDEZ RAMOS MARIA AGUSTINA</t>
  </si>
  <si>
    <t>GALERA SALVATIERRA SANTIAGO</t>
  </si>
  <si>
    <t>CANASA QUISPE ESTANISLAO</t>
  </si>
  <si>
    <t>GONZALEZ GABRIEL</t>
  </si>
  <si>
    <t>CASTRONOVO BLOIN NANCY</t>
  </si>
  <si>
    <t>LUDMILA CELESTE ORTIZ LOPEZ</t>
  </si>
  <si>
    <t>LLANOS INCLAN ERIC MATIAS</t>
  </si>
  <si>
    <t>MASCARO MOLINA TOMAS IGNACIO</t>
  </si>
  <si>
    <t>GOMEZ DANIELA VALERIA</t>
  </si>
  <si>
    <t>IANNIZZOTTO ALEJANDRO</t>
  </si>
  <si>
    <t>SANCHEZ MILENA</t>
  </si>
  <si>
    <t>ARBONA MARIANA LORENA</t>
  </si>
  <si>
    <t>MORALES RICARDO ULISES</t>
  </si>
  <si>
    <t>MUÑOZ RODRIGO</t>
  </si>
  <si>
    <t>DIBLASI MARIA HAYDEE</t>
  </si>
  <si>
    <t>STANZIOLA MARIA MARTA</t>
  </si>
  <si>
    <t>ARAUJO GABRIEL ORLANDO</t>
  </si>
  <si>
    <t>LAMPA BETIANA</t>
  </si>
  <si>
    <t>FINI PAOLA</t>
  </si>
  <si>
    <t>GARCIA BALTAZAR JULIO CESAR</t>
  </si>
  <si>
    <t>VILLASIS GALLEGOS LUIS ALBERTO BERNARDINO</t>
  </si>
  <si>
    <t>HERNANDEZ ELIANA CECILIA</t>
  </si>
  <si>
    <t>VICENCIO PEDERNERA RODRIGO</t>
  </si>
  <si>
    <t>GERINO LUCCA</t>
  </si>
  <si>
    <t>CATALDO ERICA EDITH</t>
  </si>
  <si>
    <t>DEVIA SUAREZ MARIA GIMENA</t>
  </si>
  <si>
    <t>ACEVEDO ANGEL JESUS</t>
  </si>
  <si>
    <t>MENESES MARIO ALBERTO</t>
  </si>
  <si>
    <t>BENEGAS LEANDRO</t>
  </si>
  <si>
    <t>MATURANA HECTOR MARCELO</t>
  </si>
  <si>
    <t>BRIGGS MANUEL</t>
  </si>
  <si>
    <t>ROSALES LUCERO LAUTARO</t>
  </si>
  <si>
    <t>LOPEZ LEONARDO AGUSTIN</t>
  </si>
  <si>
    <t>OLIVARES ADRIAN HUGO</t>
  </si>
  <si>
    <t>CHOQUE TOMAS ORLANDO</t>
  </si>
  <si>
    <t>QUIROGA JORGE DANIEL</t>
  </si>
  <si>
    <t>FERRER LAURA CECILIA</t>
  </si>
  <si>
    <t>ROSALES FERNANDA PAOLA</t>
  </si>
  <si>
    <t>BAZAN FRANCO DAVID</t>
  </si>
  <si>
    <t>CATTANEO SERGIO DANIEL</t>
  </si>
  <si>
    <t>FERNANDEZ MERCADO FRANCO</t>
  </si>
  <si>
    <t>VILLEGAS SILVIA BEATRIZ</t>
  </si>
  <si>
    <t>CHAVEZ BIBIANA</t>
  </si>
  <si>
    <t>GOMEZ GUSTAVO ALBERTO</t>
  </si>
  <si>
    <t>CONTRERAS ALVARO DAVID</t>
  </si>
  <si>
    <t>SARABIA JUAN</t>
  </si>
  <si>
    <t>RIVAS VALERIA</t>
  </si>
  <si>
    <t>CESPEDES ERICK JOEL</t>
  </si>
  <si>
    <t>CASTILLO IVAN ANDRES</t>
  </si>
  <si>
    <t>AGUIRRE GISELA</t>
  </si>
  <si>
    <t>CABRAL GISEL ROMINA</t>
  </si>
  <si>
    <t>GRAU ADRIAN CEFERINO</t>
  </si>
  <si>
    <t>PASQUIER HUGO ANTONIO</t>
  </si>
  <si>
    <t>VALENCIA LORENA BEATRIZ</t>
  </si>
  <si>
    <t>GENERAL MOTORS ARGENTI</t>
  </si>
  <si>
    <t>Recaudación - 02/02/2026</t>
  </si>
  <si>
    <t>Tesorería - Comp 503</t>
  </si>
  <si>
    <t>Tesorería - Comp 504</t>
  </si>
  <si>
    <t>Tesorería - Comp 484</t>
  </si>
  <si>
    <t>Tesorería - Comp 505</t>
  </si>
  <si>
    <t>Tesorería - Comp 193</t>
  </si>
  <si>
    <t>Tesorería - Comp 192</t>
  </si>
  <si>
    <t>Tesorería - Comp 208</t>
  </si>
  <si>
    <t>Tesorería - Comp 561</t>
  </si>
  <si>
    <t>Tesorería - Comp 506</t>
  </si>
  <si>
    <t>Tesorería - Comp 507</t>
  </si>
  <si>
    <t>Tesorería - Comp 508</t>
  </si>
  <si>
    <t>Tesorería - Comp 509</t>
  </si>
  <si>
    <t>Tesorería - Comp 510</t>
  </si>
  <si>
    <t>Faltantes Rentas Sist. Ext. - Comp 58</t>
  </si>
  <si>
    <t>Faltantes Rentas Sist. Ext. - Comp 83</t>
  </si>
  <si>
    <t>EE 1311-26 DDJJ IG 01/2026</t>
  </si>
  <si>
    <t>EE 670-26 DDJJ SUSS 12/2025</t>
  </si>
  <si>
    <t>EE 738-26 DDJJ IG 12/2025</t>
  </si>
  <si>
    <t>EE 738-26 DDJJ GANANCIAS 2Q 12/2025</t>
  </si>
  <si>
    <t>EE 670-26 DDJJ SUSS 2Q 12/2025</t>
  </si>
  <si>
    <t>Pago Facil - Comp 220</t>
  </si>
  <si>
    <t>Rapi Pago - Comp 218</t>
  </si>
  <si>
    <t>Supervielle - Comp 217</t>
  </si>
  <si>
    <t>Rapi Pago, Supervielle, Bolsa de Comercio - Comp 98</t>
  </si>
  <si>
    <t>Pago Facil - Comp 221</t>
  </si>
  <si>
    <t>Rapi Pago, Bolsa de Comercio - Comp 101</t>
  </si>
  <si>
    <t>Supervielle - Comp 113</t>
  </si>
  <si>
    <t>Supervielle - Comp 336</t>
  </si>
  <si>
    <t>Pago Facil - Comp 222</t>
  </si>
  <si>
    <t>Supervielle - Comp 126</t>
  </si>
  <si>
    <t>Rapi Pago, Bolsa de Comercio - Comp 109</t>
  </si>
  <si>
    <t>Pago Facil - Comp 103</t>
  </si>
  <si>
    <t>Supervielle - Comp 134</t>
  </si>
  <si>
    <t>Pago Facil - Comp 105</t>
  </si>
  <si>
    <t>Rapi Pago, Bolsa de Comercio - Comp 122</t>
  </si>
  <si>
    <t>Nº 732 Letra Año 2026 Ámbito 1000 DDJJ IIBB 12/2025</t>
  </si>
  <si>
    <t>Nº 254 Letra Año 2026 Ámbito 1000 - 24/02/2026</t>
  </si>
  <si>
    <t>Pago Impuesto Sellos</t>
  </si>
  <si>
    <t>SIRCAR</t>
  </si>
  <si>
    <t>Pago Facil - Comp 115</t>
  </si>
  <si>
    <t>Rapi Pago, Bolsa de Comercio - Comp 137</t>
  </si>
  <si>
    <t>Tarjeta Corporativa</t>
  </si>
  <si>
    <t>Nº 1146 Letra Año 2026 Ámbito 1000 Tarj. Corp. 12/2025</t>
  </si>
  <si>
    <t>Pago Facil - Comp 130</t>
  </si>
  <si>
    <t>Rapi Pago, Bolsa de Comercio - Comp 147</t>
  </si>
  <si>
    <t>Supervielle - Comp 153</t>
  </si>
  <si>
    <t>Pago Facil - Comp 141</t>
  </si>
  <si>
    <t>Rapi Pago, Bolsa de Comercio - Comp 154</t>
  </si>
  <si>
    <t>Supervielle - Comp 381</t>
  </si>
  <si>
    <t>Comp 372 - 373 - 374 - 376 - 378 - 380 - 855</t>
  </si>
  <si>
    <t>Pago Facil - Comp 149</t>
  </si>
  <si>
    <t>Supervielle - Comp 111</t>
  </si>
  <si>
    <t>Supervielle - Comp 286</t>
  </si>
  <si>
    <t>Rapi Pago, Bolsa de Comercio - Comp 94</t>
  </si>
  <si>
    <t>Pago Facil - Comp 155</t>
  </si>
  <si>
    <t>Rapi Pago, Bolsa de Comercio - Comp 114</t>
  </si>
  <si>
    <t>Supervielle - Comp 123</t>
  </si>
  <si>
    <t>Pago Facil - Comp 97</t>
  </si>
  <si>
    <t>Rapi Pago, Bolsa de Comercio - Comp 124</t>
  </si>
  <si>
    <t>Supervielle - Comp 135</t>
  </si>
  <si>
    <t>Supervielle - Comp 143</t>
  </si>
  <si>
    <t>Pago Facil - Comp 116</t>
  </si>
  <si>
    <t>Rapi Pago, Bolsa de Comercio - Comp 136</t>
  </si>
  <si>
    <t>Comp 384, 386, 387, 389, 390, 392, 393, 394, 395, 397, 399</t>
  </si>
  <si>
    <t>Nº 1300 Letra Año 2026 Ámbito 1000 - 02/02/2026</t>
  </si>
  <si>
    <t>Rapi Pago, Bolsa de Comercio - Comp 144</t>
  </si>
  <si>
    <t>Pago Facil - Comp 128</t>
  </si>
  <si>
    <t>Supervielle - Comp 175</t>
  </si>
  <si>
    <t>Supervielle - Comp 241</t>
  </si>
  <si>
    <t>SUSS</t>
  </si>
  <si>
    <t>Nº 1312 Letra Año 2026 DDJJ SUSS 01/2026 - 12/03/2026</t>
  </si>
  <si>
    <t>Rapi Pago, Bolsa de Comercio - Comp 176</t>
  </si>
  <si>
    <t>Pago Facil - Comp 138</t>
  </si>
  <si>
    <t>Supervielle - Comp 181</t>
  </si>
  <si>
    <t>Pago Facil - Comp 146</t>
  </si>
  <si>
    <t>Rapi Pago, Bolsa de Comercio - Comp 183</t>
  </si>
  <si>
    <t>Supervielle - Comp 199</t>
  </si>
  <si>
    <t>Pago Facil - Comp 177</t>
  </si>
  <si>
    <t>Rapi Pago, Bolsa de Comercio - Comp 201</t>
  </si>
  <si>
    <t>Agua y Saneamiento Mendoza SA</t>
  </si>
  <si>
    <t>Nº 1738 Letra Año 2026 Ámbito 1000 - 12/02/2026</t>
  </si>
  <si>
    <t>Rapi Pago, Bolsa de Comercio - Comp 242</t>
  </si>
  <si>
    <t>Pago Facil - Comp 185</t>
  </si>
  <si>
    <t>Comp 402 - 403 - 404 - 405 - 406</t>
  </si>
  <si>
    <t>Supervielle - Comp 264</t>
  </si>
  <si>
    <t>Pago Facil - Comp 204</t>
  </si>
  <si>
    <t>Rapi Pago, Bolsa de Comercio - Comp 265</t>
  </si>
  <si>
    <t>Supervielle - Comp 269</t>
  </si>
  <si>
    <t>Pago Facil - Comp 243</t>
  </si>
  <si>
    <t>Rapi Pago, Bolsa de Comercio - Comp 270</t>
  </si>
  <si>
    <t>Rapi Pago, Bolsa de Comercio - Comp 287</t>
  </si>
  <si>
    <t>Pago Facil - Comp 266</t>
  </si>
  <si>
    <t>Supervielle - Comp 309</t>
  </si>
  <si>
    <t>Nº 1559 Letra Año 2026 Ámbito 1000 - 12/03/2026</t>
  </si>
  <si>
    <t>Imputaciones Planta Municipal - 01/2026</t>
  </si>
  <si>
    <t>Nº 1560 Letra Año 2026 Ámbito 1000 - 20/02/2026</t>
  </si>
  <si>
    <t>Acreditaciones SEOS - 01/2026</t>
  </si>
  <si>
    <t>Rapi Pago, Bolsa de Comercio - Comp 311</t>
  </si>
  <si>
    <t>Pago Facil - Comp 271</t>
  </si>
  <si>
    <t>Boleto de Ingreso - Comp 355 - 10/02/2026</t>
  </si>
  <si>
    <t>Bolsa de Comercio - Comp 215 - 12/02/2026</t>
  </si>
  <si>
    <t>Bolsa de Comercio - Comp 216 - 12/02/2026</t>
  </si>
  <si>
    <t>Cajero 24 - 19/02/2026 y 12/03/2026</t>
  </si>
  <si>
    <t>Cajero 24 - 19/02/2026</t>
  </si>
  <si>
    <t>Canon Extraordinario 10/2025 - 02/02/2026</t>
  </si>
  <si>
    <t>Coparticipación 1Q 01/2026 - 02/02/2026</t>
  </si>
  <si>
    <t>Epagos TC - Comp 240, 244 y 247 - 02/2026 y 03/2026</t>
  </si>
  <si>
    <t>Epagos TC - Comp 248 y 250 - 02/2026 y 03/2026</t>
  </si>
  <si>
    <t>Rentas Sist. Ext. - Comp 259 - 03/02/2026</t>
  </si>
  <si>
    <t>Faltantes - Rentas Sist. Ext. - Comp 259 - 03/02/2026</t>
  </si>
  <si>
    <t>Partidas Pendientes 01/2026 - 26/02/2026</t>
  </si>
  <si>
    <t>Nro. 2171--2026-1000 - 03/02/2026</t>
  </si>
  <si>
    <t>Nro. 2234--2026-1000 - 04/02/2026</t>
  </si>
  <si>
    <t>Nro. 2312--2026-1000 - 02/02/2026</t>
  </si>
  <si>
    <t>Nro. 2326--2026-1000 - 02/02/2026</t>
  </si>
  <si>
    <t>Nro. 2325--2026-1000 - 02/02/2026</t>
  </si>
  <si>
    <t>Retenciones IG - IIBB 01/2026 - 05/02/2026</t>
  </si>
  <si>
    <t>CREDITO EXTRACTO</t>
  </si>
  <si>
    <t>EE 10736-25 Devolución de Boleto Municipal -  Daniel Valverde - OP 3754 - 32131304</t>
  </si>
  <si>
    <t>EE 26528-25 Pago de Fondo Fijo Cultura - Vico Ana Carolina - OP 5555 - 32131676</t>
  </si>
  <si>
    <t>EE 21896-25 Devolución de Boleto Municipal - Hernan Jalef Martinez OP 5596 - 32131677</t>
  </si>
  <si>
    <t>EE 27616-25 Devolución de Boleto Municipal - Alexia Gisel Motos - OP 6246 - 32131776</t>
  </si>
  <si>
    <t>EE 31339-25 Rendición de Fondo Fijo - Tesorería - OP 6421 - 32131794</t>
  </si>
  <si>
    <t>EE 31339-25 Rendición de Fondo Fijo - Tesorería - OP 6421 - 32131795</t>
  </si>
  <si>
    <t>EE 29169-25 Devolución de Boleto Municipal - Juan Condori - OP 6916 - 32131818</t>
  </si>
  <si>
    <t>GASTOS BANCARIOS</t>
  </si>
  <si>
    <t>2927-LAUTARO EZEQUIEL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</si>
</sst>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  <font>
      <sz val="9"/>
      <color theme="1"/>
      <name val="Trebuchet MS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20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164" fontId="3" fillId="4" borderId="5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14" fontId="3" fillId="4" borderId="6" xfId="0" applyNumberFormat="1" applyFont="1" applyFill="1" applyBorder="1" applyAlignment="1">
      <alignment horizontal="center"/>
    </xf>
    <xf numFmtId="0" fontId="3" fillId="4" borderId="6" xfId="0" applyFont="1" applyFill="1" applyBorder="1"/>
    <xf numFmtId="164" fontId="3" fillId="0" borderId="5" xfId="0" applyNumberFormat="1" applyFont="1" applyFill="1" applyBorder="1" applyAlignment="1">
      <alignment horizontal="center"/>
    </xf>
    <xf numFmtId="0" fontId="3" fillId="0" borderId="8" xfId="0" applyFont="1" applyFill="1" applyBorder="1"/>
    <xf numFmtId="14" fontId="5" fillId="4" borderId="1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0" fontId="3" fillId="4" borderId="8" xfId="0" applyFont="1" applyFill="1" applyBorder="1"/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/>
    <xf numFmtId="0" fontId="3" fillId="8" borderId="6" xfId="0" applyFont="1" applyFill="1" applyBorder="1"/>
    <xf numFmtId="4" fontId="3" fillId="8" borderId="1" xfId="1" applyNumberFormat="1" applyFont="1" applyFill="1" applyBorder="1"/>
    <xf numFmtId="4" fontId="3" fillId="0" borderId="1" xfId="0" applyNumberFormat="1" applyFont="1" applyBorder="1"/>
    <xf numFmtId="4" fontId="3" fillId="0" borderId="1" xfId="1" applyNumberFormat="1" applyFont="1" applyBorder="1"/>
    <xf numFmtId="4" fontId="3" fillId="4" borderId="1" xfId="1" applyNumberFormat="1" applyFont="1" applyFill="1" applyBorder="1"/>
    <xf numFmtId="4" fontId="3" fillId="4" borderId="8" xfId="1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6" xfId="0" applyFont="1" applyFill="1" applyBorder="1"/>
    <xf numFmtId="164" fontId="3" fillId="0" borderId="1" xfId="0" applyNumberFormat="1" applyFont="1" applyBorder="1" applyAlignment="1">
      <alignment horizontal="center"/>
    </xf>
    <xf numFmtId="0" fontId="3" fillId="4" borderId="5" xfId="0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4" borderId="1" xfId="0" applyNumberFormat="1" applyFont="1" applyFill="1" applyBorder="1" applyAlignment="1">
      <alignment horizontal="center"/>
    </xf>
    <xf numFmtId="4" fontId="3" fillId="4" borderId="1" xfId="1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3" fillId="6" borderId="1" xfId="1" applyNumberFormat="1" applyFont="1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6" borderId="1" xfId="0" applyFont="1" applyFill="1" applyBorder="1" applyAlignment="1">
      <alignment horizontal="left"/>
    </xf>
    <xf numFmtId="43" fontId="5" fillId="0" borderId="8" xfId="1" applyFont="1" applyBorder="1" applyAlignment="1">
      <alignment horizontal="center"/>
    </xf>
    <xf numFmtId="0" fontId="5" fillId="0" borderId="8" xfId="0" applyFont="1" applyBorder="1"/>
    <xf numFmtId="0" fontId="3" fillId="0" borderId="7" xfId="0" applyFont="1" applyBorder="1" applyAlignment="1">
      <alignment horizontal="left"/>
    </xf>
    <xf numFmtId="0" fontId="5" fillId="0" borderId="1" xfId="1" applyNumberFormat="1" applyFont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/>
    <xf numFmtId="0" fontId="3" fillId="7" borderId="8" xfId="0" applyFont="1" applyFill="1" applyBorder="1" applyAlignment="1">
      <alignment horizontal="center"/>
    </xf>
    <xf numFmtId="4" fontId="3" fillId="7" borderId="8" xfId="1" applyNumberFormat="1" applyFont="1" applyFill="1" applyBorder="1"/>
    <xf numFmtId="4" fontId="3" fillId="7" borderId="9" xfId="1" applyNumberFormat="1" applyFont="1" applyFill="1" applyBorder="1"/>
    <xf numFmtId="0" fontId="5" fillId="7" borderId="1" xfId="1" applyNumberFormat="1" applyFont="1" applyFill="1" applyBorder="1" applyAlignment="1">
      <alignment horizontal="center"/>
    </xf>
    <xf numFmtId="0" fontId="5" fillId="7" borderId="1" xfId="0" applyFont="1" applyFill="1" applyBorder="1"/>
    <xf numFmtId="0" fontId="8" fillId="7" borderId="3" xfId="0" applyFont="1" applyFill="1" applyBorder="1"/>
    <xf numFmtId="164" fontId="3" fillId="7" borderId="5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4" fontId="3" fillId="7" borderId="1" xfId="1" applyNumberFormat="1" applyFont="1" applyFill="1" applyBorder="1"/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4" fontId="3" fillId="5" borderId="8" xfId="1" applyNumberFormat="1" applyFont="1" applyFill="1" applyBorder="1"/>
    <xf numFmtId="4" fontId="3" fillId="5" borderId="9" xfId="1" applyNumberFormat="1" applyFont="1" applyFill="1" applyBorder="1"/>
    <xf numFmtId="0" fontId="5" fillId="5" borderId="1" xfId="1" applyNumberFormat="1" applyFont="1" applyFill="1" applyBorder="1" applyAlignment="1">
      <alignment horizontal="center"/>
    </xf>
    <xf numFmtId="0" fontId="5" fillId="5" borderId="1" xfId="0" applyFont="1" applyFill="1" applyBorder="1"/>
    <xf numFmtId="0" fontId="8" fillId="5" borderId="3" xfId="0" applyFont="1" applyFill="1" applyBorder="1"/>
    <xf numFmtId="164" fontId="7" fillId="5" borderId="7" xfId="0" applyNumberFormat="1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/>
    </xf>
    <xf numFmtId="0" fontId="7" fillId="5" borderId="8" xfId="0" applyFont="1" applyFill="1" applyBorder="1"/>
    <xf numFmtId="0" fontId="7" fillId="5" borderId="8" xfId="0" applyFont="1" applyFill="1" applyBorder="1" applyAlignment="1">
      <alignment horizontal="center"/>
    </xf>
    <xf numFmtId="4" fontId="7" fillId="5" borderId="8" xfId="1" applyNumberFormat="1" applyFont="1" applyFill="1" applyBorder="1"/>
    <xf numFmtId="0" fontId="8" fillId="5" borderId="8" xfId="0" applyFont="1" applyFill="1" applyBorder="1"/>
    <xf numFmtId="164" fontId="3" fillId="5" borderId="5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4" fontId="3" fillId="5" borderId="1" xfId="1" applyNumberFormat="1" applyFont="1" applyFill="1" applyBorder="1"/>
    <xf numFmtId="0" fontId="9" fillId="3" borderId="4" xfId="0" applyFont="1" applyFill="1" applyBorder="1" applyAlignment="1">
      <alignment horizontal="center"/>
    </xf>
    <xf numFmtId="0" fontId="7" fillId="0" borderId="6" xfId="0" applyFont="1" applyBorder="1"/>
    <xf numFmtId="0" fontId="3" fillId="6" borderId="5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5" fillId="7" borderId="3" xfId="0" applyFont="1" applyFill="1" applyBorder="1"/>
    <xf numFmtId="0" fontId="5" fillId="7" borderId="6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6" xfId="0" applyFont="1" applyFill="1" applyBorder="1"/>
    <xf numFmtId="0" fontId="12" fillId="0" borderId="1" xfId="0" applyFont="1" applyBorder="1"/>
    <xf numFmtId="43" fontId="3" fillId="0" borderId="0" xfId="1" applyFont="1" applyAlignment="1"/>
    <xf numFmtId="4" fontId="3" fillId="0" borderId="0" xfId="0" applyNumberFormat="1" applyFont="1"/>
    <xf numFmtId="0" fontId="3" fillId="0" borderId="0" xfId="0" applyFont="1" applyAlignment="1"/>
    <xf numFmtId="0" fontId="3" fillId="8" borderId="5" xfId="0" applyFont="1" applyFill="1" applyBorder="1"/>
    <xf numFmtId="164" fontId="3" fillId="8" borderId="5" xfId="0" applyNumberFormat="1" applyFont="1" applyFill="1" applyBorder="1" applyAlignment="1">
      <alignment horizontal="center"/>
    </xf>
    <xf numFmtId="4" fontId="3" fillId="8" borderId="9" xfId="1" applyNumberFormat="1" applyFont="1" applyFill="1" applyBorder="1"/>
    <xf numFmtId="0" fontId="5" fillId="8" borderId="1" xfId="1" applyNumberFormat="1" applyFont="1" applyFill="1" applyBorder="1" applyAlignment="1">
      <alignment horizontal="center"/>
    </xf>
    <xf numFmtId="0" fontId="5" fillId="8" borderId="1" xfId="0" applyFont="1" applyFill="1" applyBorder="1"/>
    <xf numFmtId="0" fontId="3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64" fontId="3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4">
    <cellStyle name="Millares" xfId="1" builtinId="3"/>
    <cellStyle name="Millares 2" xf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BDDE"/>
      <color rgb="FFCA7895"/>
      <color rgb="FFDC88A6"/>
      <color rgb="FFD16189"/>
      <color rgb="FFD098A8"/>
      <color rgb="FFE890B2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19" totalsRowShown="0" headerRowDxfId="64" dataDxfId="62" headerRowBorderDxfId="63" tableBorderDxfId="61" totalsRowBorderDxfId="60">
  <autoFilter ref="B8:H1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24:H27" totalsRowShown="0" headerRowDxfId="52" dataDxfId="50" headerRowBorderDxfId="51" tableBorderDxfId="49" totalsRowBorderDxfId="48">
  <autoFilter ref="B24:H27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31:E39" totalsRowShown="0" headerRowDxfId="40" dataDxfId="38" headerRowBorderDxfId="39" tableBorderDxfId="37" totalsRowBorderDxfId="36">
  <autoFilter ref="D31:E39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243" totalsRowShown="0" headerRowDxfId="33" dataDxfId="31" headerRowBorderDxfId="32" tableBorderDxfId="30" totalsRowBorderDxfId="29">
  <autoFilter ref="B6:M1243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316" totalsRowShown="0" headerRowDxfId="16" dataDxfId="14" headerRowBorderDxfId="15" tableBorderDxfId="13" totalsRowBorderDxfId="12">
  <autoFilter ref="B6:M1316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showGridLines="0" workbookViewId="0">
      <selection activeCell="C41" sqref="C41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7" width="18.5703125" style="1" customWidth="1"/>
    <col min="8" max="8" width="66.7109375" style="1" bestFit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1" spans="2:11" x14ac:dyDescent="0.35">
      <c r="K1" s="25">
        <v>-41333451.369999997</v>
      </c>
    </row>
    <row r="2" spans="2:11" x14ac:dyDescent="0.35">
      <c r="B2" s="15" t="s">
        <v>37</v>
      </c>
      <c r="C2" s="22" t="s">
        <v>33</v>
      </c>
      <c r="D2" s="16"/>
      <c r="E2" s="16"/>
      <c r="F2" s="16"/>
      <c r="G2" s="16"/>
      <c r="H2" s="16"/>
    </row>
    <row r="3" spans="2:11" x14ac:dyDescent="0.35">
      <c r="B3" s="15" t="s">
        <v>40</v>
      </c>
      <c r="C3" s="22">
        <v>579702001</v>
      </c>
      <c r="D3" s="16"/>
      <c r="E3" s="16"/>
      <c r="F3" s="16"/>
      <c r="G3" s="16"/>
      <c r="H3" s="16"/>
    </row>
    <row r="4" spans="2:11" x14ac:dyDescent="0.35">
      <c r="B4" s="15" t="s">
        <v>38</v>
      </c>
      <c r="C4" s="22" t="s">
        <v>41</v>
      </c>
      <c r="D4" s="16"/>
      <c r="E4" s="16"/>
      <c r="F4" s="16"/>
      <c r="G4" s="16"/>
      <c r="H4" s="16"/>
    </row>
    <row r="6" spans="2:11" x14ac:dyDescent="0.35">
      <c r="B6" s="192" t="s">
        <v>0</v>
      </c>
      <c r="C6" s="192"/>
      <c r="D6" s="192"/>
      <c r="E6" s="192"/>
      <c r="F6" s="192"/>
      <c r="G6" s="192"/>
      <c r="H6" s="192"/>
    </row>
    <row r="8" spans="2:11" s="2" customFormat="1" x14ac:dyDescent="0.35">
      <c r="B8" s="27" t="s">
        <v>2</v>
      </c>
      <c r="C8" s="28" t="s">
        <v>3</v>
      </c>
      <c r="D8" s="28" t="s">
        <v>7</v>
      </c>
      <c r="E8" s="29" t="s">
        <v>4</v>
      </c>
      <c r="F8" s="29" t="s">
        <v>5</v>
      </c>
      <c r="G8" s="28" t="s">
        <v>58</v>
      </c>
      <c r="H8" s="30" t="s">
        <v>6</v>
      </c>
      <c r="J8" s="193" t="s">
        <v>8</v>
      </c>
      <c r="K8" s="193"/>
    </row>
    <row r="9" spans="2:11" x14ac:dyDescent="0.35">
      <c r="B9" s="23">
        <v>45861</v>
      </c>
      <c r="C9" s="72">
        <v>32131304</v>
      </c>
      <c r="D9" s="5" t="s">
        <v>102</v>
      </c>
      <c r="E9" s="113">
        <v>0</v>
      </c>
      <c r="F9" s="113">
        <v>13965</v>
      </c>
      <c r="G9" s="72"/>
      <c r="H9" s="6" t="s">
        <v>103</v>
      </c>
    </row>
    <row r="10" spans="2:11" x14ac:dyDescent="0.35">
      <c r="B10" s="23">
        <v>45947</v>
      </c>
      <c r="C10" s="72">
        <v>32131676</v>
      </c>
      <c r="D10" s="5" t="s">
        <v>102</v>
      </c>
      <c r="E10" s="113">
        <v>0</v>
      </c>
      <c r="F10" s="113">
        <v>50000</v>
      </c>
      <c r="G10" s="72"/>
      <c r="H10" s="6" t="s">
        <v>104</v>
      </c>
      <c r="J10" s="63"/>
      <c r="K10" s="70" t="s">
        <v>94</v>
      </c>
    </row>
    <row r="11" spans="2:11" x14ac:dyDescent="0.35">
      <c r="B11" s="23">
        <v>45951</v>
      </c>
      <c r="C11" s="72">
        <v>32131677</v>
      </c>
      <c r="D11" s="5" t="s">
        <v>102</v>
      </c>
      <c r="E11" s="113">
        <v>0</v>
      </c>
      <c r="F11" s="113">
        <v>27930</v>
      </c>
      <c r="G11" s="72"/>
      <c r="H11" s="6" t="s">
        <v>105</v>
      </c>
      <c r="J11" s="64"/>
      <c r="K11" s="70"/>
    </row>
    <row r="12" spans="2:11" x14ac:dyDescent="0.35">
      <c r="B12" s="98">
        <v>45961</v>
      </c>
      <c r="C12" s="116">
        <v>32131691</v>
      </c>
      <c r="D12" s="100" t="s">
        <v>102</v>
      </c>
      <c r="E12" s="114">
        <v>0</v>
      </c>
      <c r="F12" s="114">
        <v>703702.74</v>
      </c>
      <c r="G12" s="101">
        <v>46045</v>
      </c>
      <c r="H12" s="102" t="s">
        <v>1461</v>
      </c>
      <c r="J12" s="65"/>
      <c r="K12" s="70" t="s">
        <v>99</v>
      </c>
    </row>
    <row r="13" spans="2:11" x14ac:dyDescent="0.35">
      <c r="B13" s="23">
        <v>45978</v>
      </c>
      <c r="C13" s="72">
        <v>32131776</v>
      </c>
      <c r="D13" s="5" t="s">
        <v>102</v>
      </c>
      <c r="E13" s="113">
        <v>0</v>
      </c>
      <c r="F13" s="113">
        <v>30723</v>
      </c>
      <c r="G13" s="72"/>
      <c r="H13" s="6" t="s">
        <v>106</v>
      </c>
      <c r="J13" s="64"/>
      <c r="K13" s="70"/>
    </row>
    <row r="14" spans="2:11" x14ac:dyDescent="0.35">
      <c r="B14" s="103">
        <v>45988</v>
      </c>
      <c r="C14" s="56">
        <v>32131794</v>
      </c>
      <c r="D14" s="26" t="s">
        <v>102</v>
      </c>
      <c r="E14" s="46">
        <v>0</v>
      </c>
      <c r="F14" s="46">
        <v>625868</v>
      </c>
      <c r="G14" s="56"/>
      <c r="H14" s="119" t="s">
        <v>107</v>
      </c>
      <c r="J14" s="66"/>
      <c r="K14" s="70" t="s">
        <v>95</v>
      </c>
    </row>
    <row r="15" spans="2:11" x14ac:dyDescent="0.35">
      <c r="B15" s="103">
        <v>45988</v>
      </c>
      <c r="C15" s="56">
        <v>32131795</v>
      </c>
      <c r="D15" s="26" t="s">
        <v>102</v>
      </c>
      <c r="E15" s="46">
        <v>0</v>
      </c>
      <c r="F15" s="46">
        <v>560000</v>
      </c>
      <c r="G15" s="56"/>
      <c r="H15" s="119" t="s">
        <v>107</v>
      </c>
      <c r="J15" s="64"/>
      <c r="K15" s="70"/>
    </row>
    <row r="16" spans="2:11" x14ac:dyDescent="0.35">
      <c r="B16" s="23">
        <v>46008</v>
      </c>
      <c r="C16" s="72">
        <v>32131818</v>
      </c>
      <c r="D16" s="5" t="s">
        <v>102</v>
      </c>
      <c r="E16" s="113">
        <v>0</v>
      </c>
      <c r="F16" s="113">
        <v>30723</v>
      </c>
      <c r="G16" s="72"/>
      <c r="H16" s="104" t="s">
        <v>108</v>
      </c>
      <c r="J16" s="67"/>
      <c r="K16" s="70" t="s">
        <v>96</v>
      </c>
    </row>
    <row r="17" spans="2:11" x14ac:dyDescent="0.35">
      <c r="B17" s="98">
        <v>46021</v>
      </c>
      <c r="C17" s="116">
        <v>17</v>
      </c>
      <c r="D17" s="100" t="s">
        <v>109</v>
      </c>
      <c r="E17" s="114">
        <v>1021313.88</v>
      </c>
      <c r="F17" s="114">
        <v>0</v>
      </c>
      <c r="G17" s="105">
        <v>46024</v>
      </c>
      <c r="H17" s="100" t="s">
        <v>1459</v>
      </c>
      <c r="J17" s="64"/>
      <c r="K17" s="70"/>
    </row>
    <row r="18" spans="2:11" x14ac:dyDescent="0.35">
      <c r="B18" s="98">
        <v>46021</v>
      </c>
      <c r="C18" s="116">
        <v>32</v>
      </c>
      <c r="D18" s="100" t="s">
        <v>109</v>
      </c>
      <c r="E18" s="114">
        <v>2431392.4</v>
      </c>
      <c r="F18" s="114">
        <v>0</v>
      </c>
      <c r="G18" s="105">
        <v>46024</v>
      </c>
      <c r="H18" s="100" t="s">
        <v>1460</v>
      </c>
      <c r="J18" s="68"/>
      <c r="K18" s="70" t="s">
        <v>97</v>
      </c>
    </row>
    <row r="19" spans="2:11" x14ac:dyDescent="0.35">
      <c r="B19" s="106">
        <v>46021</v>
      </c>
      <c r="C19" s="117">
        <v>27182</v>
      </c>
      <c r="D19" s="107" t="s">
        <v>102</v>
      </c>
      <c r="E19" s="115">
        <v>0</v>
      </c>
      <c r="F19" s="115">
        <v>110500000</v>
      </c>
      <c r="G19" s="105">
        <v>46027</v>
      </c>
      <c r="H19" s="100" t="s">
        <v>110</v>
      </c>
      <c r="J19" s="64"/>
      <c r="K19" s="70"/>
    </row>
    <row r="20" spans="2:11" x14ac:dyDescent="0.35">
      <c r="B20" s="90"/>
      <c r="C20" s="91"/>
      <c r="D20" s="92"/>
      <c r="E20" s="113">
        <f>SUBTOTAL(109,Tabla1[DÉBITOS])</f>
        <v>3452706.28</v>
      </c>
      <c r="F20" s="113">
        <f>SUBTOTAL(109,Tabla1[CRÉDITOS])</f>
        <v>112542911.73999999</v>
      </c>
      <c r="G20" s="92"/>
      <c r="H20" s="92"/>
      <c r="J20" s="69"/>
      <c r="K20" s="71" t="s">
        <v>98</v>
      </c>
    </row>
    <row r="21" spans="2:11" x14ac:dyDescent="0.35">
      <c r="J21" s="97"/>
      <c r="K21" s="71"/>
    </row>
    <row r="22" spans="2:11" x14ac:dyDescent="0.35">
      <c r="B22" s="192" t="s">
        <v>1</v>
      </c>
      <c r="C22" s="192"/>
      <c r="D22" s="192"/>
      <c r="E22" s="192"/>
      <c r="F22" s="192"/>
      <c r="G22" s="192"/>
      <c r="H22" s="192"/>
      <c r="J22" s="64"/>
      <c r="K22" s="70"/>
    </row>
    <row r="24" spans="2:11" x14ac:dyDescent="0.35">
      <c r="B24" s="33" t="s">
        <v>2</v>
      </c>
      <c r="C24" s="62" t="s">
        <v>3</v>
      </c>
      <c r="D24" s="34" t="s">
        <v>7</v>
      </c>
      <c r="E24" s="35" t="s">
        <v>4</v>
      </c>
      <c r="F24" s="35" t="s">
        <v>5</v>
      </c>
      <c r="G24" s="28" t="s">
        <v>58</v>
      </c>
      <c r="H24" s="34" t="s">
        <v>6</v>
      </c>
    </row>
    <row r="25" spans="2:11" x14ac:dyDescent="0.35">
      <c r="B25" s="85">
        <v>45888</v>
      </c>
      <c r="C25" s="56">
        <v>20807000</v>
      </c>
      <c r="D25" s="26" t="s">
        <v>111</v>
      </c>
      <c r="E25" s="46">
        <v>0</v>
      </c>
      <c r="F25" s="46">
        <v>0.1</v>
      </c>
      <c r="G25" s="26"/>
      <c r="H25" s="13" t="s">
        <v>112</v>
      </c>
    </row>
    <row r="26" spans="2:11" x14ac:dyDescent="0.35">
      <c r="B26" s="108">
        <v>46010</v>
      </c>
      <c r="C26" s="118">
        <v>7898990</v>
      </c>
      <c r="D26" s="109" t="s">
        <v>111</v>
      </c>
      <c r="E26" s="111">
        <v>0</v>
      </c>
      <c r="F26" s="111">
        <v>41333451.369999997</v>
      </c>
      <c r="G26" s="109"/>
      <c r="H26" s="109" t="s">
        <v>113</v>
      </c>
    </row>
    <row r="27" spans="2:11" x14ac:dyDescent="0.35">
      <c r="B27" s="108">
        <v>46010</v>
      </c>
      <c r="C27" s="118">
        <v>7898992</v>
      </c>
      <c r="D27" s="109" t="s">
        <v>111</v>
      </c>
      <c r="E27" s="111">
        <v>0</v>
      </c>
      <c r="F27" s="111">
        <v>18081866.309999999</v>
      </c>
      <c r="G27" s="109"/>
      <c r="H27" s="110" t="s">
        <v>114</v>
      </c>
    </row>
    <row r="28" spans="2:11" x14ac:dyDescent="0.35">
      <c r="E28" s="112">
        <f>SUBTOTAL(109,Tabla14[DÉBITOS])</f>
        <v>0</v>
      </c>
      <c r="F28" s="112">
        <f>SUBTOTAL(109,Tabla14[CRÉDITOS])</f>
        <v>59415317.780000001</v>
      </c>
    </row>
    <row r="31" spans="2:11" x14ac:dyDescent="0.35">
      <c r="D31" s="36" t="s">
        <v>9</v>
      </c>
      <c r="E31" s="37" t="s">
        <v>10</v>
      </c>
    </row>
    <row r="32" spans="2:11" x14ac:dyDescent="0.35">
      <c r="D32" s="4" t="s">
        <v>67</v>
      </c>
      <c r="E32" s="82">
        <v>47205386.439999998</v>
      </c>
    </row>
    <row r="33" spans="4:5" x14ac:dyDescent="0.35">
      <c r="D33" s="4" t="s">
        <v>53</v>
      </c>
      <c r="E33" s="82">
        <f>+E20</f>
        <v>3452706.28</v>
      </c>
    </row>
    <row r="34" spans="4:5" x14ac:dyDescent="0.35">
      <c r="D34" s="4" t="s">
        <v>54</v>
      </c>
      <c r="E34" s="82">
        <f>+F20</f>
        <v>112542911.73999999</v>
      </c>
    </row>
    <row r="35" spans="4:5" x14ac:dyDescent="0.35">
      <c r="D35" s="4" t="s">
        <v>55</v>
      </c>
      <c r="E35" s="82">
        <f>+F28</f>
        <v>59415317.780000001</v>
      </c>
    </row>
    <row r="36" spans="4:5" x14ac:dyDescent="0.35">
      <c r="D36" s="4" t="s">
        <v>56</v>
      </c>
      <c r="E36" s="82">
        <f>+E28</f>
        <v>0</v>
      </c>
    </row>
    <row r="37" spans="4:5" x14ac:dyDescent="0.35">
      <c r="D37" s="4" t="s">
        <v>57</v>
      </c>
      <c r="E37" s="82">
        <f>+E32-E33+E34-E35+E36</f>
        <v>96880274.119999975</v>
      </c>
    </row>
    <row r="38" spans="4:5" x14ac:dyDescent="0.35">
      <c r="D38" s="4" t="s">
        <v>68</v>
      </c>
      <c r="E38" s="82">
        <v>96880274.120000005</v>
      </c>
    </row>
    <row r="39" spans="4:5" x14ac:dyDescent="0.35">
      <c r="D39" s="7" t="s">
        <v>66</v>
      </c>
      <c r="E39" s="83">
        <f>+E37-E38</f>
        <v>0</v>
      </c>
    </row>
  </sheetData>
  <mergeCells count="3">
    <mergeCell ref="B6:H6"/>
    <mergeCell ref="B22:H2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243"/>
  <sheetViews>
    <sheetView showGridLines="0" workbookViewId="0">
      <selection activeCell="E22" sqref="E22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4.140625" style="19" bestFit="1" customWidth="1"/>
    <col min="7" max="7" width="24.85546875" style="1" bestFit="1" customWidth="1"/>
    <col min="8" max="8" width="14.85546875" style="2" bestFit="1" customWidth="1"/>
    <col min="9" max="9" width="10.42578125" style="2" bestFit="1" customWidth="1"/>
    <col min="10" max="10" width="44.85546875" style="1" bestFit="1" customWidth="1"/>
    <col min="11" max="11" width="13.5703125" style="19" bestFit="1" customWidth="1"/>
    <col min="12" max="12" width="47.85546875" style="1" bestFit="1" customWidth="1"/>
    <col min="13" max="13" width="22.140625" style="1" bestFit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1" spans="2:16" x14ac:dyDescent="0.35">
      <c r="K1" s="48"/>
    </row>
    <row r="2" spans="2:16" x14ac:dyDescent="0.35">
      <c r="B2" s="16" t="s">
        <v>59</v>
      </c>
      <c r="C2" s="20" t="s">
        <v>33</v>
      </c>
      <c r="D2" s="3"/>
      <c r="E2" s="3"/>
      <c r="F2" s="24"/>
      <c r="G2" s="16"/>
      <c r="H2" s="3"/>
      <c r="I2" s="3"/>
      <c r="J2" s="16"/>
      <c r="K2" s="24"/>
      <c r="L2" s="183"/>
    </row>
    <row r="3" spans="2:16" x14ac:dyDescent="0.35">
      <c r="B3" s="15" t="s">
        <v>40</v>
      </c>
      <c r="C3" s="20">
        <v>579702001</v>
      </c>
      <c r="D3" s="3"/>
      <c r="E3" s="3"/>
      <c r="F3" s="24"/>
      <c r="G3" s="16"/>
      <c r="H3" s="3"/>
      <c r="I3" s="3"/>
      <c r="J3" s="181"/>
      <c r="K3" s="181"/>
      <c r="L3" s="16"/>
    </row>
    <row r="4" spans="2:16" x14ac:dyDescent="0.35">
      <c r="B4" s="15" t="s">
        <v>38</v>
      </c>
      <c r="C4" s="20" t="s">
        <v>41</v>
      </c>
      <c r="J4" s="182"/>
    </row>
    <row r="5" spans="2:16" x14ac:dyDescent="0.35">
      <c r="J5" s="182"/>
    </row>
    <row r="6" spans="2:16" s="2" customFormat="1" x14ac:dyDescent="0.35">
      <c r="B6" s="38" t="s">
        <v>11</v>
      </c>
      <c r="C6" s="28" t="s">
        <v>2</v>
      </c>
      <c r="D6" s="28" t="s">
        <v>3</v>
      </c>
      <c r="E6" s="28" t="s">
        <v>12</v>
      </c>
      <c r="F6" s="29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28" t="s">
        <v>6</v>
      </c>
      <c r="M6" s="170" t="s">
        <v>29</v>
      </c>
      <c r="O6" s="193" t="s">
        <v>8</v>
      </c>
      <c r="P6" s="193"/>
    </row>
    <row r="7" spans="2:16" x14ac:dyDescent="0.35">
      <c r="B7" s="4" t="s">
        <v>30</v>
      </c>
      <c r="C7" s="120"/>
      <c r="D7" s="72"/>
      <c r="E7" s="72"/>
      <c r="F7" s="113"/>
      <c r="G7" s="5"/>
      <c r="H7" s="72"/>
      <c r="I7" s="72"/>
      <c r="J7" s="5"/>
      <c r="K7" s="113">
        <v>96880274.120000005</v>
      </c>
      <c r="L7" s="5"/>
      <c r="M7" s="171"/>
    </row>
    <row r="8" spans="2:16" x14ac:dyDescent="0.35">
      <c r="B8" s="121" t="s">
        <v>137</v>
      </c>
      <c r="C8" s="122">
        <v>46024</v>
      </c>
      <c r="D8" s="124">
        <v>206500197</v>
      </c>
      <c r="E8" s="124">
        <v>66</v>
      </c>
      <c r="F8" s="125">
        <v>1021313.88</v>
      </c>
      <c r="G8" s="99" t="s">
        <v>138</v>
      </c>
      <c r="H8" s="124">
        <v>278</v>
      </c>
      <c r="I8" s="99"/>
      <c r="J8" s="99"/>
      <c r="K8" s="125">
        <f>+K7+Tabla6[[#This Row],[IMPORTE]]</f>
        <v>97901588</v>
      </c>
      <c r="L8" s="100" t="s">
        <v>1459</v>
      </c>
      <c r="M8" s="123" t="s">
        <v>181</v>
      </c>
      <c r="O8" s="63"/>
      <c r="P8" s="70" t="s">
        <v>94</v>
      </c>
    </row>
    <row r="9" spans="2:16" x14ac:dyDescent="0.35">
      <c r="B9" s="4" t="s">
        <v>115</v>
      </c>
      <c r="C9" s="85">
        <v>46024</v>
      </c>
      <c r="D9" s="72">
        <v>203994</v>
      </c>
      <c r="E9" s="72">
        <v>66</v>
      </c>
      <c r="F9" s="113">
        <v>54659.58</v>
      </c>
      <c r="G9" s="5" t="s">
        <v>116</v>
      </c>
      <c r="H9" s="72">
        <v>480</v>
      </c>
      <c r="I9" s="72">
        <v>30500529454</v>
      </c>
      <c r="J9" s="5" t="s">
        <v>117</v>
      </c>
      <c r="K9" s="113">
        <f>+K8+Tabla6[[#This Row],[IMPORTE]]</f>
        <v>97956247.579999998</v>
      </c>
      <c r="L9" s="5" t="s">
        <v>1737</v>
      </c>
      <c r="M9" s="119" t="s">
        <v>100</v>
      </c>
      <c r="O9" s="64"/>
      <c r="P9" s="70"/>
    </row>
    <row r="10" spans="2:16" x14ac:dyDescent="0.35">
      <c r="B10" s="4" t="s">
        <v>115</v>
      </c>
      <c r="C10" s="85">
        <v>46024</v>
      </c>
      <c r="D10" s="72">
        <v>6257531</v>
      </c>
      <c r="E10" s="72">
        <v>66</v>
      </c>
      <c r="F10" s="113">
        <v>1116822.78</v>
      </c>
      <c r="G10" s="5" t="s">
        <v>116</v>
      </c>
      <c r="H10" s="72">
        <v>480</v>
      </c>
      <c r="I10" s="72">
        <v>30643990632</v>
      </c>
      <c r="J10" s="5" t="s">
        <v>118</v>
      </c>
      <c r="K10" s="113">
        <f>+K9+Tabla6[[#This Row],[IMPORTE]]</f>
        <v>99073070.359999999</v>
      </c>
      <c r="L10" s="5" t="s">
        <v>1503</v>
      </c>
      <c r="M10" s="119" t="s">
        <v>100</v>
      </c>
      <c r="O10" s="65"/>
      <c r="P10" s="70" t="s">
        <v>99</v>
      </c>
    </row>
    <row r="11" spans="2:16" x14ac:dyDescent="0.35">
      <c r="B11" s="4" t="s">
        <v>115</v>
      </c>
      <c r="C11" s="85">
        <v>46024</v>
      </c>
      <c r="D11" s="72">
        <v>6243310</v>
      </c>
      <c r="E11" s="72">
        <v>66</v>
      </c>
      <c r="F11" s="113">
        <v>1248497.51</v>
      </c>
      <c r="G11" s="5" t="s">
        <v>116</v>
      </c>
      <c r="H11" s="72">
        <v>479</v>
      </c>
      <c r="I11" s="72">
        <v>30659863789</v>
      </c>
      <c r="J11" s="5" t="s">
        <v>119</v>
      </c>
      <c r="K11" s="113">
        <f>+K10+Tabla6[[#This Row],[IMPORTE]]</f>
        <v>100321567.87</v>
      </c>
      <c r="L11" s="5" t="s">
        <v>1647</v>
      </c>
      <c r="M11" s="119" t="s">
        <v>100</v>
      </c>
      <c r="O11" s="64"/>
      <c r="P11" s="70"/>
    </row>
    <row r="12" spans="2:16" x14ac:dyDescent="0.35">
      <c r="B12" s="121" t="s">
        <v>115</v>
      </c>
      <c r="C12" s="122">
        <v>46024</v>
      </c>
      <c r="D12" s="116">
        <v>6143307</v>
      </c>
      <c r="E12" s="116">
        <v>66</v>
      </c>
      <c r="F12" s="114">
        <v>2431392.4</v>
      </c>
      <c r="G12" s="100" t="s">
        <v>116</v>
      </c>
      <c r="H12" s="116">
        <v>482</v>
      </c>
      <c r="I12" s="116">
        <v>30999147077</v>
      </c>
      <c r="J12" s="100" t="s">
        <v>120</v>
      </c>
      <c r="K12" s="114">
        <f>+K11+Tabla6[[#This Row],[IMPORTE]]</f>
        <v>102752960.27000001</v>
      </c>
      <c r="L12" s="100" t="s">
        <v>1460</v>
      </c>
      <c r="M12" s="123" t="s">
        <v>181</v>
      </c>
      <c r="O12" s="66"/>
      <c r="P12" s="70" t="s">
        <v>95</v>
      </c>
    </row>
    <row r="13" spans="2:16" x14ac:dyDescent="0.35">
      <c r="B13" s="4" t="s">
        <v>115</v>
      </c>
      <c r="C13" s="85">
        <v>46024</v>
      </c>
      <c r="D13" s="72">
        <v>6259574</v>
      </c>
      <c r="E13" s="72">
        <v>66</v>
      </c>
      <c r="F13" s="113">
        <v>2659291.0099999998</v>
      </c>
      <c r="G13" s="5" t="s">
        <v>116</v>
      </c>
      <c r="H13" s="72">
        <v>480</v>
      </c>
      <c r="I13" s="72">
        <v>30643990632</v>
      </c>
      <c r="J13" s="5" t="s">
        <v>118</v>
      </c>
      <c r="K13" s="113">
        <f>+K12+Tabla6[[#This Row],[IMPORTE]]</f>
        <v>105412251.28000002</v>
      </c>
      <c r="L13" s="5" t="s">
        <v>1648</v>
      </c>
      <c r="M13" s="119" t="s">
        <v>100</v>
      </c>
      <c r="O13" s="64"/>
      <c r="P13" s="70"/>
    </row>
    <row r="14" spans="2:16" x14ac:dyDescent="0.35">
      <c r="B14" s="4" t="s">
        <v>121</v>
      </c>
      <c r="C14" s="85">
        <v>46024</v>
      </c>
      <c r="D14" s="72">
        <v>2664005501</v>
      </c>
      <c r="E14" s="72">
        <v>66</v>
      </c>
      <c r="F14" s="113">
        <v>2834619.76</v>
      </c>
      <c r="G14" s="5" t="s">
        <v>122</v>
      </c>
      <c r="H14" s="72">
        <v>694</v>
      </c>
      <c r="I14" s="72" t="s">
        <v>123</v>
      </c>
      <c r="J14" s="5" t="s">
        <v>124</v>
      </c>
      <c r="K14" s="113">
        <f>+K13+Tabla6[[#This Row],[IMPORTE]]</f>
        <v>108246871.04000002</v>
      </c>
      <c r="L14" s="5" t="s">
        <v>1485</v>
      </c>
      <c r="M14" s="119" t="s">
        <v>100</v>
      </c>
      <c r="O14" s="67"/>
      <c r="P14" s="70" t="s">
        <v>96</v>
      </c>
    </row>
    <row r="15" spans="2:16" x14ac:dyDescent="0.35">
      <c r="B15" s="4" t="s">
        <v>115</v>
      </c>
      <c r="C15" s="85">
        <v>46024</v>
      </c>
      <c r="D15" s="72">
        <v>6243308</v>
      </c>
      <c r="E15" s="72">
        <v>66</v>
      </c>
      <c r="F15" s="113">
        <v>4310918.12</v>
      </c>
      <c r="G15" s="5" t="s">
        <v>116</v>
      </c>
      <c r="H15" s="72">
        <v>479</v>
      </c>
      <c r="I15" s="72">
        <v>30659863789</v>
      </c>
      <c r="J15" s="5" t="s">
        <v>119</v>
      </c>
      <c r="K15" s="113">
        <f>+K14+Tabla6[[#This Row],[IMPORTE]]</f>
        <v>112557789.16000003</v>
      </c>
      <c r="L15" s="5" t="s">
        <v>1647</v>
      </c>
      <c r="M15" s="119" t="s">
        <v>100</v>
      </c>
      <c r="O15" s="64"/>
      <c r="P15" s="70"/>
    </row>
    <row r="16" spans="2:16" x14ac:dyDescent="0.35">
      <c r="B16" s="4" t="s">
        <v>125</v>
      </c>
      <c r="C16" s="85">
        <v>46024</v>
      </c>
      <c r="D16" s="72">
        <v>746000029</v>
      </c>
      <c r="E16" s="72">
        <v>66</v>
      </c>
      <c r="F16" s="113">
        <v>5954777.46</v>
      </c>
      <c r="G16" s="5" t="s">
        <v>126</v>
      </c>
      <c r="H16" s="72">
        <v>558</v>
      </c>
      <c r="I16" s="72" t="s">
        <v>123</v>
      </c>
      <c r="J16" s="5" t="s">
        <v>124</v>
      </c>
      <c r="K16" s="113">
        <f>+K15+Tabla6[[#This Row],[IMPORTE]]</f>
        <v>118512566.62000002</v>
      </c>
      <c r="L16" s="5" t="s">
        <v>1649</v>
      </c>
      <c r="M16" s="119" t="s">
        <v>100</v>
      </c>
      <c r="O16" s="68"/>
      <c r="P16" s="70" t="s">
        <v>97</v>
      </c>
    </row>
    <row r="17" spans="2:16" x14ac:dyDescent="0.35">
      <c r="B17" s="4" t="s">
        <v>115</v>
      </c>
      <c r="C17" s="85">
        <v>46024</v>
      </c>
      <c r="D17" s="72">
        <v>6254841</v>
      </c>
      <c r="E17" s="72">
        <v>66</v>
      </c>
      <c r="F17" s="113">
        <v>6786022.8300000001</v>
      </c>
      <c r="G17" s="5" t="s">
        <v>116</v>
      </c>
      <c r="H17" s="72">
        <v>479</v>
      </c>
      <c r="I17" s="72">
        <v>30643990632</v>
      </c>
      <c r="J17" s="5" t="s">
        <v>127</v>
      </c>
      <c r="K17" s="113">
        <f>+K16+Tabla6[[#This Row],[IMPORTE]]</f>
        <v>125298589.45000002</v>
      </c>
      <c r="L17" s="5" t="s">
        <v>1503</v>
      </c>
      <c r="M17" s="119" t="s">
        <v>100</v>
      </c>
      <c r="O17" s="64"/>
      <c r="P17" s="70"/>
    </row>
    <row r="18" spans="2:16" x14ac:dyDescent="0.35">
      <c r="B18" s="4" t="s">
        <v>128</v>
      </c>
      <c r="C18" s="85">
        <v>46024</v>
      </c>
      <c r="D18" s="72">
        <v>666300890</v>
      </c>
      <c r="E18" s="72">
        <v>66</v>
      </c>
      <c r="F18" s="113">
        <v>6896421.3300000001</v>
      </c>
      <c r="G18" s="5" t="s">
        <v>129</v>
      </c>
      <c r="H18" s="72">
        <v>93</v>
      </c>
      <c r="I18" s="72" t="s">
        <v>123</v>
      </c>
      <c r="J18" s="5" t="s">
        <v>124</v>
      </c>
      <c r="K18" s="113">
        <f>+K17+Tabla6[[#This Row],[IMPORTE]]</f>
        <v>132195010.78000002</v>
      </c>
      <c r="L18" s="5" t="s">
        <v>1727</v>
      </c>
      <c r="M18" s="119" t="s">
        <v>100</v>
      </c>
      <c r="O18" s="69"/>
      <c r="P18" s="71" t="s">
        <v>98</v>
      </c>
    </row>
    <row r="19" spans="2:16" x14ac:dyDescent="0.35">
      <c r="B19" s="4" t="s">
        <v>115</v>
      </c>
      <c r="C19" s="85">
        <v>46024</v>
      </c>
      <c r="D19" s="72">
        <v>6251510</v>
      </c>
      <c r="E19" s="72">
        <v>66</v>
      </c>
      <c r="F19" s="113">
        <v>7960642.7999999998</v>
      </c>
      <c r="G19" s="5" t="s">
        <v>116</v>
      </c>
      <c r="H19" s="72">
        <v>479</v>
      </c>
      <c r="I19" s="72">
        <v>30643990632</v>
      </c>
      <c r="J19" s="5" t="s">
        <v>127</v>
      </c>
      <c r="K19" s="113">
        <f>+K18+Tabla6[[#This Row],[IMPORTE]]</f>
        <v>140155653.58000001</v>
      </c>
      <c r="L19" s="5" t="s">
        <v>1648</v>
      </c>
      <c r="M19" s="119" t="s">
        <v>100</v>
      </c>
      <c r="O19" s="64"/>
      <c r="P19" s="70"/>
    </row>
    <row r="20" spans="2:16" x14ac:dyDescent="0.35">
      <c r="B20" s="4" t="s">
        <v>128</v>
      </c>
      <c r="C20" s="85">
        <v>46024</v>
      </c>
      <c r="D20" s="72">
        <v>666301958</v>
      </c>
      <c r="E20" s="72">
        <v>66</v>
      </c>
      <c r="F20" s="113">
        <v>10203823.77</v>
      </c>
      <c r="G20" s="5" t="s">
        <v>129</v>
      </c>
      <c r="H20" s="72">
        <v>93</v>
      </c>
      <c r="I20" s="72" t="s">
        <v>123</v>
      </c>
      <c r="J20" s="5" t="s">
        <v>124</v>
      </c>
      <c r="K20" s="113">
        <f>+K19+Tabla6[[#This Row],[IMPORTE]]</f>
        <v>150359477.35000002</v>
      </c>
      <c r="L20" s="5" t="s">
        <v>1728</v>
      </c>
      <c r="M20" s="119" t="s">
        <v>100</v>
      </c>
    </row>
    <row r="21" spans="2:16" x14ac:dyDescent="0.35">
      <c r="B21" s="4" t="s">
        <v>115</v>
      </c>
      <c r="C21" s="85">
        <v>46024</v>
      </c>
      <c r="D21" s="72">
        <v>6243312</v>
      </c>
      <c r="E21" s="72">
        <v>66</v>
      </c>
      <c r="F21" s="113">
        <v>22112122.199999999</v>
      </c>
      <c r="G21" s="5" t="s">
        <v>116</v>
      </c>
      <c r="H21" s="72">
        <v>479</v>
      </c>
      <c r="I21" s="72">
        <v>30659863789</v>
      </c>
      <c r="J21" s="5" t="s">
        <v>119</v>
      </c>
      <c r="K21" s="113">
        <f>+K20+Tabla6[[#This Row],[IMPORTE]]</f>
        <v>172471599.55000001</v>
      </c>
      <c r="L21" s="5" t="s">
        <v>1647</v>
      </c>
      <c r="M21" s="119" t="s">
        <v>100</v>
      </c>
    </row>
    <row r="22" spans="2:16" x14ac:dyDescent="0.35">
      <c r="B22" s="4" t="s">
        <v>128</v>
      </c>
      <c r="C22" s="85">
        <v>46024</v>
      </c>
      <c r="D22" s="72">
        <v>666307510</v>
      </c>
      <c r="E22" s="72">
        <v>66</v>
      </c>
      <c r="F22" s="113">
        <v>29768111.73</v>
      </c>
      <c r="G22" s="5" t="s">
        <v>129</v>
      </c>
      <c r="H22" s="72">
        <v>93</v>
      </c>
      <c r="I22" s="72" t="s">
        <v>123</v>
      </c>
      <c r="J22" s="5" t="s">
        <v>124</v>
      </c>
      <c r="K22" s="113">
        <f>+K21+Tabla6[[#This Row],[IMPORTE]]</f>
        <v>202239711.28</v>
      </c>
      <c r="L22" s="5" t="s">
        <v>1479</v>
      </c>
      <c r="M22" s="119" t="s">
        <v>100</v>
      </c>
    </row>
    <row r="23" spans="2:16" x14ac:dyDescent="0.35">
      <c r="B23" s="173" t="s">
        <v>130</v>
      </c>
      <c r="C23" s="146">
        <v>46024</v>
      </c>
      <c r="D23" s="148">
        <v>4002000233</v>
      </c>
      <c r="E23" s="148">
        <v>66</v>
      </c>
      <c r="F23" s="149">
        <v>650000000</v>
      </c>
      <c r="G23" s="147" t="s">
        <v>131</v>
      </c>
      <c r="H23" s="148">
        <v>530</v>
      </c>
      <c r="I23" s="148" t="s">
        <v>123</v>
      </c>
      <c r="J23" s="147" t="s">
        <v>1465</v>
      </c>
      <c r="K23" s="149">
        <f>+K22+Tabla6[[#This Row],[IMPORTE]]</f>
        <v>852239711.27999997</v>
      </c>
      <c r="L23" s="143" t="s">
        <v>594</v>
      </c>
      <c r="M23" s="174" t="s">
        <v>83</v>
      </c>
    </row>
    <row r="24" spans="2:16" x14ac:dyDescent="0.35">
      <c r="B24" s="173" t="s">
        <v>115</v>
      </c>
      <c r="C24" s="146">
        <v>46024</v>
      </c>
      <c r="D24" s="148">
        <v>6135255</v>
      </c>
      <c r="E24" s="148">
        <v>66</v>
      </c>
      <c r="F24" s="149">
        <v>-594000000</v>
      </c>
      <c r="G24" s="147" t="s">
        <v>116</v>
      </c>
      <c r="H24" s="148">
        <v>490</v>
      </c>
      <c r="I24" s="148" t="s">
        <v>123</v>
      </c>
      <c r="J24" s="147" t="s">
        <v>124</v>
      </c>
      <c r="K24" s="149">
        <f>+K23+Tabla6[[#This Row],[IMPORTE]]</f>
        <v>258239711.27999997</v>
      </c>
      <c r="L24" s="147" t="s">
        <v>596</v>
      </c>
      <c r="M24" s="174" t="s">
        <v>101</v>
      </c>
    </row>
    <row r="25" spans="2:16" x14ac:dyDescent="0.35">
      <c r="B25" s="173" t="s">
        <v>115</v>
      </c>
      <c r="C25" s="146">
        <v>46024</v>
      </c>
      <c r="D25" s="148">
        <v>6135254</v>
      </c>
      <c r="E25" s="148">
        <v>66</v>
      </c>
      <c r="F25" s="149">
        <v>-32000000</v>
      </c>
      <c r="G25" s="147" t="s">
        <v>116</v>
      </c>
      <c r="H25" s="148">
        <v>490</v>
      </c>
      <c r="I25" s="148" t="s">
        <v>123</v>
      </c>
      <c r="J25" s="147" t="s">
        <v>124</v>
      </c>
      <c r="K25" s="149">
        <f>+K24+Tabla6[[#This Row],[IMPORTE]]</f>
        <v>226239711.27999997</v>
      </c>
      <c r="L25" s="143" t="s">
        <v>597</v>
      </c>
      <c r="M25" s="174" t="s">
        <v>101</v>
      </c>
    </row>
    <row r="26" spans="2:16" x14ac:dyDescent="0.35">
      <c r="B26" s="173" t="s">
        <v>115</v>
      </c>
      <c r="C26" s="146">
        <v>46024</v>
      </c>
      <c r="D26" s="148">
        <v>6261791</v>
      </c>
      <c r="E26" s="148">
        <v>66</v>
      </c>
      <c r="F26" s="149">
        <v>-3000000</v>
      </c>
      <c r="G26" s="147" t="s">
        <v>116</v>
      </c>
      <c r="H26" s="148">
        <v>487</v>
      </c>
      <c r="I26" s="148" t="s">
        <v>123</v>
      </c>
      <c r="J26" s="147" t="s">
        <v>124</v>
      </c>
      <c r="K26" s="149">
        <f>+K25+Tabla6[[#This Row],[IMPORTE]]</f>
        <v>223239711.27999997</v>
      </c>
      <c r="L26" s="147" t="s">
        <v>593</v>
      </c>
      <c r="M26" s="174" t="s">
        <v>87</v>
      </c>
    </row>
    <row r="27" spans="2:16" x14ac:dyDescent="0.35">
      <c r="B27" s="172" t="s">
        <v>132</v>
      </c>
      <c r="C27" s="126">
        <v>46024</v>
      </c>
      <c r="D27" s="127">
        <v>746300033</v>
      </c>
      <c r="E27" s="127">
        <v>66</v>
      </c>
      <c r="F27" s="128">
        <v>-125805.81</v>
      </c>
      <c r="G27" s="129" t="s">
        <v>133</v>
      </c>
      <c r="H27" s="127">
        <v>562</v>
      </c>
      <c r="I27" s="127" t="s">
        <v>123</v>
      </c>
      <c r="J27" s="129" t="s">
        <v>124</v>
      </c>
      <c r="K27" s="128">
        <f>+K26+Tabla6[[#This Row],[IMPORTE]]</f>
        <v>223113905.46999997</v>
      </c>
      <c r="L27" s="129" t="s">
        <v>182</v>
      </c>
      <c r="M27" s="130" t="s">
        <v>93</v>
      </c>
    </row>
    <row r="28" spans="2:16" x14ac:dyDescent="0.35">
      <c r="B28" s="173" t="s">
        <v>115</v>
      </c>
      <c r="C28" s="146">
        <v>46024</v>
      </c>
      <c r="D28" s="148">
        <v>6191051</v>
      </c>
      <c r="E28" s="148">
        <v>66</v>
      </c>
      <c r="F28" s="149">
        <v>-33281.29</v>
      </c>
      <c r="G28" s="147" t="s">
        <v>116</v>
      </c>
      <c r="H28" s="148">
        <v>488</v>
      </c>
      <c r="I28" s="148" t="s">
        <v>123</v>
      </c>
      <c r="J28" s="177" t="s">
        <v>1536</v>
      </c>
      <c r="K28" s="149">
        <f>+K27+Tabla6[[#This Row],[IMPORTE]]</f>
        <v>223080624.17999998</v>
      </c>
      <c r="L28" s="143" t="s">
        <v>765</v>
      </c>
      <c r="M28" s="174" t="s">
        <v>92</v>
      </c>
    </row>
    <row r="29" spans="2:16" x14ac:dyDescent="0.35">
      <c r="B29" s="173" t="s">
        <v>115</v>
      </c>
      <c r="C29" s="146">
        <v>46024</v>
      </c>
      <c r="D29" s="148">
        <v>6191054</v>
      </c>
      <c r="E29" s="148">
        <v>66</v>
      </c>
      <c r="F29" s="149">
        <v>-29384.31</v>
      </c>
      <c r="G29" s="147" t="s">
        <v>116</v>
      </c>
      <c r="H29" s="148">
        <v>488</v>
      </c>
      <c r="I29" s="148" t="s">
        <v>123</v>
      </c>
      <c r="J29" s="147" t="s">
        <v>1536</v>
      </c>
      <c r="K29" s="149">
        <f>+K28+Tabla6[[#This Row],[IMPORTE]]</f>
        <v>223051239.86999997</v>
      </c>
      <c r="L29" s="178" t="s">
        <v>765</v>
      </c>
      <c r="M29" s="174" t="s">
        <v>92</v>
      </c>
    </row>
    <row r="30" spans="2:16" x14ac:dyDescent="0.35">
      <c r="B30" s="173" t="s">
        <v>115</v>
      </c>
      <c r="C30" s="146">
        <v>46024</v>
      </c>
      <c r="D30" s="148">
        <v>6191055</v>
      </c>
      <c r="E30" s="148">
        <v>66</v>
      </c>
      <c r="F30" s="149">
        <v>-28733.89</v>
      </c>
      <c r="G30" s="147" t="s">
        <v>116</v>
      </c>
      <c r="H30" s="148">
        <v>488</v>
      </c>
      <c r="I30" s="148" t="s">
        <v>123</v>
      </c>
      <c r="J30" s="147" t="s">
        <v>1536</v>
      </c>
      <c r="K30" s="149">
        <f>+K29+Tabla6[[#This Row],[IMPORTE]]</f>
        <v>223022505.97999999</v>
      </c>
      <c r="L30" s="178" t="s">
        <v>765</v>
      </c>
      <c r="M30" s="174" t="s">
        <v>92</v>
      </c>
    </row>
    <row r="31" spans="2:16" x14ac:dyDescent="0.35">
      <c r="B31" s="173" t="s">
        <v>115</v>
      </c>
      <c r="C31" s="146">
        <v>46024</v>
      </c>
      <c r="D31" s="148">
        <v>6191050</v>
      </c>
      <c r="E31" s="148">
        <v>66</v>
      </c>
      <c r="F31" s="149">
        <v>-11765.52</v>
      </c>
      <c r="G31" s="147" t="s">
        <v>116</v>
      </c>
      <c r="H31" s="148">
        <v>488</v>
      </c>
      <c r="I31" s="148" t="s">
        <v>123</v>
      </c>
      <c r="J31" s="147" t="s">
        <v>1536</v>
      </c>
      <c r="K31" s="149">
        <f>+K30+Tabla6[[#This Row],[IMPORTE]]</f>
        <v>223010740.45999998</v>
      </c>
      <c r="L31" s="178" t="s">
        <v>765</v>
      </c>
      <c r="M31" s="174" t="s">
        <v>92</v>
      </c>
    </row>
    <row r="32" spans="2:16" x14ac:dyDescent="0.35">
      <c r="B32" s="173" t="s">
        <v>115</v>
      </c>
      <c r="C32" s="146">
        <v>46024</v>
      </c>
      <c r="D32" s="148">
        <v>6191053</v>
      </c>
      <c r="E32" s="148">
        <v>66</v>
      </c>
      <c r="F32" s="149">
        <v>-9630.98</v>
      </c>
      <c r="G32" s="147" t="s">
        <v>116</v>
      </c>
      <c r="H32" s="148">
        <v>488</v>
      </c>
      <c r="I32" s="148" t="s">
        <v>123</v>
      </c>
      <c r="J32" s="147" t="s">
        <v>1536</v>
      </c>
      <c r="K32" s="149">
        <f>+K31+Tabla6[[#This Row],[IMPORTE]]</f>
        <v>223001109.47999999</v>
      </c>
      <c r="L32" s="178" t="s">
        <v>765</v>
      </c>
      <c r="M32" s="174" t="s">
        <v>92</v>
      </c>
    </row>
    <row r="33" spans="2:13" x14ac:dyDescent="0.35">
      <c r="B33" s="173" t="s">
        <v>134</v>
      </c>
      <c r="C33" s="146">
        <v>46027</v>
      </c>
      <c r="D33" s="148">
        <v>500110001</v>
      </c>
      <c r="E33" s="148">
        <v>66</v>
      </c>
      <c r="F33" s="149">
        <v>150.01</v>
      </c>
      <c r="G33" s="147" t="s">
        <v>135</v>
      </c>
      <c r="H33" s="148">
        <v>2</v>
      </c>
      <c r="I33" s="148" t="s">
        <v>123</v>
      </c>
      <c r="J33" s="147" t="s">
        <v>124</v>
      </c>
      <c r="K33" s="149">
        <f>+K32+Tabla6[[#This Row],[IMPORTE]]</f>
        <v>223001259.48999998</v>
      </c>
      <c r="L33" s="143" t="s">
        <v>595</v>
      </c>
      <c r="M33" s="174" t="s">
        <v>90</v>
      </c>
    </row>
    <row r="34" spans="2:13" x14ac:dyDescent="0.35">
      <c r="B34" s="4" t="s">
        <v>128</v>
      </c>
      <c r="C34" s="120">
        <v>46027</v>
      </c>
      <c r="D34" s="72">
        <v>666305054</v>
      </c>
      <c r="E34" s="72">
        <v>66</v>
      </c>
      <c r="F34" s="113">
        <v>3900</v>
      </c>
      <c r="G34" s="5" t="s">
        <v>129</v>
      </c>
      <c r="H34" s="72">
        <v>93</v>
      </c>
      <c r="I34" s="72" t="s">
        <v>123</v>
      </c>
      <c r="J34" s="5" t="s">
        <v>1510</v>
      </c>
      <c r="K34" s="113">
        <f>+K33+Tabla6[[#This Row],[IMPORTE]]</f>
        <v>223005159.48999998</v>
      </c>
      <c r="L34" s="5" t="s">
        <v>1737</v>
      </c>
      <c r="M34" s="119" t="s">
        <v>100</v>
      </c>
    </row>
    <row r="35" spans="2:13" x14ac:dyDescent="0.35">
      <c r="B35" s="4" t="s">
        <v>128</v>
      </c>
      <c r="C35" s="120">
        <v>46027</v>
      </c>
      <c r="D35" s="72">
        <v>666302630</v>
      </c>
      <c r="E35" s="72">
        <v>66</v>
      </c>
      <c r="F35" s="113">
        <v>18205</v>
      </c>
      <c r="G35" s="5" t="s">
        <v>129</v>
      </c>
      <c r="H35" s="72">
        <v>93</v>
      </c>
      <c r="I35" s="72" t="s">
        <v>123</v>
      </c>
      <c r="J35" s="5" t="s">
        <v>124</v>
      </c>
      <c r="K35" s="113">
        <f>+K34+Tabla6[[#This Row],[IMPORTE]]</f>
        <v>223023364.48999998</v>
      </c>
      <c r="L35" s="5" t="s">
        <v>1627</v>
      </c>
      <c r="M35" s="119" t="s">
        <v>100</v>
      </c>
    </row>
    <row r="36" spans="2:13" x14ac:dyDescent="0.35">
      <c r="B36" s="4" t="s">
        <v>128</v>
      </c>
      <c r="C36" s="120">
        <v>46027</v>
      </c>
      <c r="D36" s="72">
        <v>667800713</v>
      </c>
      <c r="E36" s="72">
        <v>66</v>
      </c>
      <c r="F36" s="113">
        <v>19500</v>
      </c>
      <c r="G36" s="5" t="s">
        <v>129</v>
      </c>
      <c r="H36" s="72">
        <v>93</v>
      </c>
      <c r="I36" s="72" t="s">
        <v>123</v>
      </c>
      <c r="J36" s="5" t="s">
        <v>136</v>
      </c>
      <c r="K36" s="113">
        <f>+K35+Tabla6[[#This Row],[IMPORTE]]</f>
        <v>223042864.48999998</v>
      </c>
      <c r="L36" s="5" t="s">
        <v>1627</v>
      </c>
      <c r="M36" s="119" t="s">
        <v>100</v>
      </c>
    </row>
    <row r="37" spans="2:13" x14ac:dyDescent="0.35">
      <c r="B37" s="173" t="s">
        <v>128</v>
      </c>
      <c r="C37" s="146">
        <v>46027</v>
      </c>
      <c r="D37" s="148">
        <v>666307697</v>
      </c>
      <c r="E37" s="148">
        <v>66</v>
      </c>
      <c r="F37" s="149">
        <v>19500</v>
      </c>
      <c r="G37" s="147" t="s">
        <v>129</v>
      </c>
      <c r="H37" s="148">
        <v>93</v>
      </c>
      <c r="I37" s="148" t="s">
        <v>123</v>
      </c>
      <c r="J37" s="147" t="s">
        <v>124</v>
      </c>
      <c r="K37" s="149">
        <f>+K36+Tabla6[[#This Row],[IMPORTE]]</f>
        <v>223062364.48999998</v>
      </c>
      <c r="L37" s="147" t="s">
        <v>1640</v>
      </c>
      <c r="M37" s="174" t="s">
        <v>85</v>
      </c>
    </row>
    <row r="38" spans="2:13" x14ac:dyDescent="0.35">
      <c r="B38" s="4" t="s">
        <v>128</v>
      </c>
      <c r="C38" s="120">
        <v>46027</v>
      </c>
      <c r="D38" s="72">
        <v>666304883</v>
      </c>
      <c r="E38" s="72">
        <v>66</v>
      </c>
      <c r="F38" s="113">
        <v>23400</v>
      </c>
      <c r="G38" s="5" t="s">
        <v>129</v>
      </c>
      <c r="H38" s="72">
        <v>93</v>
      </c>
      <c r="I38" s="72" t="s">
        <v>123</v>
      </c>
      <c r="J38" s="5" t="s">
        <v>1548</v>
      </c>
      <c r="K38" s="113">
        <f>+K37+Tabla6[[#This Row],[IMPORTE]]</f>
        <v>223085764.48999998</v>
      </c>
      <c r="L38" s="5" t="s">
        <v>1735</v>
      </c>
      <c r="M38" s="119" t="s">
        <v>100</v>
      </c>
    </row>
    <row r="39" spans="2:13" x14ac:dyDescent="0.35">
      <c r="B39" s="173" t="s">
        <v>128</v>
      </c>
      <c r="C39" s="146">
        <v>46027</v>
      </c>
      <c r="D39" s="148">
        <v>666308620</v>
      </c>
      <c r="E39" s="148">
        <v>66</v>
      </c>
      <c r="F39" s="149">
        <v>26000</v>
      </c>
      <c r="G39" s="147" t="s">
        <v>129</v>
      </c>
      <c r="H39" s="148">
        <v>93</v>
      </c>
      <c r="I39" s="148" t="s">
        <v>123</v>
      </c>
      <c r="J39" s="147" t="s">
        <v>1555</v>
      </c>
      <c r="K39" s="149">
        <f>+K38+Tabla6[[#This Row],[IMPORTE]]</f>
        <v>223111764.48999998</v>
      </c>
      <c r="L39" s="147" t="s">
        <v>1556</v>
      </c>
      <c r="M39" s="174" t="s">
        <v>85</v>
      </c>
    </row>
    <row r="40" spans="2:13" x14ac:dyDescent="0.35">
      <c r="B40" s="173" t="s">
        <v>128</v>
      </c>
      <c r="C40" s="146">
        <v>46027</v>
      </c>
      <c r="D40" s="148">
        <v>666308547</v>
      </c>
      <c r="E40" s="148">
        <v>66</v>
      </c>
      <c r="F40" s="149">
        <v>26000</v>
      </c>
      <c r="G40" s="147" t="s">
        <v>129</v>
      </c>
      <c r="H40" s="148">
        <v>93</v>
      </c>
      <c r="I40" s="148" t="s">
        <v>123</v>
      </c>
      <c r="J40" s="147" t="s">
        <v>1557</v>
      </c>
      <c r="K40" s="149">
        <f>+K39+Tabla6[[#This Row],[IMPORTE]]</f>
        <v>223137764.48999998</v>
      </c>
      <c r="L40" s="147" t="s">
        <v>1558</v>
      </c>
      <c r="M40" s="174" t="s">
        <v>85</v>
      </c>
    </row>
    <row r="41" spans="2:13" x14ac:dyDescent="0.35">
      <c r="B41" s="173" t="s">
        <v>137</v>
      </c>
      <c r="C41" s="146">
        <v>46029</v>
      </c>
      <c r="D41" s="148">
        <v>206500140</v>
      </c>
      <c r="E41" s="148">
        <v>66</v>
      </c>
      <c r="F41" s="149">
        <v>30789.37</v>
      </c>
      <c r="G41" s="147" t="s">
        <v>138</v>
      </c>
      <c r="H41" s="148">
        <v>278</v>
      </c>
      <c r="I41" s="148" t="s">
        <v>123</v>
      </c>
      <c r="J41" s="147" t="s">
        <v>124</v>
      </c>
      <c r="K41" s="149">
        <f>+K40+Tabla6[[#This Row],[IMPORTE]]</f>
        <v>223168553.85999998</v>
      </c>
      <c r="L41" s="147" t="s">
        <v>1504</v>
      </c>
      <c r="M41" s="174"/>
    </row>
    <row r="42" spans="2:13" x14ac:dyDescent="0.35">
      <c r="B42" s="173" t="s">
        <v>128</v>
      </c>
      <c r="C42" s="146">
        <v>46027</v>
      </c>
      <c r="D42" s="148">
        <v>666300281</v>
      </c>
      <c r="E42" s="148">
        <v>66</v>
      </c>
      <c r="F42" s="149">
        <v>39000</v>
      </c>
      <c r="G42" s="147" t="s">
        <v>129</v>
      </c>
      <c r="H42" s="148">
        <v>93</v>
      </c>
      <c r="I42" s="148" t="s">
        <v>123</v>
      </c>
      <c r="J42" s="147" t="s">
        <v>1559</v>
      </c>
      <c r="K42" s="149">
        <f>+K41+Tabla6[[#This Row],[IMPORTE]]</f>
        <v>223207553.85999998</v>
      </c>
      <c r="L42" s="147" t="s">
        <v>1558</v>
      </c>
      <c r="M42" s="174" t="s">
        <v>85</v>
      </c>
    </row>
    <row r="43" spans="2:13" x14ac:dyDescent="0.35">
      <c r="B43" s="173" t="s">
        <v>128</v>
      </c>
      <c r="C43" s="146">
        <v>46027</v>
      </c>
      <c r="D43" s="148">
        <v>666300232</v>
      </c>
      <c r="E43" s="148">
        <v>66</v>
      </c>
      <c r="F43" s="149">
        <v>39000</v>
      </c>
      <c r="G43" s="147" t="s">
        <v>129</v>
      </c>
      <c r="H43" s="148">
        <v>93</v>
      </c>
      <c r="I43" s="148" t="s">
        <v>123</v>
      </c>
      <c r="J43" s="147" t="s">
        <v>1560</v>
      </c>
      <c r="K43" s="149">
        <f>+K42+Tabla6[[#This Row],[IMPORTE]]</f>
        <v>223246553.85999998</v>
      </c>
      <c r="L43" s="147" t="s">
        <v>1556</v>
      </c>
      <c r="M43" s="174" t="s">
        <v>85</v>
      </c>
    </row>
    <row r="44" spans="2:13" x14ac:dyDescent="0.35">
      <c r="B44" s="173" t="s">
        <v>121</v>
      </c>
      <c r="C44" s="146">
        <v>46027</v>
      </c>
      <c r="D44" s="148">
        <v>2663200812</v>
      </c>
      <c r="E44" s="148">
        <v>66</v>
      </c>
      <c r="F44" s="149">
        <v>39000</v>
      </c>
      <c r="G44" s="147" t="s">
        <v>122</v>
      </c>
      <c r="H44" s="148">
        <v>694</v>
      </c>
      <c r="I44" s="148" t="s">
        <v>123</v>
      </c>
      <c r="J44" s="147" t="s">
        <v>124</v>
      </c>
      <c r="K44" s="149">
        <f>+K43+Tabla6[[#This Row],[IMPORTE]]</f>
        <v>223285553.85999998</v>
      </c>
      <c r="L44" s="147" t="s">
        <v>1640</v>
      </c>
      <c r="M44" s="174" t="s">
        <v>85</v>
      </c>
    </row>
    <row r="45" spans="2:13" x14ac:dyDescent="0.35">
      <c r="B45" s="173" t="s">
        <v>128</v>
      </c>
      <c r="C45" s="146">
        <v>46027</v>
      </c>
      <c r="D45" s="148">
        <v>666300679</v>
      </c>
      <c r="E45" s="148">
        <v>66</v>
      </c>
      <c r="F45" s="149">
        <v>39000</v>
      </c>
      <c r="G45" s="147" t="s">
        <v>129</v>
      </c>
      <c r="H45" s="148">
        <v>93</v>
      </c>
      <c r="I45" s="148" t="s">
        <v>123</v>
      </c>
      <c r="J45" s="147" t="s">
        <v>1561</v>
      </c>
      <c r="K45" s="149">
        <f>+K44+Tabla6[[#This Row],[IMPORTE]]</f>
        <v>223324553.85999998</v>
      </c>
      <c r="L45" s="147" t="s">
        <v>1558</v>
      </c>
      <c r="M45" s="174" t="s">
        <v>85</v>
      </c>
    </row>
    <row r="46" spans="2:13" x14ac:dyDescent="0.35">
      <c r="B46" s="173" t="s">
        <v>128</v>
      </c>
      <c r="C46" s="146">
        <v>46027</v>
      </c>
      <c r="D46" s="148">
        <v>666301025</v>
      </c>
      <c r="E46" s="148">
        <v>66</v>
      </c>
      <c r="F46" s="149">
        <v>39000</v>
      </c>
      <c r="G46" s="147" t="s">
        <v>129</v>
      </c>
      <c r="H46" s="148">
        <v>93</v>
      </c>
      <c r="I46" s="148" t="s">
        <v>123</v>
      </c>
      <c r="J46" s="147" t="s">
        <v>1562</v>
      </c>
      <c r="K46" s="149">
        <f>+K45+Tabla6[[#This Row],[IMPORTE]]</f>
        <v>223363553.85999998</v>
      </c>
      <c r="L46" s="147" t="s">
        <v>1558</v>
      </c>
      <c r="M46" s="174" t="s">
        <v>85</v>
      </c>
    </row>
    <row r="47" spans="2:13" x14ac:dyDescent="0.35">
      <c r="B47" s="173" t="s">
        <v>128</v>
      </c>
      <c r="C47" s="146">
        <v>46027</v>
      </c>
      <c r="D47" s="148">
        <v>666301034</v>
      </c>
      <c r="E47" s="148">
        <v>66</v>
      </c>
      <c r="F47" s="149">
        <v>39000</v>
      </c>
      <c r="G47" s="147" t="s">
        <v>129</v>
      </c>
      <c r="H47" s="148">
        <v>93</v>
      </c>
      <c r="I47" s="148" t="s">
        <v>123</v>
      </c>
      <c r="J47" s="147" t="s">
        <v>1563</v>
      </c>
      <c r="K47" s="149">
        <f>+K46+Tabla6[[#This Row],[IMPORTE]]</f>
        <v>223402553.85999998</v>
      </c>
      <c r="L47" s="147" t="s">
        <v>1558</v>
      </c>
      <c r="M47" s="174" t="s">
        <v>85</v>
      </c>
    </row>
    <row r="48" spans="2:13" x14ac:dyDescent="0.35">
      <c r="B48" s="173" t="s">
        <v>128</v>
      </c>
      <c r="C48" s="146">
        <v>46027</v>
      </c>
      <c r="D48" s="148">
        <v>666301183</v>
      </c>
      <c r="E48" s="148">
        <v>66</v>
      </c>
      <c r="F48" s="149">
        <v>39000</v>
      </c>
      <c r="G48" s="147" t="s">
        <v>129</v>
      </c>
      <c r="H48" s="148">
        <v>93</v>
      </c>
      <c r="I48" s="148" t="s">
        <v>123</v>
      </c>
      <c r="J48" s="147" t="s">
        <v>1564</v>
      </c>
      <c r="K48" s="149">
        <f>+K47+Tabla6[[#This Row],[IMPORTE]]</f>
        <v>223441553.85999998</v>
      </c>
      <c r="L48" s="147" t="s">
        <v>1558</v>
      </c>
      <c r="M48" s="174" t="s">
        <v>85</v>
      </c>
    </row>
    <row r="49" spans="2:13" x14ac:dyDescent="0.35">
      <c r="B49" s="173" t="s">
        <v>128</v>
      </c>
      <c r="C49" s="146">
        <v>46027</v>
      </c>
      <c r="D49" s="148">
        <v>666302401</v>
      </c>
      <c r="E49" s="148">
        <v>66</v>
      </c>
      <c r="F49" s="149">
        <v>39000</v>
      </c>
      <c r="G49" s="147" t="s">
        <v>129</v>
      </c>
      <c r="H49" s="148">
        <v>93</v>
      </c>
      <c r="I49" s="148" t="s">
        <v>123</v>
      </c>
      <c r="J49" s="147" t="s">
        <v>1565</v>
      </c>
      <c r="K49" s="149">
        <f>+K48+Tabla6[[#This Row],[IMPORTE]]</f>
        <v>223480553.85999998</v>
      </c>
      <c r="L49" s="147" t="s">
        <v>1558</v>
      </c>
      <c r="M49" s="174" t="s">
        <v>85</v>
      </c>
    </row>
    <row r="50" spans="2:13" x14ac:dyDescent="0.35">
      <c r="B50" s="173" t="s">
        <v>128</v>
      </c>
      <c r="C50" s="146">
        <v>46027</v>
      </c>
      <c r="D50" s="148">
        <v>666301322</v>
      </c>
      <c r="E50" s="148">
        <v>66</v>
      </c>
      <c r="F50" s="149">
        <v>39000</v>
      </c>
      <c r="G50" s="147" t="s">
        <v>129</v>
      </c>
      <c r="H50" s="148">
        <v>93</v>
      </c>
      <c r="I50" s="148" t="s">
        <v>123</v>
      </c>
      <c r="J50" s="147" t="s">
        <v>1566</v>
      </c>
      <c r="K50" s="149">
        <f>+K49+Tabla6[[#This Row],[IMPORTE]]</f>
        <v>223519553.85999998</v>
      </c>
      <c r="L50" s="147" t="s">
        <v>1558</v>
      </c>
      <c r="M50" s="174" t="s">
        <v>85</v>
      </c>
    </row>
    <row r="51" spans="2:13" x14ac:dyDescent="0.35">
      <c r="B51" s="173" t="s">
        <v>128</v>
      </c>
      <c r="C51" s="146">
        <v>46027</v>
      </c>
      <c r="D51" s="148">
        <v>666301773</v>
      </c>
      <c r="E51" s="148">
        <v>66</v>
      </c>
      <c r="F51" s="149">
        <v>39000</v>
      </c>
      <c r="G51" s="147" t="s">
        <v>129</v>
      </c>
      <c r="H51" s="148">
        <v>93</v>
      </c>
      <c r="I51" s="148" t="s">
        <v>123</v>
      </c>
      <c r="J51" s="147" t="s">
        <v>1567</v>
      </c>
      <c r="K51" s="149">
        <f>+K50+Tabla6[[#This Row],[IMPORTE]]</f>
        <v>223558553.85999998</v>
      </c>
      <c r="L51" s="147" t="s">
        <v>1558</v>
      </c>
      <c r="M51" s="174" t="s">
        <v>85</v>
      </c>
    </row>
    <row r="52" spans="2:13" x14ac:dyDescent="0.35">
      <c r="B52" s="173" t="s">
        <v>128</v>
      </c>
      <c r="C52" s="146">
        <v>46027</v>
      </c>
      <c r="D52" s="148">
        <v>666302395</v>
      </c>
      <c r="E52" s="148">
        <v>66</v>
      </c>
      <c r="F52" s="149">
        <v>39000</v>
      </c>
      <c r="G52" s="147" t="s">
        <v>129</v>
      </c>
      <c r="H52" s="148">
        <v>93</v>
      </c>
      <c r="I52" s="148" t="s">
        <v>123</v>
      </c>
      <c r="J52" s="147" t="s">
        <v>1568</v>
      </c>
      <c r="K52" s="149">
        <f>+K51+Tabla6[[#This Row],[IMPORTE]]</f>
        <v>223597553.85999998</v>
      </c>
      <c r="L52" s="147" t="s">
        <v>1558</v>
      </c>
      <c r="M52" s="174" t="s">
        <v>85</v>
      </c>
    </row>
    <row r="53" spans="2:13" x14ac:dyDescent="0.35">
      <c r="B53" s="173" t="s">
        <v>128</v>
      </c>
      <c r="C53" s="146">
        <v>46027</v>
      </c>
      <c r="D53" s="148">
        <v>666301904</v>
      </c>
      <c r="E53" s="148">
        <v>66</v>
      </c>
      <c r="F53" s="149">
        <v>39000</v>
      </c>
      <c r="G53" s="147" t="s">
        <v>129</v>
      </c>
      <c r="H53" s="148">
        <v>93</v>
      </c>
      <c r="I53" s="148" t="s">
        <v>123</v>
      </c>
      <c r="J53" s="147" t="s">
        <v>124</v>
      </c>
      <c r="K53" s="149">
        <f>+K52+Tabla6[[#This Row],[IMPORTE]]</f>
        <v>223636553.85999998</v>
      </c>
      <c r="L53" s="147" t="s">
        <v>1640</v>
      </c>
      <c r="M53" s="174" t="s">
        <v>85</v>
      </c>
    </row>
    <row r="54" spans="2:13" x14ac:dyDescent="0.35">
      <c r="B54" s="173" t="s">
        <v>128</v>
      </c>
      <c r="C54" s="146">
        <v>46027</v>
      </c>
      <c r="D54" s="148">
        <v>666303292</v>
      </c>
      <c r="E54" s="148">
        <v>66</v>
      </c>
      <c r="F54" s="149">
        <v>39000</v>
      </c>
      <c r="G54" s="147" t="s">
        <v>129</v>
      </c>
      <c r="H54" s="148">
        <v>93</v>
      </c>
      <c r="I54" s="148" t="s">
        <v>123</v>
      </c>
      <c r="J54" s="147" t="s">
        <v>124</v>
      </c>
      <c r="K54" s="149">
        <f>+K53+Tabla6[[#This Row],[IMPORTE]]</f>
        <v>223675553.85999998</v>
      </c>
      <c r="L54" s="147" t="s">
        <v>1640</v>
      </c>
      <c r="M54" s="174" t="s">
        <v>85</v>
      </c>
    </row>
    <row r="55" spans="2:13" x14ac:dyDescent="0.35">
      <c r="B55" s="173" t="s">
        <v>128</v>
      </c>
      <c r="C55" s="146">
        <v>46027</v>
      </c>
      <c r="D55" s="148">
        <v>666302114</v>
      </c>
      <c r="E55" s="148">
        <v>66</v>
      </c>
      <c r="F55" s="149">
        <v>39000</v>
      </c>
      <c r="G55" s="147" t="s">
        <v>129</v>
      </c>
      <c r="H55" s="148">
        <v>93</v>
      </c>
      <c r="I55" s="148" t="s">
        <v>123</v>
      </c>
      <c r="J55" s="147" t="s">
        <v>1569</v>
      </c>
      <c r="K55" s="149">
        <f>+K54+Tabla6[[#This Row],[IMPORTE]]</f>
        <v>223714553.85999998</v>
      </c>
      <c r="L55" s="147" t="s">
        <v>1570</v>
      </c>
      <c r="M55" s="174" t="s">
        <v>85</v>
      </c>
    </row>
    <row r="56" spans="2:13" x14ac:dyDescent="0.35">
      <c r="B56" s="4" t="s">
        <v>128</v>
      </c>
      <c r="C56" s="120">
        <v>46027</v>
      </c>
      <c r="D56" s="72">
        <v>666302753</v>
      </c>
      <c r="E56" s="72">
        <v>66</v>
      </c>
      <c r="F56" s="113">
        <v>39000</v>
      </c>
      <c r="G56" s="5" t="s">
        <v>129</v>
      </c>
      <c r="H56" s="72">
        <v>93</v>
      </c>
      <c r="I56" s="72" t="s">
        <v>123</v>
      </c>
      <c r="J56" s="5" t="s">
        <v>1509</v>
      </c>
      <c r="K56" s="113">
        <f>+K55+Tabla6[[#This Row],[IMPORTE]]</f>
        <v>223753553.85999998</v>
      </c>
      <c r="L56" s="5" t="s">
        <v>1737</v>
      </c>
      <c r="M56" s="119" t="s">
        <v>100</v>
      </c>
    </row>
    <row r="57" spans="2:13" x14ac:dyDescent="0.35">
      <c r="B57" s="173" t="s">
        <v>128</v>
      </c>
      <c r="C57" s="146">
        <v>46027</v>
      </c>
      <c r="D57" s="148">
        <v>666302271</v>
      </c>
      <c r="E57" s="148">
        <v>66</v>
      </c>
      <c r="F57" s="149">
        <v>39000</v>
      </c>
      <c r="G57" s="147" t="s">
        <v>129</v>
      </c>
      <c r="H57" s="148">
        <v>93</v>
      </c>
      <c r="I57" s="148" t="s">
        <v>123</v>
      </c>
      <c r="J57" s="147" t="s">
        <v>1571</v>
      </c>
      <c r="K57" s="149">
        <f>+K56+Tabla6[[#This Row],[IMPORTE]]</f>
        <v>223792553.85999998</v>
      </c>
      <c r="L57" s="147" t="s">
        <v>1556</v>
      </c>
      <c r="M57" s="174" t="s">
        <v>85</v>
      </c>
    </row>
    <row r="58" spans="2:13" x14ac:dyDescent="0.35">
      <c r="B58" s="173" t="s">
        <v>128</v>
      </c>
      <c r="C58" s="146">
        <v>46027</v>
      </c>
      <c r="D58" s="148">
        <v>666303423</v>
      </c>
      <c r="E58" s="148">
        <v>66</v>
      </c>
      <c r="F58" s="149">
        <v>39000</v>
      </c>
      <c r="G58" s="147" t="s">
        <v>129</v>
      </c>
      <c r="H58" s="148">
        <v>93</v>
      </c>
      <c r="I58" s="148" t="s">
        <v>123</v>
      </c>
      <c r="J58" s="147" t="s">
        <v>1572</v>
      </c>
      <c r="K58" s="149">
        <f>+K57+Tabla6[[#This Row],[IMPORTE]]</f>
        <v>223831553.85999998</v>
      </c>
      <c r="L58" s="147" t="s">
        <v>1558</v>
      </c>
      <c r="M58" s="174" t="s">
        <v>85</v>
      </c>
    </row>
    <row r="59" spans="2:13" x14ac:dyDescent="0.35">
      <c r="B59" s="173" t="s">
        <v>128</v>
      </c>
      <c r="C59" s="146">
        <v>46027</v>
      </c>
      <c r="D59" s="148">
        <v>666303666</v>
      </c>
      <c r="E59" s="148">
        <v>66</v>
      </c>
      <c r="F59" s="149">
        <v>39000</v>
      </c>
      <c r="G59" s="147" t="s">
        <v>129</v>
      </c>
      <c r="H59" s="148">
        <v>93</v>
      </c>
      <c r="I59" s="148" t="s">
        <v>123</v>
      </c>
      <c r="J59" s="147" t="s">
        <v>1573</v>
      </c>
      <c r="K59" s="149">
        <f>+K58+Tabla6[[#This Row],[IMPORTE]]</f>
        <v>223870553.85999998</v>
      </c>
      <c r="L59" s="147" t="s">
        <v>1558</v>
      </c>
      <c r="M59" s="174" t="s">
        <v>85</v>
      </c>
    </row>
    <row r="60" spans="2:13" x14ac:dyDescent="0.35">
      <c r="B60" s="173" t="s">
        <v>128</v>
      </c>
      <c r="C60" s="146">
        <v>46027</v>
      </c>
      <c r="D60" s="148">
        <v>666302937</v>
      </c>
      <c r="E60" s="148">
        <v>66</v>
      </c>
      <c r="F60" s="149">
        <v>39000</v>
      </c>
      <c r="G60" s="147" t="s">
        <v>129</v>
      </c>
      <c r="H60" s="148">
        <v>93</v>
      </c>
      <c r="I60" s="148" t="s">
        <v>123</v>
      </c>
      <c r="J60" s="147" t="s">
        <v>1574</v>
      </c>
      <c r="K60" s="149">
        <f>+K59+Tabla6[[#This Row],[IMPORTE]]</f>
        <v>223909553.85999998</v>
      </c>
      <c r="L60" s="147" t="s">
        <v>1556</v>
      </c>
      <c r="M60" s="174" t="s">
        <v>85</v>
      </c>
    </row>
    <row r="61" spans="2:13" x14ac:dyDescent="0.35">
      <c r="B61" s="173" t="s">
        <v>128</v>
      </c>
      <c r="C61" s="146">
        <v>46027</v>
      </c>
      <c r="D61" s="148">
        <v>666304011</v>
      </c>
      <c r="E61" s="148">
        <v>66</v>
      </c>
      <c r="F61" s="149">
        <v>39000</v>
      </c>
      <c r="G61" s="147" t="s">
        <v>129</v>
      </c>
      <c r="H61" s="148">
        <v>93</v>
      </c>
      <c r="I61" s="148" t="s">
        <v>123</v>
      </c>
      <c r="J61" s="147" t="s">
        <v>1575</v>
      </c>
      <c r="K61" s="149">
        <f>+K60+Tabla6[[#This Row],[IMPORTE]]</f>
        <v>223948553.85999998</v>
      </c>
      <c r="L61" s="147" t="s">
        <v>1556</v>
      </c>
      <c r="M61" s="174" t="s">
        <v>85</v>
      </c>
    </row>
    <row r="62" spans="2:13" x14ac:dyDescent="0.35">
      <c r="B62" s="173" t="s">
        <v>128</v>
      </c>
      <c r="C62" s="146">
        <v>46027</v>
      </c>
      <c r="D62" s="148">
        <v>666304296</v>
      </c>
      <c r="E62" s="148">
        <v>66</v>
      </c>
      <c r="F62" s="149">
        <v>39000</v>
      </c>
      <c r="G62" s="147" t="s">
        <v>129</v>
      </c>
      <c r="H62" s="148">
        <v>93</v>
      </c>
      <c r="I62" s="148" t="s">
        <v>123</v>
      </c>
      <c r="J62" s="147" t="s">
        <v>1576</v>
      </c>
      <c r="K62" s="149">
        <f>+K61+Tabla6[[#This Row],[IMPORTE]]</f>
        <v>223987553.85999998</v>
      </c>
      <c r="L62" s="147" t="s">
        <v>1556</v>
      </c>
      <c r="M62" s="174" t="s">
        <v>85</v>
      </c>
    </row>
    <row r="63" spans="2:13" x14ac:dyDescent="0.35">
      <c r="B63" s="173" t="s">
        <v>128</v>
      </c>
      <c r="C63" s="146">
        <v>46027</v>
      </c>
      <c r="D63" s="148">
        <v>666303479</v>
      </c>
      <c r="E63" s="148">
        <v>66</v>
      </c>
      <c r="F63" s="149">
        <v>39000</v>
      </c>
      <c r="G63" s="147" t="s">
        <v>129</v>
      </c>
      <c r="H63" s="148">
        <v>93</v>
      </c>
      <c r="I63" s="148" t="s">
        <v>123</v>
      </c>
      <c r="J63" s="147" t="s">
        <v>1577</v>
      </c>
      <c r="K63" s="149">
        <f>+K62+Tabla6[[#This Row],[IMPORTE]]</f>
        <v>224026553.85999998</v>
      </c>
      <c r="L63" s="147" t="s">
        <v>1558</v>
      </c>
      <c r="M63" s="174" t="s">
        <v>85</v>
      </c>
    </row>
    <row r="64" spans="2:13" x14ac:dyDescent="0.35">
      <c r="B64" s="173" t="s">
        <v>128</v>
      </c>
      <c r="C64" s="146">
        <v>46027</v>
      </c>
      <c r="D64" s="148">
        <v>666304305</v>
      </c>
      <c r="E64" s="148">
        <v>66</v>
      </c>
      <c r="F64" s="149">
        <v>39000</v>
      </c>
      <c r="G64" s="147" t="s">
        <v>129</v>
      </c>
      <c r="H64" s="148">
        <v>93</v>
      </c>
      <c r="I64" s="148" t="s">
        <v>123</v>
      </c>
      <c r="J64" s="147" t="s">
        <v>124</v>
      </c>
      <c r="K64" s="149">
        <f>+K63+Tabla6[[#This Row],[IMPORTE]]</f>
        <v>224065553.85999998</v>
      </c>
      <c r="L64" s="147" t="s">
        <v>1640</v>
      </c>
      <c r="M64" s="174" t="s">
        <v>85</v>
      </c>
    </row>
    <row r="65" spans="2:13" x14ac:dyDescent="0.35">
      <c r="B65" s="173" t="s">
        <v>128</v>
      </c>
      <c r="C65" s="146">
        <v>46027</v>
      </c>
      <c r="D65" s="148">
        <v>666304705</v>
      </c>
      <c r="E65" s="148">
        <v>66</v>
      </c>
      <c r="F65" s="149">
        <v>39000</v>
      </c>
      <c r="G65" s="147" t="s">
        <v>129</v>
      </c>
      <c r="H65" s="148">
        <v>93</v>
      </c>
      <c r="I65" s="148" t="s">
        <v>123</v>
      </c>
      <c r="J65" s="147" t="s">
        <v>1578</v>
      </c>
      <c r="K65" s="149">
        <f>+K64+Tabla6[[#This Row],[IMPORTE]]</f>
        <v>224104553.85999998</v>
      </c>
      <c r="L65" s="147" t="s">
        <v>1556</v>
      </c>
      <c r="M65" s="174" t="s">
        <v>85</v>
      </c>
    </row>
    <row r="66" spans="2:13" x14ac:dyDescent="0.35">
      <c r="B66" s="173" t="s">
        <v>128</v>
      </c>
      <c r="C66" s="146">
        <v>46027</v>
      </c>
      <c r="D66" s="148">
        <v>666304408</v>
      </c>
      <c r="E66" s="148">
        <v>66</v>
      </c>
      <c r="F66" s="149">
        <v>39000</v>
      </c>
      <c r="G66" s="147" t="s">
        <v>129</v>
      </c>
      <c r="H66" s="148">
        <v>93</v>
      </c>
      <c r="I66" s="148" t="s">
        <v>123</v>
      </c>
      <c r="J66" s="147" t="s">
        <v>1579</v>
      </c>
      <c r="K66" s="149">
        <f>+K65+Tabla6[[#This Row],[IMPORTE]]</f>
        <v>224143553.85999998</v>
      </c>
      <c r="L66" s="147" t="s">
        <v>1558</v>
      </c>
      <c r="M66" s="174" t="s">
        <v>85</v>
      </c>
    </row>
    <row r="67" spans="2:13" x14ac:dyDescent="0.35">
      <c r="B67" s="173" t="s">
        <v>128</v>
      </c>
      <c r="C67" s="146">
        <v>46027</v>
      </c>
      <c r="D67" s="148">
        <v>666305077</v>
      </c>
      <c r="E67" s="148">
        <v>66</v>
      </c>
      <c r="F67" s="149">
        <v>39000</v>
      </c>
      <c r="G67" s="147" t="s">
        <v>129</v>
      </c>
      <c r="H67" s="148">
        <v>93</v>
      </c>
      <c r="I67" s="148" t="s">
        <v>123</v>
      </c>
      <c r="J67" s="147" t="s">
        <v>1580</v>
      </c>
      <c r="K67" s="149">
        <f>+K66+Tabla6[[#This Row],[IMPORTE]]</f>
        <v>224182553.85999998</v>
      </c>
      <c r="L67" s="147" t="s">
        <v>1558</v>
      </c>
      <c r="M67" s="174" t="s">
        <v>85</v>
      </c>
    </row>
    <row r="68" spans="2:13" x14ac:dyDescent="0.35">
      <c r="B68" s="173" t="s">
        <v>128</v>
      </c>
      <c r="C68" s="146">
        <v>46027</v>
      </c>
      <c r="D68" s="148">
        <v>666306477</v>
      </c>
      <c r="E68" s="148">
        <v>66</v>
      </c>
      <c r="F68" s="149">
        <v>39000</v>
      </c>
      <c r="G68" s="147" t="s">
        <v>129</v>
      </c>
      <c r="H68" s="148">
        <v>93</v>
      </c>
      <c r="I68" s="148" t="s">
        <v>123</v>
      </c>
      <c r="J68" s="147" t="s">
        <v>1581</v>
      </c>
      <c r="K68" s="149">
        <f>+K67+Tabla6[[#This Row],[IMPORTE]]</f>
        <v>224221553.85999998</v>
      </c>
      <c r="L68" s="147" t="s">
        <v>1558</v>
      </c>
      <c r="M68" s="174" t="s">
        <v>85</v>
      </c>
    </row>
    <row r="69" spans="2:13" x14ac:dyDescent="0.35">
      <c r="B69" s="173" t="s">
        <v>128</v>
      </c>
      <c r="C69" s="146">
        <v>46027</v>
      </c>
      <c r="D69" s="148">
        <v>666305383</v>
      </c>
      <c r="E69" s="148">
        <v>66</v>
      </c>
      <c r="F69" s="149">
        <v>39000</v>
      </c>
      <c r="G69" s="147" t="s">
        <v>129</v>
      </c>
      <c r="H69" s="148">
        <v>93</v>
      </c>
      <c r="I69" s="148" t="s">
        <v>123</v>
      </c>
      <c r="J69" s="147" t="s">
        <v>1582</v>
      </c>
      <c r="K69" s="149">
        <f>+K68+Tabla6[[#This Row],[IMPORTE]]</f>
        <v>224260553.85999998</v>
      </c>
      <c r="L69" s="147" t="s">
        <v>1570</v>
      </c>
      <c r="M69" s="174" t="s">
        <v>85</v>
      </c>
    </row>
    <row r="70" spans="2:13" x14ac:dyDescent="0.35">
      <c r="B70" s="173" t="s">
        <v>128</v>
      </c>
      <c r="C70" s="146">
        <v>46027</v>
      </c>
      <c r="D70" s="148">
        <v>666306714</v>
      </c>
      <c r="E70" s="148">
        <v>66</v>
      </c>
      <c r="F70" s="149">
        <v>39000</v>
      </c>
      <c r="G70" s="147" t="s">
        <v>129</v>
      </c>
      <c r="H70" s="148">
        <v>93</v>
      </c>
      <c r="I70" s="148" t="s">
        <v>123</v>
      </c>
      <c r="J70" s="147" t="s">
        <v>1583</v>
      </c>
      <c r="K70" s="149">
        <f>+K69+Tabla6[[#This Row],[IMPORTE]]</f>
        <v>224299553.85999998</v>
      </c>
      <c r="L70" s="147" t="s">
        <v>1558</v>
      </c>
      <c r="M70" s="174" t="s">
        <v>85</v>
      </c>
    </row>
    <row r="71" spans="2:13" x14ac:dyDescent="0.35">
      <c r="B71" s="173" t="s">
        <v>128</v>
      </c>
      <c r="C71" s="146">
        <v>46027</v>
      </c>
      <c r="D71" s="148">
        <v>666309546</v>
      </c>
      <c r="E71" s="148">
        <v>66</v>
      </c>
      <c r="F71" s="149">
        <v>39000</v>
      </c>
      <c r="G71" s="147" t="s">
        <v>129</v>
      </c>
      <c r="H71" s="148">
        <v>93</v>
      </c>
      <c r="I71" s="148" t="s">
        <v>123</v>
      </c>
      <c r="J71" s="147" t="s">
        <v>1584</v>
      </c>
      <c r="K71" s="149">
        <f>+K70+Tabla6[[#This Row],[IMPORTE]]</f>
        <v>224338553.85999998</v>
      </c>
      <c r="L71" s="147" t="s">
        <v>1556</v>
      </c>
      <c r="M71" s="174" t="s">
        <v>85</v>
      </c>
    </row>
    <row r="72" spans="2:13" x14ac:dyDescent="0.35">
      <c r="B72" s="173" t="s">
        <v>128</v>
      </c>
      <c r="C72" s="146">
        <v>46027</v>
      </c>
      <c r="D72" s="148">
        <v>666309672</v>
      </c>
      <c r="E72" s="148">
        <v>66</v>
      </c>
      <c r="F72" s="149">
        <v>39000</v>
      </c>
      <c r="G72" s="147" t="s">
        <v>129</v>
      </c>
      <c r="H72" s="148">
        <v>93</v>
      </c>
      <c r="I72" s="148" t="s">
        <v>123</v>
      </c>
      <c r="J72" s="147" t="s">
        <v>1585</v>
      </c>
      <c r="K72" s="149">
        <f>+K71+Tabla6[[#This Row],[IMPORTE]]</f>
        <v>224377553.85999998</v>
      </c>
      <c r="L72" s="147" t="s">
        <v>1556</v>
      </c>
      <c r="M72" s="174" t="s">
        <v>85</v>
      </c>
    </row>
    <row r="73" spans="2:13" x14ac:dyDescent="0.35">
      <c r="B73" s="173" t="s">
        <v>128</v>
      </c>
      <c r="C73" s="146">
        <v>46027</v>
      </c>
      <c r="D73" s="148">
        <v>666309852</v>
      </c>
      <c r="E73" s="148">
        <v>66</v>
      </c>
      <c r="F73" s="149">
        <v>39000</v>
      </c>
      <c r="G73" s="147" t="s">
        <v>129</v>
      </c>
      <c r="H73" s="148">
        <v>93</v>
      </c>
      <c r="I73" s="148" t="s">
        <v>123</v>
      </c>
      <c r="J73" s="147" t="s">
        <v>1586</v>
      </c>
      <c r="K73" s="149">
        <f>+K72+Tabla6[[#This Row],[IMPORTE]]</f>
        <v>224416553.85999998</v>
      </c>
      <c r="L73" s="147" t="s">
        <v>1556</v>
      </c>
      <c r="M73" s="174" t="s">
        <v>85</v>
      </c>
    </row>
    <row r="74" spans="2:13" x14ac:dyDescent="0.35">
      <c r="B74" s="173" t="s">
        <v>128</v>
      </c>
      <c r="C74" s="146">
        <v>46027</v>
      </c>
      <c r="D74" s="148">
        <v>666306240</v>
      </c>
      <c r="E74" s="148">
        <v>66</v>
      </c>
      <c r="F74" s="149">
        <v>39000</v>
      </c>
      <c r="G74" s="147" t="s">
        <v>129</v>
      </c>
      <c r="H74" s="148">
        <v>93</v>
      </c>
      <c r="I74" s="148" t="s">
        <v>123</v>
      </c>
      <c r="J74" s="147" t="s">
        <v>1587</v>
      </c>
      <c r="K74" s="149">
        <f>+K73+Tabla6[[#This Row],[IMPORTE]]</f>
        <v>224455553.85999998</v>
      </c>
      <c r="L74" s="147" t="s">
        <v>1558</v>
      </c>
      <c r="M74" s="174" t="s">
        <v>85</v>
      </c>
    </row>
    <row r="75" spans="2:13" x14ac:dyDescent="0.35">
      <c r="B75" s="173" t="s">
        <v>128</v>
      </c>
      <c r="C75" s="146">
        <v>46027</v>
      </c>
      <c r="D75" s="148">
        <v>666308861</v>
      </c>
      <c r="E75" s="148">
        <v>66</v>
      </c>
      <c r="F75" s="149">
        <v>39000</v>
      </c>
      <c r="G75" s="147" t="s">
        <v>129</v>
      </c>
      <c r="H75" s="148">
        <v>93</v>
      </c>
      <c r="I75" s="148" t="s">
        <v>123</v>
      </c>
      <c r="J75" s="147" t="s">
        <v>1588</v>
      </c>
      <c r="K75" s="149">
        <f>+K74+Tabla6[[#This Row],[IMPORTE]]</f>
        <v>224494553.85999998</v>
      </c>
      <c r="L75" s="147" t="s">
        <v>1558</v>
      </c>
      <c r="M75" s="174" t="s">
        <v>85</v>
      </c>
    </row>
    <row r="76" spans="2:13" x14ac:dyDescent="0.35">
      <c r="B76" s="173" t="s">
        <v>128</v>
      </c>
      <c r="C76" s="146">
        <v>46027</v>
      </c>
      <c r="D76" s="148">
        <v>666308927</v>
      </c>
      <c r="E76" s="148">
        <v>66</v>
      </c>
      <c r="F76" s="149">
        <v>39000</v>
      </c>
      <c r="G76" s="147" t="s">
        <v>129</v>
      </c>
      <c r="H76" s="148">
        <v>93</v>
      </c>
      <c r="I76" s="148" t="s">
        <v>123</v>
      </c>
      <c r="J76" s="147" t="s">
        <v>1589</v>
      </c>
      <c r="K76" s="149">
        <f>+K75+Tabla6[[#This Row],[IMPORTE]]</f>
        <v>224533553.85999998</v>
      </c>
      <c r="L76" s="147" t="s">
        <v>1558</v>
      </c>
      <c r="M76" s="174" t="s">
        <v>85</v>
      </c>
    </row>
    <row r="77" spans="2:13" x14ac:dyDescent="0.35">
      <c r="B77" s="173" t="s">
        <v>128</v>
      </c>
      <c r="C77" s="146">
        <v>46027</v>
      </c>
      <c r="D77" s="148">
        <v>666305737</v>
      </c>
      <c r="E77" s="148">
        <v>66</v>
      </c>
      <c r="F77" s="149">
        <v>39000</v>
      </c>
      <c r="G77" s="147" t="s">
        <v>129</v>
      </c>
      <c r="H77" s="148">
        <v>93</v>
      </c>
      <c r="I77" s="148" t="s">
        <v>123</v>
      </c>
      <c r="J77" s="147" t="s">
        <v>1590</v>
      </c>
      <c r="K77" s="149">
        <f>+K76+Tabla6[[#This Row],[IMPORTE]]</f>
        <v>224572553.85999998</v>
      </c>
      <c r="L77" s="147" t="s">
        <v>1558</v>
      </c>
      <c r="M77" s="174" t="s">
        <v>85</v>
      </c>
    </row>
    <row r="78" spans="2:13" x14ac:dyDescent="0.35">
      <c r="B78" s="173" t="s">
        <v>128</v>
      </c>
      <c r="C78" s="146">
        <v>46027</v>
      </c>
      <c r="D78" s="148">
        <v>666307570</v>
      </c>
      <c r="E78" s="148">
        <v>66</v>
      </c>
      <c r="F78" s="149">
        <v>39000</v>
      </c>
      <c r="G78" s="147" t="s">
        <v>129</v>
      </c>
      <c r="H78" s="148">
        <v>93</v>
      </c>
      <c r="I78" s="148" t="s">
        <v>123</v>
      </c>
      <c r="J78" s="147" t="s">
        <v>1591</v>
      </c>
      <c r="K78" s="149">
        <f>+K77+Tabla6[[#This Row],[IMPORTE]]</f>
        <v>224611553.85999998</v>
      </c>
      <c r="L78" s="147" t="s">
        <v>1556</v>
      </c>
      <c r="M78" s="174" t="s">
        <v>85</v>
      </c>
    </row>
    <row r="79" spans="2:13" x14ac:dyDescent="0.35">
      <c r="B79" s="4" t="s">
        <v>128</v>
      </c>
      <c r="C79" s="120">
        <v>46027</v>
      </c>
      <c r="D79" s="72">
        <v>666309208</v>
      </c>
      <c r="E79" s="72">
        <v>66</v>
      </c>
      <c r="F79" s="113">
        <v>39000</v>
      </c>
      <c r="G79" s="5" t="s">
        <v>129</v>
      </c>
      <c r="H79" s="72">
        <v>93</v>
      </c>
      <c r="I79" s="72" t="s">
        <v>123</v>
      </c>
      <c r="J79" s="5" t="s">
        <v>1511</v>
      </c>
      <c r="K79" s="113">
        <f>+K78+Tabla6[[#This Row],[IMPORTE]]</f>
        <v>224650553.85999998</v>
      </c>
      <c r="L79" s="5" t="s">
        <v>1737</v>
      </c>
      <c r="M79" s="119" t="s">
        <v>100</v>
      </c>
    </row>
    <row r="80" spans="2:13" x14ac:dyDescent="0.35">
      <c r="B80" s="4" t="s">
        <v>128</v>
      </c>
      <c r="C80" s="120">
        <v>46027</v>
      </c>
      <c r="D80" s="72">
        <v>666304943</v>
      </c>
      <c r="E80" s="72">
        <v>66</v>
      </c>
      <c r="F80" s="113">
        <v>39000</v>
      </c>
      <c r="G80" s="5" t="s">
        <v>129</v>
      </c>
      <c r="H80" s="72">
        <v>93</v>
      </c>
      <c r="I80" s="72" t="s">
        <v>123</v>
      </c>
      <c r="J80" s="5" t="s">
        <v>1512</v>
      </c>
      <c r="K80" s="113">
        <f>+K79+Tabla6[[#This Row],[IMPORTE]]</f>
        <v>224689553.85999998</v>
      </c>
      <c r="L80" s="5" t="s">
        <v>1737</v>
      </c>
      <c r="M80" s="119" t="s">
        <v>100</v>
      </c>
    </row>
    <row r="81" spans="2:13" x14ac:dyDescent="0.35">
      <c r="B81" s="173" t="s">
        <v>128</v>
      </c>
      <c r="C81" s="146">
        <v>46027</v>
      </c>
      <c r="D81" s="148">
        <v>666309957</v>
      </c>
      <c r="E81" s="148">
        <v>66</v>
      </c>
      <c r="F81" s="149">
        <v>39000</v>
      </c>
      <c r="G81" s="147" t="s">
        <v>129</v>
      </c>
      <c r="H81" s="148">
        <v>93</v>
      </c>
      <c r="I81" s="148" t="s">
        <v>123</v>
      </c>
      <c r="J81" s="147" t="s">
        <v>1592</v>
      </c>
      <c r="K81" s="149">
        <f>+K80+Tabla6[[#This Row],[IMPORTE]]</f>
        <v>224728553.85999998</v>
      </c>
      <c r="L81" s="147" t="s">
        <v>1556</v>
      </c>
      <c r="M81" s="174" t="s">
        <v>85</v>
      </c>
    </row>
    <row r="82" spans="2:13" x14ac:dyDescent="0.35">
      <c r="B82" s="173" t="s">
        <v>128</v>
      </c>
      <c r="C82" s="146">
        <v>46027</v>
      </c>
      <c r="D82" s="148">
        <v>666308307</v>
      </c>
      <c r="E82" s="148">
        <v>66</v>
      </c>
      <c r="F82" s="149">
        <v>39000</v>
      </c>
      <c r="G82" s="147" t="s">
        <v>129</v>
      </c>
      <c r="H82" s="148">
        <v>93</v>
      </c>
      <c r="I82" s="148" t="s">
        <v>123</v>
      </c>
      <c r="J82" s="147" t="s">
        <v>1593</v>
      </c>
      <c r="K82" s="149">
        <f>+K81+Tabla6[[#This Row],[IMPORTE]]</f>
        <v>224767553.85999998</v>
      </c>
      <c r="L82" s="147" t="s">
        <v>1556</v>
      </c>
      <c r="M82" s="174" t="s">
        <v>85</v>
      </c>
    </row>
    <row r="83" spans="2:13" x14ac:dyDescent="0.35">
      <c r="B83" s="173" t="s">
        <v>128</v>
      </c>
      <c r="C83" s="146">
        <v>46027</v>
      </c>
      <c r="D83" s="148">
        <v>666308924</v>
      </c>
      <c r="E83" s="148">
        <v>66</v>
      </c>
      <c r="F83" s="149">
        <v>39000</v>
      </c>
      <c r="G83" s="147" t="s">
        <v>129</v>
      </c>
      <c r="H83" s="148">
        <v>93</v>
      </c>
      <c r="I83" s="148" t="s">
        <v>123</v>
      </c>
      <c r="J83" s="147" t="s">
        <v>1594</v>
      </c>
      <c r="K83" s="149">
        <f>+K82+Tabla6[[#This Row],[IMPORTE]]</f>
        <v>224806553.85999998</v>
      </c>
      <c r="L83" s="147" t="s">
        <v>1558</v>
      </c>
      <c r="M83" s="174" t="s">
        <v>85</v>
      </c>
    </row>
    <row r="84" spans="2:13" x14ac:dyDescent="0.35">
      <c r="B84" s="173" t="s">
        <v>128</v>
      </c>
      <c r="C84" s="146">
        <v>46027</v>
      </c>
      <c r="D84" s="148">
        <v>666308956</v>
      </c>
      <c r="E84" s="148">
        <v>66</v>
      </c>
      <c r="F84" s="149">
        <v>39000</v>
      </c>
      <c r="G84" s="147" t="s">
        <v>129</v>
      </c>
      <c r="H84" s="148">
        <v>93</v>
      </c>
      <c r="I84" s="148" t="s">
        <v>123</v>
      </c>
      <c r="J84" s="147" t="s">
        <v>1595</v>
      </c>
      <c r="K84" s="149">
        <f>+K83+Tabla6[[#This Row],[IMPORTE]]</f>
        <v>224845553.85999998</v>
      </c>
      <c r="L84" s="147" t="s">
        <v>1556</v>
      </c>
      <c r="M84" s="174" t="s">
        <v>85</v>
      </c>
    </row>
    <row r="85" spans="2:13" x14ac:dyDescent="0.35">
      <c r="B85" s="173" t="s">
        <v>128</v>
      </c>
      <c r="C85" s="146">
        <v>46027</v>
      </c>
      <c r="D85" s="148">
        <v>666308965</v>
      </c>
      <c r="E85" s="148">
        <v>66</v>
      </c>
      <c r="F85" s="149">
        <v>39000</v>
      </c>
      <c r="G85" s="147" t="s">
        <v>129</v>
      </c>
      <c r="H85" s="148">
        <v>93</v>
      </c>
      <c r="I85" s="148" t="s">
        <v>123</v>
      </c>
      <c r="J85" s="147" t="s">
        <v>124</v>
      </c>
      <c r="K85" s="149">
        <f>+K84+Tabla6[[#This Row],[IMPORTE]]</f>
        <v>224884553.85999998</v>
      </c>
      <c r="L85" s="147" t="s">
        <v>1641</v>
      </c>
      <c r="M85" s="174" t="s">
        <v>85</v>
      </c>
    </row>
    <row r="86" spans="2:13" x14ac:dyDescent="0.35">
      <c r="B86" s="173" t="s">
        <v>128</v>
      </c>
      <c r="C86" s="146">
        <v>46027</v>
      </c>
      <c r="D86" s="148">
        <v>666309192</v>
      </c>
      <c r="E86" s="148">
        <v>66</v>
      </c>
      <c r="F86" s="149">
        <v>39000</v>
      </c>
      <c r="G86" s="147" t="s">
        <v>129</v>
      </c>
      <c r="H86" s="148">
        <v>93</v>
      </c>
      <c r="I86" s="148" t="s">
        <v>123</v>
      </c>
      <c r="J86" s="147" t="s">
        <v>124</v>
      </c>
      <c r="K86" s="149">
        <f>+K85+Tabla6[[#This Row],[IMPORTE]]</f>
        <v>224923553.85999998</v>
      </c>
      <c r="L86" s="147" t="s">
        <v>1641</v>
      </c>
      <c r="M86" s="174" t="s">
        <v>85</v>
      </c>
    </row>
    <row r="87" spans="2:13" x14ac:dyDescent="0.35">
      <c r="B87" s="173" t="s">
        <v>128</v>
      </c>
      <c r="C87" s="146">
        <v>46027</v>
      </c>
      <c r="D87" s="148">
        <v>666307930</v>
      </c>
      <c r="E87" s="148">
        <v>66</v>
      </c>
      <c r="F87" s="149">
        <v>39000</v>
      </c>
      <c r="G87" s="147" t="s">
        <v>129</v>
      </c>
      <c r="H87" s="148">
        <v>93</v>
      </c>
      <c r="I87" s="148" t="s">
        <v>123</v>
      </c>
      <c r="J87" s="147" t="s">
        <v>1596</v>
      </c>
      <c r="K87" s="149">
        <f>+K86+Tabla6[[#This Row],[IMPORTE]]</f>
        <v>224962553.85999998</v>
      </c>
      <c r="L87" s="147" t="s">
        <v>1558</v>
      </c>
      <c r="M87" s="174" t="s">
        <v>85</v>
      </c>
    </row>
    <row r="88" spans="2:13" x14ac:dyDescent="0.35">
      <c r="B88" s="173" t="s">
        <v>128</v>
      </c>
      <c r="C88" s="146">
        <v>46027</v>
      </c>
      <c r="D88" s="148">
        <v>666305486</v>
      </c>
      <c r="E88" s="148">
        <v>66</v>
      </c>
      <c r="F88" s="149">
        <v>39000</v>
      </c>
      <c r="G88" s="147" t="s">
        <v>129</v>
      </c>
      <c r="H88" s="148">
        <v>93</v>
      </c>
      <c r="I88" s="148" t="s">
        <v>123</v>
      </c>
      <c r="J88" s="147" t="s">
        <v>1597</v>
      </c>
      <c r="K88" s="149">
        <f>+K87+Tabla6[[#This Row],[IMPORTE]]</f>
        <v>225001553.85999998</v>
      </c>
      <c r="L88" s="147" t="s">
        <v>1556</v>
      </c>
      <c r="M88" s="174" t="s">
        <v>85</v>
      </c>
    </row>
    <row r="89" spans="2:13" x14ac:dyDescent="0.35">
      <c r="B89" s="4" t="s">
        <v>128</v>
      </c>
      <c r="C89" s="120">
        <v>46027</v>
      </c>
      <c r="D89" s="72">
        <v>666305547</v>
      </c>
      <c r="E89" s="72">
        <v>66</v>
      </c>
      <c r="F89" s="113">
        <v>39000</v>
      </c>
      <c r="G89" s="5" t="s">
        <v>129</v>
      </c>
      <c r="H89" s="72">
        <v>93</v>
      </c>
      <c r="I89" s="72" t="s">
        <v>123</v>
      </c>
      <c r="J89" s="5" t="s">
        <v>1513</v>
      </c>
      <c r="K89" s="113">
        <f>+K88+Tabla6[[#This Row],[IMPORTE]]</f>
        <v>225040553.85999998</v>
      </c>
      <c r="L89" s="5" t="s">
        <v>1737</v>
      </c>
      <c r="M89" s="119" t="s">
        <v>100</v>
      </c>
    </row>
    <row r="90" spans="2:13" x14ac:dyDescent="0.35">
      <c r="B90" s="173" t="s">
        <v>128</v>
      </c>
      <c r="C90" s="146">
        <v>46027</v>
      </c>
      <c r="D90" s="148">
        <v>666306872</v>
      </c>
      <c r="E90" s="148">
        <v>66</v>
      </c>
      <c r="F90" s="149">
        <v>39000</v>
      </c>
      <c r="G90" s="147" t="s">
        <v>129</v>
      </c>
      <c r="H90" s="148">
        <v>93</v>
      </c>
      <c r="I90" s="148" t="s">
        <v>123</v>
      </c>
      <c r="J90" s="147" t="s">
        <v>1598</v>
      </c>
      <c r="K90" s="149">
        <f>+K89+Tabla6[[#This Row],[IMPORTE]]</f>
        <v>225079553.85999998</v>
      </c>
      <c r="L90" s="147" t="s">
        <v>1558</v>
      </c>
      <c r="M90" s="174" t="s">
        <v>85</v>
      </c>
    </row>
    <row r="91" spans="2:13" x14ac:dyDescent="0.35">
      <c r="B91" s="4" t="s">
        <v>128</v>
      </c>
      <c r="C91" s="120">
        <v>46027</v>
      </c>
      <c r="D91" s="72">
        <v>666306914</v>
      </c>
      <c r="E91" s="72">
        <v>66</v>
      </c>
      <c r="F91" s="113">
        <v>39000</v>
      </c>
      <c r="G91" s="5" t="s">
        <v>129</v>
      </c>
      <c r="H91" s="72">
        <v>93</v>
      </c>
      <c r="I91" s="72" t="s">
        <v>123</v>
      </c>
      <c r="J91" s="5" t="s">
        <v>1549</v>
      </c>
      <c r="K91" s="113">
        <f>+K90+Tabla6[[#This Row],[IMPORTE]]</f>
        <v>225118553.85999998</v>
      </c>
      <c r="L91" s="5" t="s">
        <v>1735</v>
      </c>
      <c r="M91" s="119" t="s">
        <v>100</v>
      </c>
    </row>
    <row r="92" spans="2:13" x14ac:dyDescent="0.35">
      <c r="B92" s="173" t="s">
        <v>128</v>
      </c>
      <c r="C92" s="146">
        <v>46027</v>
      </c>
      <c r="D92" s="148">
        <v>666306199</v>
      </c>
      <c r="E92" s="148">
        <v>66</v>
      </c>
      <c r="F92" s="149">
        <v>39000</v>
      </c>
      <c r="G92" s="147" t="s">
        <v>129</v>
      </c>
      <c r="H92" s="148">
        <v>93</v>
      </c>
      <c r="I92" s="148" t="s">
        <v>123</v>
      </c>
      <c r="J92" s="147" t="s">
        <v>1599</v>
      </c>
      <c r="K92" s="149">
        <f>+K91+Tabla6[[#This Row],[IMPORTE]]</f>
        <v>225157553.85999998</v>
      </c>
      <c r="L92" s="147" t="s">
        <v>1556</v>
      </c>
      <c r="M92" s="174" t="s">
        <v>85</v>
      </c>
    </row>
    <row r="93" spans="2:13" x14ac:dyDescent="0.35">
      <c r="B93" s="173" t="s">
        <v>128</v>
      </c>
      <c r="C93" s="146">
        <v>46027</v>
      </c>
      <c r="D93" s="148">
        <v>666308170</v>
      </c>
      <c r="E93" s="148">
        <v>66</v>
      </c>
      <c r="F93" s="149">
        <v>39000</v>
      </c>
      <c r="G93" s="147" t="s">
        <v>129</v>
      </c>
      <c r="H93" s="148">
        <v>93</v>
      </c>
      <c r="I93" s="148" t="s">
        <v>123</v>
      </c>
      <c r="J93" s="147" t="s">
        <v>124</v>
      </c>
      <c r="K93" s="149">
        <f>+K92+Tabla6[[#This Row],[IMPORTE]]</f>
        <v>225196553.85999998</v>
      </c>
      <c r="L93" s="147" t="s">
        <v>1641</v>
      </c>
      <c r="M93" s="174" t="s">
        <v>85</v>
      </c>
    </row>
    <row r="94" spans="2:13" x14ac:dyDescent="0.35">
      <c r="B94" s="173" t="s">
        <v>128</v>
      </c>
      <c r="C94" s="146">
        <v>46027</v>
      </c>
      <c r="D94" s="148">
        <v>666305421</v>
      </c>
      <c r="E94" s="148">
        <v>66</v>
      </c>
      <c r="F94" s="149">
        <v>39000</v>
      </c>
      <c r="G94" s="147" t="s">
        <v>129</v>
      </c>
      <c r="H94" s="148">
        <v>93</v>
      </c>
      <c r="I94" s="148" t="s">
        <v>123</v>
      </c>
      <c r="J94" s="147" t="s">
        <v>1600</v>
      </c>
      <c r="K94" s="149">
        <f>+K93+Tabla6[[#This Row],[IMPORTE]]</f>
        <v>225235553.85999998</v>
      </c>
      <c r="L94" s="147" t="s">
        <v>1556</v>
      </c>
      <c r="M94" s="174" t="s">
        <v>85</v>
      </c>
    </row>
    <row r="95" spans="2:13" x14ac:dyDescent="0.35">
      <c r="B95" s="173" t="s">
        <v>128</v>
      </c>
      <c r="C95" s="146">
        <v>46027</v>
      </c>
      <c r="D95" s="148">
        <v>666308393</v>
      </c>
      <c r="E95" s="148">
        <v>66</v>
      </c>
      <c r="F95" s="149">
        <v>39000</v>
      </c>
      <c r="G95" s="147" t="s">
        <v>129</v>
      </c>
      <c r="H95" s="148">
        <v>93</v>
      </c>
      <c r="I95" s="148" t="s">
        <v>123</v>
      </c>
      <c r="J95" s="147" t="s">
        <v>1601</v>
      </c>
      <c r="K95" s="149">
        <f>+K94+Tabla6[[#This Row],[IMPORTE]]</f>
        <v>225274553.85999998</v>
      </c>
      <c r="L95" s="147" t="s">
        <v>1558</v>
      </c>
      <c r="M95" s="174" t="s">
        <v>85</v>
      </c>
    </row>
    <row r="96" spans="2:13" x14ac:dyDescent="0.35">
      <c r="B96" s="173" t="s">
        <v>128</v>
      </c>
      <c r="C96" s="146">
        <v>46027</v>
      </c>
      <c r="D96" s="148">
        <v>666305442</v>
      </c>
      <c r="E96" s="148">
        <v>66</v>
      </c>
      <c r="F96" s="149">
        <v>39000</v>
      </c>
      <c r="G96" s="147" t="s">
        <v>129</v>
      </c>
      <c r="H96" s="148">
        <v>93</v>
      </c>
      <c r="I96" s="148" t="s">
        <v>123</v>
      </c>
      <c r="J96" s="147" t="s">
        <v>124</v>
      </c>
      <c r="K96" s="149">
        <f>+K95+Tabla6[[#This Row],[IMPORTE]]</f>
        <v>225313553.85999998</v>
      </c>
      <c r="L96" s="147" t="s">
        <v>1641</v>
      </c>
      <c r="M96" s="174" t="s">
        <v>85</v>
      </c>
    </row>
    <row r="97" spans="2:13" x14ac:dyDescent="0.35">
      <c r="B97" s="4" t="s">
        <v>128</v>
      </c>
      <c r="C97" s="120">
        <v>46027</v>
      </c>
      <c r="D97" s="72">
        <v>666308485</v>
      </c>
      <c r="E97" s="72">
        <v>66</v>
      </c>
      <c r="F97" s="113">
        <v>39000</v>
      </c>
      <c r="G97" s="5" t="s">
        <v>129</v>
      </c>
      <c r="H97" s="72">
        <v>93</v>
      </c>
      <c r="I97" s="72" t="s">
        <v>123</v>
      </c>
      <c r="J97" s="5" t="s">
        <v>1550</v>
      </c>
      <c r="K97" s="113">
        <f>+K96+Tabla6[[#This Row],[IMPORTE]]</f>
        <v>225352553.85999998</v>
      </c>
      <c r="L97" s="5" t="s">
        <v>1735</v>
      </c>
      <c r="M97" s="119" t="s">
        <v>100</v>
      </c>
    </row>
    <row r="98" spans="2:13" x14ac:dyDescent="0.35">
      <c r="B98" s="4" t="s">
        <v>128</v>
      </c>
      <c r="C98" s="120">
        <v>46027</v>
      </c>
      <c r="D98" s="72">
        <v>666301358</v>
      </c>
      <c r="E98" s="72">
        <v>66</v>
      </c>
      <c r="F98" s="113">
        <v>40000</v>
      </c>
      <c r="G98" s="5" t="s">
        <v>129</v>
      </c>
      <c r="H98" s="72">
        <v>93</v>
      </c>
      <c r="I98" s="72" t="s">
        <v>123</v>
      </c>
      <c r="J98" s="5" t="s">
        <v>1551</v>
      </c>
      <c r="K98" s="113">
        <f>+K97+Tabla6[[#This Row],[IMPORTE]]</f>
        <v>225392553.85999998</v>
      </c>
      <c r="L98" s="5" t="s">
        <v>1735</v>
      </c>
      <c r="M98" s="119" t="s">
        <v>100</v>
      </c>
    </row>
    <row r="99" spans="2:13" x14ac:dyDescent="0.35">
      <c r="B99" s="4" t="s">
        <v>128</v>
      </c>
      <c r="C99" s="120">
        <v>46027</v>
      </c>
      <c r="D99" s="72">
        <v>666300654</v>
      </c>
      <c r="E99" s="72">
        <v>66</v>
      </c>
      <c r="F99" s="113">
        <v>52000</v>
      </c>
      <c r="G99" s="5" t="s">
        <v>129</v>
      </c>
      <c r="H99" s="72">
        <v>93</v>
      </c>
      <c r="I99" s="72" t="s">
        <v>123</v>
      </c>
      <c r="J99" s="5" t="s">
        <v>124</v>
      </c>
      <c r="K99" s="113">
        <f>+K98+Tabla6[[#This Row],[IMPORTE]]</f>
        <v>225444553.85999998</v>
      </c>
      <c r="L99" s="5" t="s">
        <v>1627</v>
      </c>
      <c r="M99" s="119" t="s">
        <v>100</v>
      </c>
    </row>
    <row r="100" spans="2:13" x14ac:dyDescent="0.35">
      <c r="B100" s="173" t="s">
        <v>128</v>
      </c>
      <c r="C100" s="146">
        <v>46027</v>
      </c>
      <c r="D100" s="148">
        <v>666303024</v>
      </c>
      <c r="E100" s="148">
        <v>66</v>
      </c>
      <c r="F100" s="149">
        <v>52000</v>
      </c>
      <c r="G100" s="147" t="s">
        <v>129</v>
      </c>
      <c r="H100" s="148">
        <v>93</v>
      </c>
      <c r="I100" s="148" t="s">
        <v>123</v>
      </c>
      <c r="J100" s="147" t="s">
        <v>1602</v>
      </c>
      <c r="K100" s="149">
        <f>+K99+Tabla6[[#This Row],[IMPORTE]]</f>
        <v>225496553.85999998</v>
      </c>
      <c r="L100" s="147" t="s">
        <v>1558</v>
      </c>
      <c r="M100" s="174" t="s">
        <v>85</v>
      </c>
    </row>
    <row r="101" spans="2:13" x14ac:dyDescent="0.35">
      <c r="B101" s="4" t="s">
        <v>128</v>
      </c>
      <c r="C101" s="120">
        <v>46027</v>
      </c>
      <c r="D101" s="72">
        <v>666305575</v>
      </c>
      <c r="E101" s="72">
        <v>66</v>
      </c>
      <c r="F101" s="113">
        <v>52000</v>
      </c>
      <c r="G101" s="5" t="s">
        <v>129</v>
      </c>
      <c r="H101" s="72">
        <v>93</v>
      </c>
      <c r="I101" s="72" t="s">
        <v>123</v>
      </c>
      <c r="J101" s="5" t="s">
        <v>1552</v>
      </c>
      <c r="K101" s="113">
        <f>+K100+Tabla6[[#This Row],[IMPORTE]]</f>
        <v>225548553.85999998</v>
      </c>
      <c r="L101" s="5" t="s">
        <v>1735</v>
      </c>
      <c r="M101" s="119" t="s">
        <v>100</v>
      </c>
    </row>
    <row r="102" spans="2:13" x14ac:dyDescent="0.35">
      <c r="B102" s="173" t="s">
        <v>128</v>
      </c>
      <c r="C102" s="146">
        <v>46027</v>
      </c>
      <c r="D102" s="148">
        <v>666309421</v>
      </c>
      <c r="E102" s="148">
        <v>66</v>
      </c>
      <c r="F102" s="149">
        <v>52000</v>
      </c>
      <c r="G102" s="147" t="s">
        <v>129</v>
      </c>
      <c r="H102" s="148">
        <v>93</v>
      </c>
      <c r="I102" s="148" t="s">
        <v>123</v>
      </c>
      <c r="J102" s="147" t="s">
        <v>1603</v>
      </c>
      <c r="K102" s="149">
        <f>+K101+Tabla6[[#This Row],[IMPORTE]]</f>
        <v>225600553.85999998</v>
      </c>
      <c r="L102" s="147" t="s">
        <v>1556</v>
      </c>
      <c r="M102" s="174" t="s">
        <v>85</v>
      </c>
    </row>
    <row r="103" spans="2:13" x14ac:dyDescent="0.35">
      <c r="B103" s="173" t="s">
        <v>128</v>
      </c>
      <c r="C103" s="146">
        <v>46027</v>
      </c>
      <c r="D103" s="148">
        <v>666307922</v>
      </c>
      <c r="E103" s="148">
        <v>66</v>
      </c>
      <c r="F103" s="149">
        <v>52000</v>
      </c>
      <c r="G103" s="147" t="s">
        <v>129</v>
      </c>
      <c r="H103" s="148">
        <v>93</v>
      </c>
      <c r="I103" s="148" t="s">
        <v>123</v>
      </c>
      <c r="J103" s="147" t="s">
        <v>1604</v>
      </c>
      <c r="K103" s="149">
        <f>+K102+Tabla6[[#This Row],[IMPORTE]]</f>
        <v>225652553.85999998</v>
      </c>
      <c r="L103" s="147" t="s">
        <v>1558</v>
      </c>
      <c r="M103" s="174" t="s">
        <v>85</v>
      </c>
    </row>
    <row r="104" spans="2:13" x14ac:dyDescent="0.35">
      <c r="B104" s="173" t="s">
        <v>128</v>
      </c>
      <c r="C104" s="146">
        <v>46027</v>
      </c>
      <c r="D104" s="148">
        <v>666300894</v>
      </c>
      <c r="E104" s="148">
        <v>66</v>
      </c>
      <c r="F104" s="149">
        <v>53000</v>
      </c>
      <c r="G104" s="147" t="s">
        <v>129</v>
      </c>
      <c r="H104" s="148">
        <v>93</v>
      </c>
      <c r="I104" s="148" t="s">
        <v>123</v>
      </c>
      <c r="J104" s="147" t="s">
        <v>1605</v>
      </c>
      <c r="K104" s="149">
        <f>+K103+Tabla6[[#This Row],[IMPORTE]]</f>
        <v>225705553.85999998</v>
      </c>
      <c r="L104" s="147" t="s">
        <v>1558</v>
      </c>
      <c r="M104" s="174" t="s">
        <v>85</v>
      </c>
    </row>
    <row r="105" spans="2:13" x14ac:dyDescent="0.35">
      <c r="B105" s="4" t="s">
        <v>125</v>
      </c>
      <c r="C105" s="120">
        <v>46027</v>
      </c>
      <c r="D105" s="72">
        <v>746000029</v>
      </c>
      <c r="E105" s="72">
        <v>66</v>
      </c>
      <c r="F105" s="113">
        <v>54034.31</v>
      </c>
      <c r="G105" s="5" t="s">
        <v>126</v>
      </c>
      <c r="H105" s="72">
        <v>558</v>
      </c>
      <c r="I105" s="72" t="s">
        <v>123</v>
      </c>
      <c r="J105" s="5" t="s">
        <v>124</v>
      </c>
      <c r="K105" s="113">
        <f>+K104+Tabla6[[#This Row],[IMPORTE]]</f>
        <v>225759588.16999999</v>
      </c>
      <c r="L105" s="5" t="s">
        <v>1650</v>
      </c>
      <c r="M105" s="119" t="s">
        <v>100</v>
      </c>
    </row>
    <row r="106" spans="2:13" x14ac:dyDescent="0.35">
      <c r="B106" s="173" t="s">
        <v>128</v>
      </c>
      <c r="C106" s="146">
        <v>46027</v>
      </c>
      <c r="D106" s="148">
        <v>666309283</v>
      </c>
      <c r="E106" s="148">
        <v>66</v>
      </c>
      <c r="F106" s="149">
        <v>55000</v>
      </c>
      <c r="G106" s="147" t="s">
        <v>129</v>
      </c>
      <c r="H106" s="148">
        <v>93</v>
      </c>
      <c r="I106" s="148" t="s">
        <v>123</v>
      </c>
      <c r="J106" s="147" t="s">
        <v>1606</v>
      </c>
      <c r="K106" s="149">
        <f>+K105+Tabla6[[#This Row],[IMPORTE]]</f>
        <v>225814588.16999999</v>
      </c>
      <c r="L106" s="147" t="s">
        <v>1558</v>
      </c>
      <c r="M106" s="174" t="s">
        <v>85</v>
      </c>
    </row>
    <row r="107" spans="2:13" x14ac:dyDescent="0.35">
      <c r="B107" s="4" t="s">
        <v>128</v>
      </c>
      <c r="C107" s="120">
        <v>46027</v>
      </c>
      <c r="D107" s="72">
        <v>666306028</v>
      </c>
      <c r="E107" s="72">
        <v>66</v>
      </c>
      <c r="F107" s="113">
        <v>69000</v>
      </c>
      <c r="G107" s="5" t="s">
        <v>129</v>
      </c>
      <c r="H107" s="72">
        <v>93</v>
      </c>
      <c r="I107" s="72" t="s">
        <v>123</v>
      </c>
      <c r="J107" s="5" t="s">
        <v>124</v>
      </c>
      <c r="K107" s="113">
        <f>+K106+Tabla6[[#This Row],[IMPORTE]]</f>
        <v>225883588.16999999</v>
      </c>
      <c r="L107" s="5" t="s">
        <v>1627</v>
      </c>
      <c r="M107" s="119" t="s">
        <v>100</v>
      </c>
    </row>
    <row r="108" spans="2:13" x14ac:dyDescent="0.35">
      <c r="B108" s="4" t="s">
        <v>128</v>
      </c>
      <c r="C108" s="120">
        <v>46027</v>
      </c>
      <c r="D108" s="72">
        <v>667809257</v>
      </c>
      <c r="E108" s="72">
        <v>66</v>
      </c>
      <c r="F108" s="113">
        <v>78000</v>
      </c>
      <c r="G108" s="5" t="s">
        <v>129</v>
      </c>
      <c r="H108" s="72">
        <v>93</v>
      </c>
      <c r="I108" s="72" t="s">
        <v>123</v>
      </c>
      <c r="J108" s="5" t="s">
        <v>139</v>
      </c>
      <c r="K108" s="113">
        <f>+K107+Tabla6[[#This Row],[IMPORTE]]</f>
        <v>225961588.16999999</v>
      </c>
      <c r="L108" s="5" t="s">
        <v>1737</v>
      </c>
      <c r="M108" s="119" t="s">
        <v>100</v>
      </c>
    </row>
    <row r="109" spans="2:13" x14ac:dyDescent="0.35">
      <c r="B109" s="173" t="s">
        <v>128</v>
      </c>
      <c r="C109" s="146">
        <v>46027</v>
      </c>
      <c r="D109" s="148">
        <v>666301982</v>
      </c>
      <c r="E109" s="148">
        <v>66</v>
      </c>
      <c r="F109" s="149">
        <v>78000</v>
      </c>
      <c r="G109" s="147" t="s">
        <v>129</v>
      </c>
      <c r="H109" s="148">
        <v>93</v>
      </c>
      <c r="I109" s="148" t="s">
        <v>123</v>
      </c>
      <c r="J109" s="147" t="s">
        <v>1607</v>
      </c>
      <c r="K109" s="149">
        <f>+K108+Tabla6[[#This Row],[IMPORTE]]</f>
        <v>226039588.16999999</v>
      </c>
      <c r="L109" s="147" t="s">
        <v>1558</v>
      </c>
      <c r="M109" s="174" t="s">
        <v>85</v>
      </c>
    </row>
    <row r="110" spans="2:13" x14ac:dyDescent="0.35">
      <c r="B110" s="4" t="s">
        <v>128</v>
      </c>
      <c r="C110" s="120">
        <v>46027</v>
      </c>
      <c r="D110" s="72">
        <v>666303199</v>
      </c>
      <c r="E110" s="72">
        <v>66</v>
      </c>
      <c r="F110" s="113">
        <v>78000</v>
      </c>
      <c r="G110" s="5" t="s">
        <v>129</v>
      </c>
      <c r="H110" s="72">
        <v>93</v>
      </c>
      <c r="I110" s="72" t="s">
        <v>123</v>
      </c>
      <c r="J110" s="5" t="s">
        <v>1553</v>
      </c>
      <c r="K110" s="113">
        <f>+K109+Tabla6[[#This Row],[IMPORTE]]</f>
        <v>226117588.16999999</v>
      </c>
      <c r="L110" s="5" t="s">
        <v>1735</v>
      </c>
      <c r="M110" s="119" t="s">
        <v>100</v>
      </c>
    </row>
    <row r="111" spans="2:13" x14ac:dyDescent="0.35">
      <c r="B111" s="173" t="s">
        <v>128</v>
      </c>
      <c r="C111" s="146">
        <v>46027</v>
      </c>
      <c r="D111" s="148">
        <v>666302934</v>
      </c>
      <c r="E111" s="148">
        <v>66</v>
      </c>
      <c r="F111" s="149">
        <v>78000</v>
      </c>
      <c r="G111" s="147" t="s">
        <v>129</v>
      </c>
      <c r="H111" s="148">
        <v>93</v>
      </c>
      <c r="I111" s="148" t="s">
        <v>123</v>
      </c>
      <c r="J111" s="147" t="s">
        <v>1608</v>
      </c>
      <c r="K111" s="149">
        <f>+K110+Tabla6[[#This Row],[IMPORTE]]</f>
        <v>226195588.16999999</v>
      </c>
      <c r="L111" s="147" t="s">
        <v>1558</v>
      </c>
      <c r="M111" s="174" t="s">
        <v>85</v>
      </c>
    </row>
    <row r="112" spans="2:13" x14ac:dyDescent="0.35">
      <c r="B112" s="173" t="s">
        <v>128</v>
      </c>
      <c r="C112" s="146">
        <v>46027</v>
      </c>
      <c r="D112" s="148">
        <v>666308018</v>
      </c>
      <c r="E112" s="148">
        <v>66</v>
      </c>
      <c r="F112" s="149">
        <v>78000</v>
      </c>
      <c r="G112" s="147" t="s">
        <v>129</v>
      </c>
      <c r="H112" s="148">
        <v>93</v>
      </c>
      <c r="I112" s="148" t="s">
        <v>123</v>
      </c>
      <c r="J112" s="147" t="s">
        <v>1609</v>
      </c>
      <c r="K112" s="149">
        <f>+K111+Tabla6[[#This Row],[IMPORTE]]</f>
        <v>226273588.16999999</v>
      </c>
      <c r="L112" s="147" t="s">
        <v>1558</v>
      </c>
      <c r="M112" s="174" t="s">
        <v>85</v>
      </c>
    </row>
    <row r="113" spans="2:13" x14ac:dyDescent="0.35">
      <c r="B113" s="173" t="s">
        <v>128</v>
      </c>
      <c r="C113" s="146">
        <v>46027</v>
      </c>
      <c r="D113" s="148">
        <v>666305879</v>
      </c>
      <c r="E113" s="148">
        <v>66</v>
      </c>
      <c r="F113" s="149">
        <v>79000</v>
      </c>
      <c r="G113" s="147" t="s">
        <v>129</v>
      </c>
      <c r="H113" s="148">
        <v>93</v>
      </c>
      <c r="I113" s="148" t="s">
        <v>123</v>
      </c>
      <c r="J113" s="147" t="s">
        <v>1610</v>
      </c>
      <c r="K113" s="149">
        <f>+K112+Tabla6[[#This Row],[IMPORTE]]</f>
        <v>226352588.16999999</v>
      </c>
      <c r="L113" s="147" t="s">
        <v>1558</v>
      </c>
      <c r="M113" s="174" t="s">
        <v>85</v>
      </c>
    </row>
    <row r="114" spans="2:13" x14ac:dyDescent="0.35">
      <c r="B114" s="173" t="s">
        <v>128</v>
      </c>
      <c r="C114" s="146">
        <v>46027</v>
      </c>
      <c r="D114" s="148">
        <v>666304484</v>
      </c>
      <c r="E114" s="148">
        <v>66</v>
      </c>
      <c r="F114" s="149">
        <v>104000</v>
      </c>
      <c r="G114" s="147" t="s">
        <v>129</v>
      </c>
      <c r="H114" s="148">
        <v>93</v>
      </c>
      <c r="I114" s="148" t="s">
        <v>123</v>
      </c>
      <c r="J114" s="147" t="s">
        <v>1611</v>
      </c>
      <c r="K114" s="149">
        <f>+K113+Tabla6[[#This Row],[IMPORTE]]</f>
        <v>226456588.16999999</v>
      </c>
      <c r="L114" s="147" t="s">
        <v>1558</v>
      </c>
      <c r="M114" s="174" t="s">
        <v>85</v>
      </c>
    </row>
    <row r="115" spans="2:13" x14ac:dyDescent="0.35">
      <c r="B115" s="4" t="s">
        <v>115</v>
      </c>
      <c r="C115" s="120">
        <v>46027</v>
      </c>
      <c r="D115" s="72">
        <v>6496191</v>
      </c>
      <c r="E115" s="72">
        <v>66</v>
      </c>
      <c r="F115" s="113">
        <v>549643.47</v>
      </c>
      <c r="G115" s="5" t="s">
        <v>116</v>
      </c>
      <c r="H115" s="72">
        <v>480</v>
      </c>
      <c r="I115" s="72">
        <v>30643990632</v>
      </c>
      <c r="J115" s="5" t="s">
        <v>118</v>
      </c>
      <c r="K115" s="113">
        <f>+K114+Tabla6[[#This Row],[IMPORTE]]</f>
        <v>227006231.63999999</v>
      </c>
      <c r="L115" s="5" t="s">
        <v>1650</v>
      </c>
      <c r="M115" s="119" t="s">
        <v>100</v>
      </c>
    </row>
    <row r="116" spans="2:13" x14ac:dyDescent="0.35">
      <c r="B116" s="4" t="s">
        <v>128</v>
      </c>
      <c r="C116" s="120">
        <v>46027</v>
      </c>
      <c r="D116" s="72">
        <v>666300509</v>
      </c>
      <c r="E116" s="72">
        <v>66</v>
      </c>
      <c r="F116" s="113">
        <v>1033503.44</v>
      </c>
      <c r="G116" s="5" t="s">
        <v>129</v>
      </c>
      <c r="H116" s="72">
        <v>93</v>
      </c>
      <c r="I116" s="72" t="s">
        <v>123</v>
      </c>
      <c r="J116" s="5" t="s">
        <v>124</v>
      </c>
      <c r="K116" s="113">
        <f>+K115+Tabla6[[#This Row],[IMPORTE]]</f>
        <v>228039735.07999998</v>
      </c>
      <c r="L116" s="5" t="s">
        <v>1650</v>
      </c>
      <c r="M116" s="119" t="s">
        <v>100</v>
      </c>
    </row>
    <row r="117" spans="2:13" x14ac:dyDescent="0.35">
      <c r="B117" s="4" t="s">
        <v>115</v>
      </c>
      <c r="C117" s="120">
        <v>46027</v>
      </c>
      <c r="D117" s="72">
        <v>6471891</v>
      </c>
      <c r="E117" s="72">
        <v>66</v>
      </c>
      <c r="F117" s="113">
        <v>1830283.57</v>
      </c>
      <c r="G117" s="5" t="s">
        <v>116</v>
      </c>
      <c r="H117" s="72">
        <v>479</v>
      </c>
      <c r="I117" s="72">
        <v>30659863789</v>
      </c>
      <c r="J117" s="5" t="s">
        <v>119</v>
      </c>
      <c r="K117" s="113">
        <f>+K116+Tabla6[[#This Row],[IMPORTE]]</f>
        <v>229870018.64999998</v>
      </c>
      <c r="L117" s="5" t="s">
        <v>1651</v>
      </c>
      <c r="M117" s="119" t="s">
        <v>100</v>
      </c>
    </row>
    <row r="118" spans="2:13" x14ac:dyDescent="0.35">
      <c r="B118" s="4" t="s">
        <v>115</v>
      </c>
      <c r="C118" s="120">
        <v>46027</v>
      </c>
      <c r="D118" s="72">
        <v>6471889</v>
      </c>
      <c r="E118" s="72">
        <v>66</v>
      </c>
      <c r="F118" s="113">
        <v>2706018.32</v>
      </c>
      <c r="G118" s="5" t="s">
        <v>116</v>
      </c>
      <c r="H118" s="72">
        <v>479</v>
      </c>
      <c r="I118" s="72">
        <v>30659863789</v>
      </c>
      <c r="J118" s="5" t="s">
        <v>119</v>
      </c>
      <c r="K118" s="113">
        <f>+K117+Tabla6[[#This Row],[IMPORTE]]</f>
        <v>232576036.96999997</v>
      </c>
      <c r="L118" s="5" t="s">
        <v>1651</v>
      </c>
      <c r="M118" s="119" t="s">
        <v>100</v>
      </c>
    </row>
    <row r="119" spans="2:13" x14ac:dyDescent="0.35">
      <c r="B119" s="4" t="s">
        <v>115</v>
      </c>
      <c r="C119" s="120">
        <v>46027</v>
      </c>
      <c r="D119" s="72">
        <v>6471893</v>
      </c>
      <c r="E119" s="72">
        <v>66</v>
      </c>
      <c r="F119" s="113">
        <v>20976326.859999999</v>
      </c>
      <c r="G119" s="5" t="s">
        <v>116</v>
      </c>
      <c r="H119" s="72">
        <v>479</v>
      </c>
      <c r="I119" s="72">
        <v>30659863789</v>
      </c>
      <c r="J119" s="5" t="s">
        <v>119</v>
      </c>
      <c r="K119" s="113">
        <f>+K118+Tabla6[[#This Row],[IMPORTE]]</f>
        <v>253552363.82999998</v>
      </c>
      <c r="L119" s="5" t="s">
        <v>1651</v>
      </c>
      <c r="M119" s="119" t="s">
        <v>100</v>
      </c>
    </row>
    <row r="120" spans="2:13" x14ac:dyDescent="0.35">
      <c r="B120" s="4" t="s">
        <v>128</v>
      </c>
      <c r="C120" s="120">
        <v>46027</v>
      </c>
      <c r="D120" s="72">
        <v>666307966</v>
      </c>
      <c r="E120" s="72">
        <v>66</v>
      </c>
      <c r="F120" s="113">
        <v>25720644.719999999</v>
      </c>
      <c r="G120" s="5" t="s">
        <v>129</v>
      </c>
      <c r="H120" s="72">
        <v>93</v>
      </c>
      <c r="I120" s="72" t="s">
        <v>123</v>
      </c>
      <c r="J120" s="5" t="s">
        <v>124</v>
      </c>
      <c r="K120" s="113">
        <f>+K119+Tabla6[[#This Row],[IMPORTE]]</f>
        <v>279273008.54999995</v>
      </c>
      <c r="L120" s="5" t="s">
        <v>1480</v>
      </c>
      <c r="M120" s="119" t="s">
        <v>100</v>
      </c>
    </row>
    <row r="121" spans="2:13" x14ac:dyDescent="0.35">
      <c r="B121" s="121" t="s">
        <v>140</v>
      </c>
      <c r="C121" s="122">
        <v>46027</v>
      </c>
      <c r="D121" s="116">
        <v>874550083</v>
      </c>
      <c r="E121" s="116">
        <v>66</v>
      </c>
      <c r="F121" s="114">
        <v>-110500000</v>
      </c>
      <c r="G121" s="100" t="s">
        <v>141</v>
      </c>
      <c r="H121" s="116">
        <v>935</v>
      </c>
      <c r="I121" s="116" t="s">
        <v>123</v>
      </c>
      <c r="J121" s="100" t="s">
        <v>124</v>
      </c>
      <c r="K121" s="114">
        <f>+K120+Tabla6[[#This Row],[IMPORTE]]</f>
        <v>168773008.54999995</v>
      </c>
      <c r="L121" s="100" t="s">
        <v>110</v>
      </c>
      <c r="M121" s="123" t="s">
        <v>181</v>
      </c>
    </row>
    <row r="122" spans="2:13" x14ac:dyDescent="0.35">
      <c r="B122" s="172" t="s">
        <v>115</v>
      </c>
      <c r="C122" s="126">
        <v>46027</v>
      </c>
      <c r="D122" s="127">
        <v>6333404</v>
      </c>
      <c r="E122" s="127">
        <v>66</v>
      </c>
      <c r="F122" s="128">
        <v>-216147.42</v>
      </c>
      <c r="G122" s="129" t="s">
        <v>116</v>
      </c>
      <c r="H122" s="127">
        <v>488</v>
      </c>
      <c r="I122" s="127" t="s">
        <v>123</v>
      </c>
      <c r="J122" s="131" t="s">
        <v>183</v>
      </c>
      <c r="K122" s="128">
        <f>+K121+Tabla6[[#This Row],[IMPORTE]]</f>
        <v>168556861.12999997</v>
      </c>
      <c r="L122" s="129" t="s">
        <v>182</v>
      </c>
      <c r="M122" s="130" t="s">
        <v>93</v>
      </c>
    </row>
    <row r="123" spans="2:13" x14ac:dyDescent="0.35">
      <c r="B123" s="173" t="s">
        <v>115</v>
      </c>
      <c r="C123" s="146">
        <v>46027</v>
      </c>
      <c r="D123" s="148">
        <v>6442503</v>
      </c>
      <c r="E123" s="148">
        <v>66</v>
      </c>
      <c r="F123" s="149">
        <v>-41929.19</v>
      </c>
      <c r="G123" s="147" t="s">
        <v>116</v>
      </c>
      <c r="H123" s="148">
        <v>488</v>
      </c>
      <c r="I123" s="148" t="s">
        <v>123</v>
      </c>
      <c r="J123" s="147" t="s">
        <v>1536</v>
      </c>
      <c r="K123" s="149">
        <f>+K122+Tabla6[[#This Row],[IMPORTE]]</f>
        <v>168514931.93999997</v>
      </c>
      <c r="L123" s="178" t="s">
        <v>765</v>
      </c>
      <c r="M123" s="174" t="s">
        <v>92</v>
      </c>
    </row>
    <row r="124" spans="2:13" x14ac:dyDescent="0.35">
      <c r="B124" s="173" t="s">
        <v>115</v>
      </c>
      <c r="C124" s="146">
        <v>46027</v>
      </c>
      <c r="D124" s="148">
        <v>6442497</v>
      </c>
      <c r="E124" s="148">
        <v>66</v>
      </c>
      <c r="F124" s="149">
        <v>-39864.04</v>
      </c>
      <c r="G124" s="147" t="s">
        <v>116</v>
      </c>
      <c r="H124" s="148">
        <v>488</v>
      </c>
      <c r="I124" s="148" t="s">
        <v>123</v>
      </c>
      <c r="J124" s="147" t="s">
        <v>1536</v>
      </c>
      <c r="K124" s="149">
        <f>+K123+Tabla6[[#This Row],[IMPORTE]]</f>
        <v>168475067.89999998</v>
      </c>
      <c r="L124" s="178" t="s">
        <v>765</v>
      </c>
      <c r="M124" s="174" t="s">
        <v>92</v>
      </c>
    </row>
    <row r="125" spans="2:13" x14ac:dyDescent="0.35">
      <c r="B125" s="173" t="s">
        <v>115</v>
      </c>
      <c r="C125" s="146">
        <v>46027</v>
      </c>
      <c r="D125" s="148">
        <v>6442501</v>
      </c>
      <c r="E125" s="148">
        <v>66</v>
      </c>
      <c r="F125" s="149">
        <v>-39479.339999999997</v>
      </c>
      <c r="G125" s="147" t="s">
        <v>116</v>
      </c>
      <c r="H125" s="148">
        <v>488</v>
      </c>
      <c r="I125" s="148" t="s">
        <v>123</v>
      </c>
      <c r="J125" s="147" t="s">
        <v>1536</v>
      </c>
      <c r="K125" s="149">
        <f>+K124+Tabla6[[#This Row],[IMPORTE]]</f>
        <v>168435588.55999997</v>
      </c>
      <c r="L125" s="178" t="s">
        <v>765</v>
      </c>
      <c r="M125" s="174" t="s">
        <v>92</v>
      </c>
    </row>
    <row r="126" spans="2:13" x14ac:dyDescent="0.35">
      <c r="B126" s="173" t="s">
        <v>115</v>
      </c>
      <c r="C126" s="146">
        <v>46027</v>
      </c>
      <c r="D126" s="148">
        <v>6442505</v>
      </c>
      <c r="E126" s="148">
        <v>66</v>
      </c>
      <c r="F126" s="149">
        <v>-29949.73</v>
      </c>
      <c r="G126" s="147" t="s">
        <v>116</v>
      </c>
      <c r="H126" s="148">
        <v>488</v>
      </c>
      <c r="I126" s="148" t="s">
        <v>123</v>
      </c>
      <c r="J126" s="147" t="s">
        <v>1536</v>
      </c>
      <c r="K126" s="149">
        <f>+K125+Tabla6[[#This Row],[IMPORTE]]</f>
        <v>168405638.82999998</v>
      </c>
      <c r="L126" s="178" t="s">
        <v>765</v>
      </c>
      <c r="M126" s="174" t="s">
        <v>92</v>
      </c>
    </row>
    <row r="127" spans="2:13" x14ac:dyDescent="0.35">
      <c r="B127" s="173" t="s">
        <v>115</v>
      </c>
      <c r="C127" s="146">
        <v>46027</v>
      </c>
      <c r="D127" s="148">
        <v>6442508</v>
      </c>
      <c r="E127" s="148">
        <v>66</v>
      </c>
      <c r="F127" s="149">
        <v>-28815.81</v>
      </c>
      <c r="G127" s="147" t="s">
        <v>116</v>
      </c>
      <c r="H127" s="148">
        <v>488</v>
      </c>
      <c r="I127" s="148" t="s">
        <v>123</v>
      </c>
      <c r="J127" s="147" t="s">
        <v>1536</v>
      </c>
      <c r="K127" s="149">
        <f>+K126+Tabla6[[#This Row],[IMPORTE]]</f>
        <v>168376823.01999998</v>
      </c>
      <c r="L127" s="178" t="s">
        <v>765</v>
      </c>
      <c r="M127" s="174" t="s">
        <v>92</v>
      </c>
    </row>
    <row r="128" spans="2:13" x14ac:dyDescent="0.35">
      <c r="B128" s="173" t="s">
        <v>115</v>
      </c>
      <c r="C128" s="146">
        <v>46027</v>
      </c>
      <c r="D128" s="148">
        <v>6442499</v>
      </c>
      <c r="E128" s="148">
        <v>66</v>
      </c>
      <c r="F128" s="149">
        <v>-25314.44</v>
      </c>
      <c r="G128" s="147" t="s">
        <v>116</v>
      </c>
      <c r="H128" s="148">
        <v>488</v>
      </c>
      <c r="I128" s="148" t="s">
        <v>123</v>
      </c>
      <c r="J128" s="147" t="s">
        <v>1536</v>
      </c>
      <c r="K128" s="149">
        <f>+K127+Tabla6[[#This Row],[IMPORTE]]</f>
        <v>168351508.57999998</v>
      </c>
      <c r="L128" s="178" t="s">
        <v>765</v>
      </c>
      <c r="M128" s="174" t="s">
        <v>92</v>
      </c>
    </row>
    <row r="129" spans="2:13" x14ac:dyDescent="0.35">
      <c r="B129" s="173" t="s">
        <v>115</v>
      </c>
      <c r="C129" s="146">
        <v>46027</v>
      </c>
      <c r="D129" s="148">
        <v>6442507</v>
      </c>
      <c r="E129" s="148">
        <v>66</v>
      </c>
      <c r="F129" s="149">
        <v>-9364.1200000000008</v>
      </c>
      <c r="G129" s="147" t="s">
        <v>116</v>
      </c>
      <c r="H129" s="148">
        <v>488</v>
      </c>
      <c r="I129" s="148" t="s">
        <v>123</v>
      </c>
      <c r="J129" s="147" t="s">
        <v>1536</v>
      </c>
      <c r="K129" s="149">
        <f>+K128+Tabla6[[#This Row],[IMPORTE]]</f>
        <v>168342144.45999998</v>
      </c>
      <c r="L129" s="178" t="s">
        <v>765</v>
      </c>
      <c r="M129" s="174" t="s">
        <v>92</v>
      </c>
    </row>
    <row r="130" spans="2:13" x14ac:dyDescent="0.35">
      <c r="B130" s="173" t="s">
        <v>115</v>
      </c>
      <c r="C130" s="146">
        <v>46027</v>
      </c>
      <c r="D130" s="148">
        <v>6442504</v>
      </c>
      <c r="E130" s="148">
        <v>66</v>
      </c>
      <c r="F130" s="149">
        <v>-5200.99</v>
      </c>
      <c r="G130" s="147" t="s">
        <v>116</v>
      </c>
      <c r="H130" s="148">
        <v>488</v>
      </c>
      <c r="I130" s="148" t="s">
        <v>123</v>
      </c>
      <c r="J130" s="147" t="s">
        <v>1536</v>
      </c>
      <c r="K130" s="149">
        <f>+K129+Tabla6[[#This Row],[IMPORTE]]</f>
        <v>168336943.46999997</v>
      </c>
      <c r="L130" s="178" t="s">
        <v>765</v>
      </c>
      <c r="M130" s="174" t="s">
        <v>92</v>
      </c>
    </row>
    <row r="131" spans="2:13" x14ac:dyDescent="0.35">
      <c r="B131" s="172" t="s">
        <v>132</v>
      </c>
      <c r="C131" s="126">
        <v>46027</v>
      </c>
      <c r="D131" s="127">
        <v>746300029</v>
      </c>
      <c r="E131" s="127">
        <v>66</v>
      </c>
      <c r="F131" s="128">
        <v>-1080.69</v>
      </c>
      <c r="G131" s="129" t="s">
        <v>133</v>
      </c>
      <c r="H131" s="127">
        <v>562</v>
      </c>
      <c r="I131" s="127" t="s">
        <v>123</v>
      </c>
      <c r="J131" s="129" t="s">
        <v>124</v>
      </c>
      <c r="K131" s="128">
        <f>+K130+Tabla6[[#This Row],[IMPORTE]]</f>
        <v>168335862.77999997</v>
      </c>
      <c r="L131" s="129" t="s">
        <v>182</v>
      </c>
      <c r="M131" s="130" t="s">
        <v>93</v>
      </c>
    </row>
    <row r="132" spans="2:13" x14ac:dyDescent="0.35">
      <c r="B132" s="173" t="s">
        <v>128</v>
      </c>
      <c r="C132" s="146">
        <v>46028</v>
      </c>
      <c r="D132" s="148">
        <v>666300177</v>
      </c>
      <c r="E132" s="148">
        <v>66</v>
      </c>
      <c r="F132" s="149">
        <v>86.9</v>
      </c>
      <c r="G132" s="147" t="s">
        <v>129</v>
      </c>
      <c r="H132" s="148">
        <v>93</v>
      </c>
      <c r="I132" s="148" t="s">
        <v>123</v>
      </c>
      <c r="J132" s="147" t="s">
        <v>124</v>
      </c>
      <c r="K132" s="149">
        <f>+K131+Tabla6[[#This Row],[IMPORTE]]</f>
        <v>168335949.67999998</v>
      </c>
      <c r="L132" s="143" t="s">
        <v>602</v>
      </c>
      <c r="M132" s="174" t="s">
        <v>90</v>
      </c>
    </row>
    <row r="133" spans="2:13" x14ac:dyDescent="0.35">
      <c r="B133" s="4" t="s">
        <v>128</v>
      </c>
      <c r="C133" s="120">
        <v>46028</v>
      </c>
      <c r="D133" s="72">
        <v>666307296</v>
      </c>
      <c r="E133" s="72">
        <v>66</v>
      </c>
      <c r="F133" s="113">
        <v>13000</v>
      </c>
      <c r="G133" s="5" t="s">
        <v>129</v>
      </c>
      <c r="H133" s="72">
        <v>93</v>
      </c>
      <c r="I133" s="72" t="s">
        <v>123</v>
      </c>
      <c r="J133" s="5" t="s">
        <v>124</v>
      </c>
      <c r="K133" s="113">
        <f>+K132+Tabla6[[#This Row],[IMPORTE]]</f>
        <v>168348949.67999998</v>
      </c>
      <c r="L133" s="5" t="s">
        <v>1628</v>
      </c>
      <c r="M133" s="119" t="s">
        <v>100</v>
      </c>
    </row>
    <row r="134" spans="2:13" x14ac:dyDescent="0.35">
      <c r="B134" s="173" t="s">
        <v>128</v>
      </c>
      <c r="C134" s="146">
        <v>46028</v>
      </c>
      <c r="D134" s="148">
        <v>666301047</v>
      </c>
      <c r="E134" s="148">
        <v>66</v>
      </c>
      <c r="F134" s="149">
        <v>13000</v>
      </c>
      <c r="G134" s="147" t="s">
        <v>129</v>
      </c>
      <c r="H134" s="148">
        <v>93</v>
      </c>
      <c r="I134" s="148" t="s">
        <v>123</v>
      </c>
      <c r="J134" s="147" t="s">
        <v>1612</v>
      </c>
      <c r="K134" s="149">
        <f>+K133+Tabla6[[#This Row],[IMPORTE]]</f>
        <v>168361949.67999998</v>
      </c>
      <c r="L134" s="147" t="s">
        <v>1556</v>
      </c>
      <c r="M134" s="174" t="s">
        <v>85</v>
      </c>
    </row>
    <row r="135" spans="2:13" x14ac:dyDescent="0.35">
      <c r="B135" s="173" t="s">
        <v>128</v>
      </c>
      <c r="C135" s="146">
        <v>46028</v>
      </c>
      <c r="D135" s="148">
        <v>666305886</v>
      </c>
      <c r="E135" s="148">
        <v>66</v>
      </c>
      <c r="F135" s="149">
        <v>16284.94</v>
      </c>
      <c r="G135" s="147" t="s">
        <v>129</v>
      </c>
      <c r="H135" s="148">
        <v>93</v>
      </c>
      <c r="I135" s="148" t="s">
        <v>123</v>
      </c>
      <c r="J135" s="147" t="s">
        <v>124</v>
      </c>
      <c r="K135" s="149">
        <f>+K134+Tabla6[[#This Row],[IMPORTE]]</f>
        <v>168378234.61999997</v>
      </c>
      <c r="L135" s="143" t="s">
        <v>603</v>
      </c>
      <c r="M135" s="174" t="s">
        <v>90</v>
      </c>
    </row>
    <row r="136" spans="2:13" x14ac:dyDescent="0.35">
      <c r="B136" s="173" t="s">
        <v>128</v>
      </c>
      <c r="C136" s="146">
        <v>46028</v>
      </c>
      <c r="D136" s="148">
        <v>666307932</v>
      </c>
      <c r="E136" s="148">
        <v>66</v>
      </c>
      <c r="F136" s="149">
        <v>18478.099999999999</v>
      </c>
      <c r="G136" s="147" t="s">
        <v>129</v>
      </c>
      <c r="H136" s="148">
        <v>93</v>
      </c>
      <c r="I136" s="148" t="s">
        <v>123</v>
      </c>
      <c r="J136" s="147" t="s">
        <v>124</v>
      </c>
      <c r="K136" s="149">
        <f>+K135+Tabla6[[#This Row],[IMPORTE]]</f>
        <v>168396712.71999997</v>
      </c>
      <c r="L136" s="143" t="s">
        <v>602</v>
      </c>
      <c r="M136" s="174" t="s">
        <v>90</v>
      </c>
    </row>
    <row r="137" spans="2:13" x14ac:dyDescent="0.35">
      <c r="B137" s="173" t="s">
        <v>128</v>
      </c>
      <c r="C137" s="146">
        <v>46028</v>
      </c>
      <c r="D137" s="148">
        <v>666307505</v>
      </c>
      <c r="E137" s="148">
        <v>66</v>
      </c>
      <c r="F137" s="149">
        <v>19500</v>
      </c>
      <c r="G137" s="147" t="s">
        <v>129</v>
      </c>
      <c r="H137" s="148">
        <v>93</v>
      </c>
      <c r="I137" s="148" t="s">
        <v>123</v>
      </c>
      <c r="J137" s="147" t="s">
        <v>124</v>
      </c>
      <c r="K137" s="149">
        <f>+K136+Tabla6[[#This Row],[IMPORTE]]</f>
        <v>168416212.71999997</v>
      </c>
      <c r="L137" s="147" t="s">
        <v>1640</v>
      </c>
      <c r="M137" s="174" t="s">
        <v>85</v>
      </c>
    </row>
    <row r="138" spans="2:13" x14ac:dyDescent="0.35">
      <c r="B138" s="4" t="s">
        <v>128</v>
      </c>
      <c r="C138" s="120">
        <v>46028</v>
      </c>
      <c r="D138" s="72">
        <v>666305326</v>
      </c>
      <c r="E138" s="72">
        <v>66</v>
      </c>
      <c r="F138" s="113">
        <v>19500</v>
      </c>
      <c r="G138" s="5" t="s">
        <v>129</v>
      </c>
      <c r="H138" s="72">
        <v>93</v>
      </c>
      <c r="I138" s="72" t="s">
        <v>123</v>
      </c>
      <c r="J138" s="5" t="s">
        <v>1554</v>
      </c>
      <c r="K138" s="113">
        <f>+K137+Tabla6[[#This Row],[IMPORTE]]</f>
        <v>168435712.71999997</v>
      </c>
      <c r="L138" s="5" t="s">
        <v>1735</v>
      </c>
      <c r="M138" s="119" t="s">
        <v>100</v>
      </c>
    </row>
    <row r="139" spans="2:13" x14ac:dyDescent="0.35">
      <c r="B139" s="4" t="s">
        <v>115</v>
      </c>
      <c r="C139" s="120">
        <v>46028</v>
      </c>
      <c r="D139" s="72">
        <v>6757702</v>
      </c>
      <c r="E139" s="72">
        <v>66</v>
      </c>
      <c r="F139" s="113">
        <v>23486.799999999999</v>
      </c>
      <c r="G139" s="5" t="s">
        <v>116</v>
      </c>
      <c r="H139" s="72">
        <v>480</v>
      </c>
      <c r="I139" s="72">
        <v>30643990632</v>
      </c>
      <c r="J139" s="5" t="s">
        <v>118</v>
      </c>
      <c r="K139" s="113">
        <f>+K138+Tabla6[[#This Row],[IMPORTE]]</f>
        <v>168459199.51999998</v>
      </c>
      <c r="L139" s="5" t="s">
        <v>1652</v>
      </c>
      <c r="M139" s="119" t="s">
        <v>100</v>
      </c>
    </row>
    <row r="140" spans="2:13" x14ac:dyDescent="0.35">
      <c r="B140" s="4" t="s">
        <v>128</v>
      </c>
      <c r="C140" s="120">
        <v>46028</v>
      </c>
      <c r="D140" s="72">
        <v>666304817</v>
      </c>
      <c r="E140" s="72">
        <v>66</v>
      </c>
      <c r="F140" s="113">
        <v>26000</v>
      </c>
      <c r="G140" s="5" t="s">
        <v>129</v>
      </c>
      <c r="H140" s="72">
        <v>93</v>
      </c>
      <c r="I140" s="72" t="s">
        <v>123</v>
      </c>
      <c r="J140" s="5" t="s">
        <v>124</v>
      </c>
      <c r="K140" s="113">
        <f>+K139+Tabla6[[#This Row],[IMPORTE]]</f>
        <v>168485199.51999998</v>
      </c>
      <c r="L140" s="5" t="s">
        <v>1628</v>
      </c>
      <c r="M140" s="119" t="s">
        <v>100</v>
      </c>
    </row>
    <row r="141" spans="2:13" x14ac:dyDescent="0.35">
      <c r="B141" s="173" t="s">
        <v>128</v>
      </c>
      <c r="C141" s="146">
        <v>46028</v>
      </c>
      <c r="D141" s="148">
        <v>666306295</v>
      </c>
      <c r="E141" s="148">
        <v>66</v>
      </c>
      <c r="F141" s="149">
        <v>39000</v>
      </c>
      <c r="G141" s="147" t="s">
        <v>129</v>
      </c>
      <c r="H141" s="148">
        <v>93</v>
      </c>
      <c r="I141" s="148" t="s">
        <v>123</v>
      </c>
      <c r="J141" s="147" t="s">
        <v>1612</v>
      </c>
      <c r="K141" s="149">
        <f>+K140+Tabla6[[#This Row],[IMPORTE]]</f>
        <v>168524199.51999998</v>
      </c>
      <c r="L141" s="147" t="s">
        <v>1556</v>
      </c>
      <c r="M141" s="174" t="s">
        <v>85</v>
      </c>
    </row>
    <row r="142" spans="2:13" x14ac:dyDescent="0.35">
      <c r="B142" s="4" t="s">
        <v>128</v>
      </c>
      <c r="C142" s="120">
        <v>46028</v>
      </c>
      <c r="D142" s="72">
        <v>666306566</v>
      </c>
      <c r="E142" s="72">
        <v>66</v>
      </c>
      <c r="F142" s="113">
        <v>39000</v>
      </c>
      <c r="G142" s="5" t="s">
        <v>129</v>
      </c>
      <c r="H142" s="72">
        <v>93</v>
      </c>
      <c r="I142" s="72" t="s">
        <v>123</v>
      </c>
      <c r="J142" s="180"/>
      <c r="K142" s="113">
        <f>+K141+Tabla6[[#This Row],[IMPORTE]]</f>
        <v>168563199.51999998</v>
      </c>
      <c r="L142" s="5" t="s">
        <v>1736</v>
      </c>
      <c r="M142" s="119" t="s">
        <v>100</v>
      </c>
    </row>
    <row r="143" spans="2:13" x14ac:dyDescent="0.35">
      <c r="B143" s="173" t="s">
        <v>128</v>
      </c>
      <c r="C143" s="146">
        <v>46028</v>
      </c>
      <c r="D143" s="148">
        <v>666304876</v>
      </c>
      <c r="E143" s="148">
        <v>66</v>
      </c>
      <c r="F143" s="149">
        <v>39000</v>
      </c>
      <c r="G143" s="147" t="s">
        <v>129</v>
      </c>
      <c r="H143" s="148">
        <v>93</v>
      </c>
      <c r="I143" s="148" t="s">
        <v>123</v>
      </c>
      <c r="J143" s="147" t="s">
        <v>1613</v>
      </c>
      <c r="K143" s="149">
        <f>+K142+Tabla6[[#This Row],[IMPORTE]]</f>
        <v>168602199.51999998</v>
      </c>
      <c r="L143" s="147" t="s">
        <v>1556</v>
      </c>
      <c r="M143" s="174" t="s">
        <v>85</v>
      </c>
    </row>
    <row r="144" spans="2:13" x14ac:dyDescent="0.35">
      <c r="B144" s="173" t="s">
        <v>128</v>
      </c>
      <c r="C144" s="146">
        <v>46028</v>
      </c>
      <c r="D144" s="148">
        <v>666305319</v>
      </c>
      <c r="E144" s="148">
        <v>66</v>
      </c>
      <c r="F144" s="149">
        <v>39000</v>
      </c>
      <c r="G144" s="147" t="s">
        <v>129</v>
      </c>
      <c r="H144" s="148">
        <v>93</v>
      </c>
      <c r="I144" s="148" t="s">
        <v>123</v>
      </c>
      <c r="J144" s="147" t="s">
        <v>1614</v>
      </c>
      <c r="K144" s="149">
        <f>+K143+Tabla6[[#This Row],[IMPORTE]]</f>
        <v>168641199.51999998</v>
      </c>
      <c r="L144" s="147" t="s">
        <v>1558</v>
      </c>
      <c r="M144" s="174" t="s">
        <v>85</v>
      </c>
    </row>
    <row r="145" spans="2:13" x14ac:dyDescent="0.35">
      <c r="B145" s="173" t="s">
        <v>128</v>
      </c>
      <c r="C145" s="146">
        <v>46028</v>
      </c>
      <c r="D145" s="148">
        <v>666305364</v>
      </c>
      <c r="E145" s="148">
        <v>66</v>
      </c>
      <c r="F145" s="149">
        <v>39000</v>
      </c>
      <c r="G145" s="147" t="s">
        <v>129</v>
      </c>
      <c r="H145" s="148">
        <v>93</v>
      </c>
      <c r="I145" s="148" t="s">
        <v>123</v>
      </c>
      <c r="J145" s="147" t="s">
        <v>1615</v>
      </c>
      <c r="K145" s="149">
        <f>+K144+Tabla6[[#This Row],[IMPORTE]]</f>
        <v>168680199.51999998</v>
      </c>
      <c r="L145" s="147" t="s">
        <v>1556</v>
      </c>
      <c r="M145" s="174" t="s">
        <v>85</v>
      </c>
    </row>
    <row r="146" spans="2:13" x14ac:dyDescent="0.35">
      <c r="B146" s="173" t="s">
        <v>128</v>
      </c>
      <c r="C146" s="146">
        <v>46028</v>
      </c>
      <c r="D146" s="148">
        <v>666304568</v>
      </c>
      <c r="E146" s="148">
        <v>66</v>
      </c>
      <c r="F146" s="149">
        <v>39000</v>
      </c>
      <c r="G146" s="147" t="s">
        <v>129</v>
      </c>
      <c r="H146" s="148">
        <v>93</v>
      </c>
      <c r="I146" s="148" t="s">
        <v>123</v>
      </c>
      <c r="J146" s="147" t="s">
        <v>1616</v>
      </c>
      <c r="K146" s="149">
        <f>+K145+Tabla6[[#This Row],[IMPORTE]]</f>
        <v>168719199.51999998</v>
      </c>
      <c r="L146" s="147" t="s">
        <v>1556</v>
      </c>
      <c r="M146" s="174" t="s">
        <v>85</v>
      </c>
    </row>
    <row r="147" spans="2:13" x14ac:dyDescent="0.35">
      <c r="B147" s="4" t="s">
        <v>128</v>
      </c>
      <c r="C147" s="120">
        <v>46028</v>
      </c>
      <c r="D147" s="72">
        <v>666304618</v>
      </c>
      <c r="E147" s="72">
        <v>66</v>
      </c>
      <c r="F147" s="113">
        <v>39000</v>
      </c>
      <c r="G147" s="5" t="s">
        <v>129</v>
      </c>
      <c r="H147" s="72">
        <v>93</v>
      </c>
      <c r="I147" s="72" t="s">
        <v>123</v>
      </c>
      <c r="J147" s="5" t="s">
        <v>1514</v>
      </c>
      <c r="K147" s="113">
        <f>+K146+Tabla6[[#This Row],[IMPORTE]]</f>
        <v>168758199.51999998</v>
      </c>
      <c r="L147" s="5" t="s">
        <v>1737</v>
      </c>
      <c r="M147" s="119" t="s">
        <v>100</v>
      </c>
    </row>
    <row r="148" spans="2:13" x14ac:dyDescent="0.35">
      <c r="B148" s="173" t="s">
        <v>128</v>
      </c>
      <c r="C148" s="146">
        <v>46028</v>
      </c>
      <c r="D148" s="148">
        <v>667802268</v>
      </c>
      <c r="E148" s="148">
        <v>66</v>
      </c>
      <c r="F148" s="149">
        <v>39000</v>
      </c>
      <c r="G148" s="147" t="s">
        <v>129</v>
      </c>
      <c r="H148" s="148">
        <v>93</v>
      </c>
      <c r="I148" s="148" t="s">
        <v>123</v>
      </c>
      <c r="J148" s="147" t="s">
        <v>1617</v>
      </c>
      <c r="K148" s="149">
        <f>+K147+Tabla6[[#This Row],[IMPORTE]]</f>
        <v>168797199.51999998</v>
      </c>
      <c r="L148" s="147" t="s">
        <v>1556</v>
      </c>
      <c r="M148" s="174" t="s">
        <v>85</v>
      </c>
    </row>
    <row r="149" spans="2:13" x14ac:dyDescent="0.35">
      <c r="B149" s="173" t="s">
        <v>128</v>
      </c>
      <c r="C149" s="146">
        <v>46028</v>
      </c>
      <c r="D149" s="148">
        <v>666309595</v>
      </c>
      <c r="E149" s="148">
        <v>66</v>
      </c>
      <c r="F149" s="149">
        <v>39000</v>
      </c>
      <c r="G149" s="147" t="s">
        <v>129</v>
      </c>
      <c r="H149" s="148">
        <v>93</v>
      </c>
      <c r="I149" s="148" t="s">
        <v>123</v>
      </c>
      <c r="J149" s="147" t="s">
        <v>1618</v>
      </c>
      <c r="K149" s="149">
        <f>+K148+Tabla6[[#This Row],[IMPORTE]]</f>
        <v>168836199.51999998</v>
      </c>
      <c r="L149" s="147" t="s">
        <v>1556</v>
      </c>
      <c r="M149" s="174" t="s">
        <v>85</v>
      </c>
    </row>
    <row r="150" spans="2:13" x14ac:dyDescent="0.35">
      <c r="B150" s="4" t="s">
        <v>128</v>
      </c>
      <c r="C150" s="120">
        <v>46028</v>
      </c>
      <c r="D150" s="72">
        <v>666302111</v>
      </c>
      <c r="E150" s="72">
        <v>66</v>
      </c>
      <c r="F150" s="113">
        <v>39000</v>
      </c>
      <c r="G150" s="5" t="s">
        <v>129</v>
      </c>
      <c r="H150" s="72">
        <v>93</v>
      </c>
      <c r="I150" s="72" t="s">
        <v>123</v>
      </c>
      <c r="J150" s="5" t="s">
        <v>124</v>
      </c>
      <c r="K150" s="113">
        <f>+K149+Tabla6[[#This Row],[IMPORTE]]</f>
        <v>168875199.51999998</v>
      </c>
      <c r="L150" s="5" t="s">
        <v>1627</v>
      </c>
      <c r="M150" s="119" t="s">
        <v>100</v>
      </c>
    </row>
    <row r="151" spans="2:13" x14ac:dyDescent="0.35">
      <c r="B151" s="173" t="s">
        <v>128</v>
      </c>
      <c r="C151" s="146">
        <v>46028</v>
      </c>
      <c r="D151" s="148">
        <v>666302782</v>
      </c>
      <c r="E151" s="148">
        <v>66</v>
      </c>
      <c r="F151" s="149">
        <v>39000</v>
      </c>
      <c r="G151" s="147" t="s">
        <v>129</v>
      </c>
      <c r="H151" s="148">
        <v>93</v>
      </c>
      <c r="I151" s="148" t="s">
        <v>123</v>
      </c>
      <c r="J151" s="147" t="s">
        <v>1619</v>
      </c>
      <c r="K151" s="149">
        <f>+K150+Tabla6[[#This Row],[IMPORTE]]</f>
        <v>168914199.51999998</v>
      </c>
      <c r="L151" s="147" t="s">
        <v>1556</v>
      </c>
      <c r="M151" s="174" t="s">
        <v>85</v>
      </c>
    </row>
    <row r="152" spans="2:13" x14ac:dyDescent="0.35">
      <c r="B152" s="4" t="s">
        <v>128</v>
      </c>
      <c r="C152" s="120">
        <v>46028</v>
      </c>
      <c r="D152" s="72">
        <v>666301414</v>
      </c>
      <c r="E152" s="72">
        <v>66</v>
      </c>
      <c r="F152" s="113">
        <v>39000</v>
      </c>
      <c r="G152" s="5" t="s">
        <v>129</v>
      </c>
      <c r="H152" s="72">
        <v>93</v>
      </c>
      <c r="I152" s="72" t="s">
        <v>123</v>
      </c>
      <c r="J152" s="5" t="s">
        <v>124</v>
      </c>
      <c r="K152" s="113">
        <f>+K151+Tabla6[[#This Row],[IMPORTE]]</f>
        <v>168953199.51999998</v>
      </c>
      <c r="L152" s="5" t="s">
        <v>1627</v>
      </c>
      <c r="M152" s="119" t="s">
        <v>100</v>
      </c>
    </row>
    <row r="153" spans="2:13" x14ac:dyDescent="0.35">
      <c r="B153" s="173" t="s">
        <v>128</v>
      </c>
      <c r="C153" s="146">
        <v>46028</v>
      </c>
      <c r="D153" s="148">
        <v>666303878</v>
      </c>
      <c r="E153" s="148">
        <v>66</v>
      </c>
      <c r="F153" s="149">
        <v>39000</v>
      </c>
      <c r="G153" s="147" t="s">
        <v>129</v>
      </c>
      <c r="H153" s="148">
        <v>93</v>
      </c>
      <c r="I153" s="148" t="s">
        <v>123</v>
      </c>
      <c r="J153" s="147" t="s">
        <v>1620</v>
      </c>
      <c r="K153" s="149">
        <f>+K152+Tabla6[[#This Row],[IMPORTE]]</f>
        <v>168992199.51999998</v>
      </c>
      <c r="L153" s="147" t="s">
        <v>1556</v>
      </c>
      <c r="M153" s="174" t="s">
        <v>85</v>
      </c>
    </row>
    <row r="154" spans="2:13" x14ac:dyDescent="0.35">
      <c r="B154" s="173" t="s">
        <v>128</v>
      </c>
      <c r="C154" s="146">
        <v>46028</v>
      </c>
      <c r="D154" s="148">
        <v>666302999</v>
      </c>
      <c r="E154" s="148">
        <v>66</v>
      </c>
      <c r="F154" s="149">
        <v>39000</v>
      </c>
      <c r="G154" s="147" t="s">
        <v>129</v>
      </c>
      <c r="H154" s="148">
        <v>93</v>
      </c>
      <c r="I154" s="148" t="s">
        <v>123</v>
      </c>
      <c r="J154" s="147" t="s">
        <v>1621</v>
      </c>
      <c r="K154" s="149">
        <f>+K153+Tabla6[[#This Row],[IMPORTE]]</f>
        <v>169031199.51999998</v>
      </c>
      <c r="L154" s="147" t="s">
        <v>1556</v>
      </c>
      <c r="M154" s="174" t="s">
        <v>85</v>
      </c>
    </row>
    <row r="155" spans="2:13" x14ac:dyDescent="0.35">
      <c r="B155" s="173" t="s">
        <v>128</v>
      </c>
      <c r="C155" s="146">
        <v>46028</v>
      </c>
      <c r="D155" s="148">
        <v>666305580</v>
      </c>
      <c r="E155" s="148">
        <v>66</v>
      </c>
      <c r="F155" s="149">
        <v>39000</v>
      </c>
      <c r="G155" s="147" t="s">
        <v>129</v>
      </c>
      <c r="H155" s="148">
        <v>93</v>
      </c>
      <c r="I155" s="148" t="s">
        <v>123</v>
      </c>
      <c r="J155" s="147" t="s">
        <v>1622</v>
      </c>
      <c r="K155" s="149">
        <f>+K154+Tabla6[[#This Row],[IMPORTE]]</f>
        <v>169070199.51999998</v>
      </c>
      <c r="L155" s="147" t="s">
        <v>1556</v>
      </c>
      <c r="M155" s="174" t="s">
        <v>85</v>
      </c>
    </row>
    <row r="156" spans="2:13" x14ac:dyDescent="0.35">
      <c r="B156" s="4" t="s">
        <v>128</v>
      </c>
      <c r="C156" s="120">
        <v>46028</v>
      </c>
      <c r="D156" s="72">
        <v>666306825</v>
      </c>
      <c r="E156" s="72">
        <v>66</v>
      </c>
      <c r="F156" s="113">
        <v>39000</v>
      </c>
      <c r="G156" s="5" t="s">
        <v>129</v>
      </c>
      <c r="H156" s="72">
        <v>93</v>
      </c>
      <c r="I156" s="72" t="s">
        <v>123</v>
      </c>
      <c r="J156" s="5" t="s">
        <v>1515</v>
      </c>
      <c r="K156" s="113">
        <f>+K155+Tabla6[[#This Row],[IMPORTE]]</f>
        <v>169109199.51999998</v>
      </c>
      <c r="L156" s="5" t="s">
        <v>1737</v>
      </c>
      <c r="M156" s="119" t="s">
        <v>100</v>
      </c>
    </row>
    <row r="157" spans="2:13" x14ac:dyDescent="0.35">
      <c r="B157" s="173" t="s">
        <v>128</v>
      </c>
      <c r="C157" s="146">
        <v>46028</v>
      </c>
      <c r="D157" s="148">
        <v>666304998</v>
      </c>
      <c r="E157" s="148">
        <v>66</v>
      </c>
      <c r="F157" s="149">
        <v>78000</v>
      </c>
      <c r="G157" s="147" t="s">
        <v>129</v>
      </c>
      <c r="H157" s="148">
        <v>93</v>
      </c>
      <c r="I157" s="148" t="s">
        <v>123</v>
      </c>
      <c r="J157" s="147" t="s">
        <v>1623</v>
      </c>
      <c r="K157" s="149">
        <f>+K156+Tabla6[[#This Row],[IMPORTE]]</f>
        <v>169187199.51999998</v>
      </c>
      <c r="L157" s="147" t="s">
        <v>1558</v>
      </c>
      <c r="M157" s="174" t="s">
        <v>85</v>
      </c>
    </row>
    <row r="158" spans="2:13" x14ac:dyDescent="0.35">
      <c r="B158" s="4" t="s">
        <v>128</v>
      </c>
      <c r="C158" s="120">
        <v>46028</v>
      </c>
      <c r="D158" s="72">
        <v>666305221</v>
      </c>
      <c r="E158" s="72">
        <v>66</v>
      </c>
      <c r="F158" s="113">
        <v>78000</v>
      </c>
      <c r="G158" s="5" t="s">
        <v>129</v>
      </c>
      <c r="H158" s="72">
        <v>93</v>
      </c>
      <c r="I158" s="72" t="s">
        <v>123</v>
      </c>
      <c r="J158" s="5" t="s">
        <v>124</v>
      </c>
      <c r="K158" s="113">
        <f>+K157+Tabla6[[#This Row],[IMPORTE]]</f>
        <v>169265199.51999998</v>
      </c>
      <c r="L158" s="5" t="s">
        <v>1628</v>
      </c>
      <c r="M158" s="119" t="s">
        <v>100</v>
      </c>
    </row>
    <row r="159" spans="2:13" x14ac:dyDescent="0.35">
      <c r="B159" s="173" t="s">
        <v>128</v>
      </c>
      <c r="C159" s="146">
        <v>46028</v>
      </c>
      <c r="D159" s="148">
        <v>666309203</v>
      </c>
      <c r="E159" s="148">
        <v>66</v>
      </c>
      <c r="F159" s="149">
        <v>78000</v>
      </c>
      <c r="G159" s="147" t="s">
        <v>129</v>
      </c>
      <c r="H159" s="148">
        <v>93</v>
      </c>
      <c r="I159" s="148" t="s">
        <v>123</v>
      </c>
      <c r="J159" s="147" t="s">
        <v>1624</v>
      </c>
      <c r="K159" s="149">
        <f>+K158+Tabla6[[#This Row],[IMPORTE]]</f>
        <v>169343199.51999998</v>
      </c>
      <c r="L159" s="147" t="s">
        <v>1556</v>
      </c>
      <c r="M159" s="174" t="s">
        <v>85</v>
      </c>
    </row>
    <row r="160" spans="2:13" x14ac:dyDescent="0.35">
      <c r="B160" s="4" t="s">
        <v>128</v>
      </c>
      <c r="C160" s="120">
        <v>46028</v>
      </c>
      <c r="D160" s="72">
        <v>666303745</v>
      </c>
      <c r="E160" s="72">
        <v>66</v>
      </c>
      <c r="F160" s="113">
        <v>92840.66</v>
      </c>
      <c r="G160" s="5" t="s">
        <v>129</v>
      </c>
      <c r="H160" s="72">
        <v>93</v>
      </c>
      <c r="I160" s="72" t="s">
        <v>123</v>
      </c>
      <c r="J160" s="5"/>
      <c r="K160" s="113">
        <f>+K159+Tabla6[[#This Row],[IMPORTE]]</f>
        <v>169436040.17999998</v>
      </c>
      <c r="L160" s="5" t="s">
        <v>1652</v>
      </c>
      <c r="M160" s="119" t="s">
        <v>100</v>
      </c>
    </row>
    <row r="161" spans="2:13" x14ac:dyDescent="0.35">
      <c r="B161" s="4" t="s">
        <v>115</v>
      </c>
      <c r="C161" s="120">
        <v>46028</v>
      </c>
      <c r="D161" s="72">
        <v>6738728</v>
      </c>
      <c r="E161" s="72">
        <v>66</v>
      </c>
      <c r="F161" s="113">
        <v>495640.19</v>
      </c>
      <c r="G161" s="5" t="s">
        <v>116</v>
      </c>
      <c r="H161" s="72">
        <v>479</v>
      </c>
      <c r="I161" s="72">
        <v>30643990632</v>
      </c>
      <c r="J161" s="5" t="s">
        <v>127</v>
      </c>
      <c r="K161" s="113">
        <f>+K160+Tabla6[[#This Row],[IMPORTE]]</f>
        <v>169931680.36999997</v>
      </c>
      <c r="L161" s="5" t="s">
        <v>1652</v>
      </c>
      <c r="M161" s="119" t="s">
        <v>100</v>
      </c>
    </row>
    <row r="162" spans="2:13" x14ac:dyDescent="0.35">
      <c r="B162" s="4" t="s">
        <v>125</v>
      </c>
      <c r="C162" s="120">
        <v>46028</v>
      </c>
      <c r="D162" s="72">
        <v>746000032</v>
      </c>
      <c r="E162" s="72">
        <v>66</v>
      </c>
      <c r="F162" s="113">
        <v>605046.98</v>
      </c>
      <c r="G162" s="5" t="s">
        <v>126</v>
      </c>
      <c r="H162" s="72">
        <v>558</v>
      </c>
      <c r="I162" s="72" t="s">
        <v>123</v>
      </c>
      <c r="J162" s="5" t="s">
        <v>124</v>
      </c>
      <c r="K162" s="113">
        <f>+K161+Tabla6[[#This Row],[IMPORTE]]</f>
        <v>170536727.34999996</v>
      </c>
      <c r="L162" s="5" t="s">
        <v>1653</v>
      </c>
      <c r="M162" s="119" t="s">
        <v>100</v>
      </c>
    </row>
    <row r="163" spans="2:13" x14ac:dyDescent="0.35">
      <c r="B163" s="4" t="s">
        <v>115</v>
      </c>
      <c r="C163" s="120">
        <v>46028</v>
      </c>
      <c r="D163" s="72">
        <v>6777304</v>
      </c>
      <c r="E163" s="72">
        <v>66</v>
      </c>
      <c r="F163" s="113">
        <v>2095927.77</v>
      </c>
      <c r="G163" s="5" t="s">
        <v>116</v>
      </c>
      <c r="H163" s="72">
        <v>479</v>
      </c>
      <c r="I163" s="72">
        <v>30659863789</v>
      </c>
      <c r="J163" s="5" t="s">
        <v>119</v>
      </c>
      <c r="K163" s="113">
        <f>+K162+Tabla6[[#This Row],[IMPORTE]]</f>
        <v>172632655.11999997</v>
      </c>
      <c r="L163" s="5" t="s">
        <v>1655</v>
      </c>
      <c r="M163" s="119" t="s">
        <v>100</v>
      </c>
    </row>
    <row r="164" spans="2:13" x14ac:dyDescent="0.35">
      <c r="B164" s="4" t="s">
        <v>115</v>
      </c>
      <c r="C164" s="120">
        <v>46028</v>
      </c>
      <c r="D164" s="72">
        <v>6777303</v>
      </c>
      <c r="E164" s="72">
        <v>66</v>
      </c>
      <c r="F164" s="113">
        <v>2778839.06</v>
      </c>
      <c r="G164" s="5" t="s">
        <v>116</v>
      </c>
      <c r="H164" s="72">
        <v>479</v>
      </c>
      <c r="I164" s="72">
        <v>30659863789</v>
      </c>
      <c r="J164" s="5" t="s">
        <v>119</v>
      </c>
      <c r="K164" s="113">
        <f>+K163+Tabla6[[#This Row],[IMPORTE]]</f>
        <v>175411494.17999998</v>
      </c>
      <c r="L164" s="5" t="s">
        <v>1655</v>
      </c>
      <c r="M164" s="119" t="s">
        <v>100</v>
      </c>
    </row>
    <row r="165" spans="2:13" x14ac:dyDescent="0.35">
      <c r="B165" s="4" t="s">
        <v>128</v>
      </c>
      <c r="C165" s="120">
        <v>46028</v>
      </c>
      <c r="D165" s="72">
        <v>666304125</v>
      </c>
      <c r="E165" s="72">
        <v>66</v>
      </c>
      <c r="F165" s="113">
        <v>15503716.26</v>
      </c>
      <c r="G165" s="5" t="s">
        <v>129</v>
      </c>
      <c r="H165" s="72">
        <v>93</v>
      </c>
      <c r="I165" s="72" t="s">
        <v>123</v>
      </c>
      <c r="J165" s="5" t="s">
        <v>124</v>
      </c>
      <c r="K165" s="113">
        <f>+K164+Tabla6[[#This Row],[IMPORTE]]</f>
        <v>190915210.43999997</v>
      </c>
      <c r="L165" s="5" t="s">
        <v>1481</v>
      </c>
      <c r="M165" s="119" t="s">
        <v>100</v>
      </c>
    </row>
    <row r="166" spans="2:13" x14ac:dyDescent="0.35">
      <c r="B166" s="4" t="s">
        <v>115</v>
      </c>
      <c r="C166" s="120">
        <v>46028</v>
      </c>
      <c r="D166" s="72">
        <v>6777305</v>
      </c>
      <c r="E166" s="72">
        <v>66</v>
      </c>
      <c r="F166" s="113">
        <v>18911670.57</v>
      </c>
      <c r="G166" s="5" t="s">
        <v>116</v>
      </c>
      <c r="H166" s="72">
        <v>479</v>
      </c>
      <c r="I166" s="72">
        <v>30659863789</v>
      </c>
      <c r="J166" s="5" t="s">
        <v>119</v>
      </c>
      <c r="K166" s="113">
        <f>+K165+Tabla6[[#This Row],[IMPORTE]]</f>
        <v>209826881.00999996</v>
      </c>
      <c r="L166" s="5" t="s">
        <v>1655</v>
      </c>
      <c r="M166" s="119" t="s">
        <v>100</v>
      </c>
    </row>
    <row r="167" spans="2:13" x14ac:dyDescent="0.35">
      <c r="B167" s="172" t="s">
        <v>142</v>
      </c>
      <c r="C167" s="126">
        <v>46028</v>
      </c>
      <c r="D167" s="127">
        <v>1485500591</v>
      </c>
      <c r="E167" s="127">
        <v>66</v>
      </c>
      <c r="F167" s="128">
        <v>-507302.3</v>
      </c>
      <c r="G167" s="129" t="s">
        <v>143</v>
      </c>
      <c r="H167" s="127">
        <v>492</v>
      </c>
      <c r="I167" s="127" t="s">
        <v>123</v>
      </c>
      <c r="J167" s="129" t="s">
        <v>124</v>
      </c>
      <c r="K167" s="128">
        <f>+K166+Tabla6[[#This Row],[IMPORTE]]</f>
        <v>209319578.70999995</v>
      </c>
      <c r="L167" s="129" t="s">
        <v>182</v>
      </c>
      <c r="M167" s="130" t="s">
        <v>93</v>
      </c>
    </row>
    <row r="168" spans="2:13" x14ac:dyDescent="0.35">
      <c r="B168" s="172" t="s">
        <v>132</v>
      </c>
      <c r="C168" s="126">
        <v>46028</v>
      </c>
      <c r="D168" s="127">
        <v>746300032</v>
      </c>
      <c r="E168" s="127">
        <v>66</v>
      </c>
      <c r="F168" s="128">
        <v>-12100.94</v>
      </c>
      <c r="G168" s="129" t="s">
        <v>133</v>
      </c>
      <c r="H168" s="127">
        <v>562</v>
      </c>
      <c r="I168" s="127" t="s">
        <v>123</v>
      </c>
      <c r="J168" s="129" t="s">
        <v>124</v>
      </c>
      <c r="K168" s="128">
        <f>+K167+Tabla6[[#This Row],[IMPORTE]]</f>
        <v>209307477.76999995</v>
      </c>
      <c r="L168" s="129" t="s">
        <v>182</v>
      </c>
      <c r="M168" s="130" t="s">
        <v>93</v>
      </c>
    </row>
    <row r="169" spans="2:13" x14ac:dyDescent="0.35">
      <c r="B169" s="172" t="s">
        <v>142</v>
      </c>
      <c r="C169" s="126">
        <v>46028</v>
      </c>
      <c r="D169" s="127">
        <v>1485500590</v>
      </c>
      <c r="E169" s="127">
        <v>66</v>
      </c>
      <c r="F169" s="128">
        <v>-25</v>
      </c>
      <c r="G169" s="129" t="s">
        <v>143</v>
      </c>
      <c r="H169" s="127">
        <v>492</v>
      </c>
      <c r="I169" s="127" t="s">
        <v>123</v>
      </c>
      <c r="J169" s="129" t="s">
        <v>124</v>
      </c>
      <c r="K169" s="128">
        <f>+K168+Tabla6[[#This Row],[IMPORTE]]</f>
        <v>209307452.76999995</v>
      </c>
      <c r="L169" s="129" t="s">
        <v>182</v>
      </c>
      <c r="M169" s="130" t="s">
        <v>93</v>
      </c>
    </row>
    <row r="170" spans="2:13" x14ac:dyDescent="0.35">
      <c r="B170" s="4" t="s">
        <v>125</v>
      </c>
      <c r="C170" s="120">
        <v>46029</v>
      </c>
      <c r="D170" s="72">
        <v>746000041</v>
      </c>
      <c r="E170" s="72">
        <v>66</v>
      </c>
      <c r="F170" s="113">
        <v>21315.42</v>
      </c>
      <c r="G170" s="5" t="s">
        <v>126</v>
      </c>
      <c r="H170" s="72">
        <v>558</v>
      </c>
      <c r="I170" s="72" t="s">
        <v>123</v>
      </c>
      <c r="J170" s="5" t="s">
        <v>124</v>
      </c>
      <c r="K170" s="113">
        <f>+K169+Tabla6[[#This Row],[IMPORTE]]</f>
        <v>209328768.18999994</v>
      </c>
      <c r="L170" s="5" t="s">
        <v>1656</v>
      </c>
      <c r="M170" s="119" t="s">
        <v>100</v>
      </c>
    </row>
    <row r="171" spans="2:13" x14ac:dyDescent="0.35">
      <c r="B171" s="4" t="s">
        <v>115</v>
      </c>
      <c r="C171" s="120">
        <v>46029</v>
      </c>
      <c r="D171" s="72">
        <v>7038764</v>
      </c>
      <c r="E171" s="72">
        <v>66</v>
      </c>
      <c r="F171" s="113">
        <v>156909.85999999999</v>
      </c>
      <c r="G171" s="5" t="s">
        <v>116</v>
      </c>
      <c r="H171" s="72">
        <v>480</v>
      </c>
      <c r="I171" s="72">
        <v>33621364559</v>
      </c>
      <c r="J171" s="5" t="s">
        <v>144</v>
      </c>
      <c r="K171" s="113">
        <f>+K170+Tabla6[[#This Row],[IMPORTE]]</f>
        <v>209485678.04999995</v>
      </c>
      <c r="L171" s="5" t="s">
        <v>1737</v>
      </c>
      <c r="M171" s="119" t="s">
        <v>100</v>
      </c>
    </row>
    <row r="172" spans="2:13" x14ac:dyDescent="0.35">
      <c r="B172" s="4" t="s">
        <v>128</v>
      </c>
      <c r="C172" s="120">
        <v>46029</v>
      </c>
      <c r="D172" s="72">
        <v>666301072</v>
      </c>
      <c r="E172" s="72">
        <v>66</v>
      </c>
      <c r="F172" s="113">
        <v>284586.7</v>
      </c>
      <c r="G172" s="5" t="s">
        <v>129</v>
      </c>
      <c r="H172" s="72">
        <v>93</v>
      </c>
      <c r="I172" s="72" t="s">
        <v>123</v>
      </c>
      <c r="J172" s="5" t="s">
        <v>124</v>
      </c>
      <c r="K172" s="113">
        <f>+K171+Tabla6[[#This Row],[IMPORTE]]</f>
        <v>209770264.74999994</v>
      </c>
      <c r="L172" s="5" t="s">
        <v>1657</v>
      </c>
      <c r="M172" s="119" t="s">
        <v>100</v>
      </c>
    </row>
    <row r="173" spans="2:13" x14ac:dyDescent="0.35">
      <c r="B173" s="4" t="s">
        <v>115</v>
      </c>
      <c r="C173" s="120">
        <v>46029</v>
      </c>
      <c r="D173" s="72">
        <v>7064206</v>
      </c>
      <c r="E173" s="72">
        <v>66</v>
      </c>
      <c r="F173" s="113">
        <v>773356.63</v>
      </c>
      <c r="G173" s="5" t="s">
        <v>116</v>
      </c>
      <c r="H173" s="72">
        <v>479</v>
      </c>
      <c r="I173" s="72">
        <v>30643990632</v>
      </c>
      <c r="J173" s="5" t="s">
        <v>127</v>
      </c>
      <c r="K173" s="113">
        <f>+K172+Tabla6[[#This Row],[IMPORTE]]</f>
        <v>210543621.37999994</v>
      </c>
      <c r="L173" s="5" t="s">
        <v>1657</v>
      </c>
      <c r="M173" s="119" t="s">
        <v>100</v>
      </c>
    </row>
    <row r="174" spans="2:13" x14ac:dyDescent="0.35">
      <c r="B174" s="4" t="s">
        <v>115</v>
      </c>
      <c r="C174" s="120">
        <v>46029</v>
      </c>
      <c r="D174" s="72">
        <v>7032186</v>
      </c>
      <c r="E174" s="72">
        <v>66</v>
      </c>
      <c r="F174" s="113">
        <v>2272343.2799999998</v>
      </c>
      <c r="G174" s="5" t="s">
        <v>116</v>
      </c>
      <c r="H174" s="72">
        <v>479</v>
      </c>
      <c r="I174" s="72">
        <v>30659863789</v>
      </c>
      <c r="J174" s="5" t="s">
        <v>119</v>
      </c>
      <c r="K174" s="113">
        <f>+K173+Tabla6[[#This Row],[IMPORTE]]</f>
        <v>212815964.65999994</v>
      </c>
      <c r="L174" s="5" t="s">
        <v>1658</v>
      </c>
      <c r="M174" s="119" t="s">
        <v>100</v>
      </c>
    </row>
    <row r="175" spans="2:13" x14ac:dyDescent="0.35">
      <c r="B175" s="4" t="s">
        <v>115</v>
      </c>
      <c r="C175" s="120">
        <v>46029</v>
      </c>
      <c r="D175" s="72">
        <v>7032184</v>
      </c>
      <c r="E175" s="72">
        <v>66</v>
      </c>
      <c r="F175" s="113">
        <v>4297115.2</v>
      </c>
      <c r="G175" s="5" t="s">
        <v>116</v>
      </c>
      <c r="H175" s="72">
        <v>479</v>
      </c>
      <c r="I175" s="72">
        <v>30659863789</v>
      </c>
      <c r="J175" s="5" t="s">
        <v>119</v>
      </c>
      <c r="K175" s="113">
        <f>+K174+Tabla6[[#This Row],[IMPORTE]]</f>
        <v>217113079.85999992</v>
      </c>
      <c r="L175" s="5" t="s">
        <v>1658</v>
      </c>
      <c r="M175" s="119" t="s">
        <v>100</v>
      </c>
    </row>
    <row r="176" spans="2:13" x14ac:dyDescent="0.35">
      <c r="B176" s="4" t="s">
        <v>128</v>
      </c>
      <c r="C176" s="120">
        <v>46029</v>
      </c>
      <c r="D176" s="72">
        <v>666308751</v>
      </c>
      <c r="E176" s="72">
        <v>66</v>
      </c>
      <c r="F176" s="113">
        <v>9773173.6400000006</v>
      </c>
      <c r="G176" s="5" t="s">
        <v>129</v>
      </c>
      <c r="H176" s="72">
        <v>93</v>
      </c>
      <c r="I176" s="72" t="s">
        <v>123</v>
      </c>
      <c r="J176" s="5" t="s">
        <v>124</v>
      </c>
      <c r="K176" s="113">
        <f>+K175+Tabla6[[#This Row],[IMPORTE]]</f>
        <v>226886253.49999994</v>
      </c>
      <c r="L176" s="5" t="s">
        <v>1482</v>
      </c>
      <c r="M176" s="119" t="s">
        <v>100</v>
      </c>
    </row>
    <row r="177" spans="2:13" x14ac:dyDescent="0.35">
      <c r="B177" s="4" t="s">
        <v>115</v>
      </c>
      <c r="C177" s="120">
        <v>46029</v>
      </c>
      <c r="D177" s="72">
        <v>7032187</v>
      </c>
      <c r="E177" s="72">
        <v>66</v>
      </c>
      <c r="F177" s="113">
        <v>28645179.109999999</v>
      </c>
      <c r="G177" s="5" t="s">
        <v>116</v>
      </c>
      <c r="H177" s="72">
        <v>479</v>
      </c>
      <c r="I177" s="72">
        <v>30659863789</v>
      </c>
      <c r="J177" s="5" t="s">
        <v>119</v>
      </c>
      <c r="K177" s="113">
        <f>+K176+Tabla6[[#This Row],[IMPORTE]]</f>
        <v>255531432.60999995</v>
      </c>
      <c r="L177" s="5" t="s">
        <v>1658</v>
      </c>
      <c r="M177" s="119" t="s">
        <v>100</v>
      </c>
    </row>
    <row r="178" spans="2:13" x14ac:dyDescent="0.35">
      <c r="B178" s="172" t="s">
        <v>132</v>
      </c>
      <c r="C178" s="126">
        <v>46029</v>
      </c>
      <c r="D178" s="127">
        <v>746300045</v>
      </c>
      <c r="E178" s="127">
        <v>66</v>
      </c>
      <c r="F178" s="128">
        <v>-700</v>
      </c>
      <c r="G178" s="129" t="s">
        <v>133</v>
      </c>
      <c r="H178" s="127">
        <v>562</v>
      </c>
      <c r="I178" s="127" t="s">
        <v>123</v>
      </c>
      <c r="J178" s="129" t="s">
        <v>124</v>
      </c>
      <c r="K178" s="128">
        <f>+K177+Tabla6[[#This Row],[IMPORTE]]</f>
        <v>255530732.60999995</v>
      </c>
      <c r="L178" s="129" t="s">
        <v>182</v>
      </c>
      <c r="M178" s="130" t="s">
        <v>93</v>
      </c>
    </row>
    <row r="179" spans="2:13" x14ac:dyDescent="0.35">
      <c r="B179" s="4" t="s">
        <v>115</v>
      </c>
      <c r="C179" s="120">
        <v>46030</v>
      </c>
      <c r="D179" s="72">
        <v>3386490</v>
      </c>
      <c r="E179" s="72">
        <v>66</v>
      </c>
      <c r="F179" s="113">
        <v>13743.3</v>
      </c>
      <c r="G179" s="5" t="s">
        <v>116</v>
      </c>
      <c r="H179" s="72">
        <v>480</v>
      </c>
      <c r="I179" s="72">
        <v>30714583014</v>
      </c>
      <c r="J179" s="5" t="s">
        <v>145</v>
      </c>
      <c r="K179" s="113">
        <f>+K178+Tabla6[[#This Row],[IMPORTE]]</f>
        <v>255544475.90999997</v>
      </c>
      <c r="L179" s="5" t="s">
        <v>1737</v>
      </c>
      <c r="M179" s="119" t="s">
        <v>100</v>
      </c>
    </row>
    <row r="180" spans="2:13" x14ac:dyDescent="0.35">
      <c r="B180" s="4" t="s">
        <v>125</v>
      </c>
      <c r="C180" s="120">
        <v>46031</v>
      </c>
      <c r="D180" s="72">
        <v>741310001</v>
      </c>
      <c r="E180" s="72">
        <v>66</v>
      </c>
      <c r="F180" s="113">
        <v>37868.400000000001</v>
      </c>
      <c r="G180" s="5" t="s">
        <v>126</v>
      </c>
      <c r="H180" s="72">
        <v>558</v>
      </c>
      <c r="I180" s="72" t="s">
        <v>123</v>
      </c>
      <c r="J180" s="5" t="s">
        <v>124</v>
      </c>
      <c r="K180" s="113">
        <f>+K179+Tabla6[[#This Row],[IMPORTE]]</f>
        <v>255582344.30999997</v>
      </c>
      <c r="L180" s="5" t="s">
        <v>1659</v>
      </c>
      <c r="M180" s="119" t="s">
        <v>100</v>
      </c>
    </row>
    <row r="181" spans="2:13" x14ac:dyDescent="0.35">
      <c r="B181" s="4" t="s">
        <v>115</v>
      </c>
      <c r="C181" s="120">
        <v>46030</v>
      </c>
      <c r="D181" s="72">
        <v>7290570</v>
      </c>
      <c r="E181" s="72">
        <v>66</v>
      </c>
      <c r="F181" s="113">
        <v>262675.69</v>
      </c>
      <c r="G181" s="5" t="s">
        <v>116</v>
      </c>
      <c r="H181" s="72">
        <v>479</v>
      </c>
      <c r="I181" s="72">
        <v>30659863789</v>
      </c>
      <c r="J181" s="5" t="s">
        <v>119</v>
      </c>
      <c r="K181" s="113">
        <f>+K180+Tabla6[[#This Row],[IMPORTE]]</f>
        <v>255845019.99999997</v>
      </c>
      <c r="L181" s="5" t="s">
        <v>1660</v>
      </c>
      <c r="M181" s="119" t="s">
        <v>100</v>
      </c>
    </row>
    <row r="182" spans="2:13" x14ac:dyDescent="0.35">
      <c r="B182" s="173" t="s">
        <v>146</v>
      </c>
      <c r="C182" s="146">
        <v>46030</v>
      </c>
      <c r="D182" s="148">
        <v>72095550</v>
      </c>
      <c r="E182" s="148">
        <v>66</v>
      </c>
      <c r="F182" s="149">
        <v>285715.90000000002</v>
      </c>
      <c r="G182" s="147" t="s">
        <v>147</v>
      </c>
      <c r="H182" s="148">
        <v>148</v>
      </c>
      <c r="I182" s="148" t="s">
        <v>123</v>
      </c>
      <c r="J182" s="147" t="s">
        <v>1625</v>
      </c>
      <c r="K182" s="149">
        <f>+K181+Tabla6[[#This Row],[IMPORTE]]</f>
        <v>256130735.89999998</v>
      </c>
      <c r="L182" s="147" t="s">
        <v>1558</v>
      </c>
      <c r="M182" s="174" t="s">
        <v>85</v>
      </c>
    </row>
    <row r="183" spans="2:13" x14ac:dyDescent="0.35">
      <c r="B183" s="4" t="s">
        <v>115</v>
      </c>
      <c r="C183" s="120">
        <v>46030</v>
      </c>
      <c r="D183" s="72">
        <v>7290567</v>
      </c>
      <c r="E183" s="72">
        <v>66</v>
      </c>
      <c r="F183" s="113">
        <v>347556.72</v>
      </c>
      <c r="G183" s="5" t="s">
        <v>116</v>
      </c>
      <c r="H183" s="72">
        <v>479</v>
      </c>
      <c r="I183" s="72">
        <v>30659863789</v>
      </c>
      <c r="J183" s="5" t="s">
        <v>119</v>
      </c>
      <c r="K183" s="113">
        <f>+K182+Tabla6[[#This Row],[IMPORTE]]</f>
        <v>256478292.61999997</v>
      </c>
      <c r="L183" s="5" t="s">
        <v>1660</v>
      </c>
      <c r="M183" s="119" t="s">
        <v>100</v>
      </c>
    </row>
    <row r="184" spans="2:13" x14ac:dyDescent="0.35">
      <c r="B184" s="4" t="s">
        <v>128</v>
      </c>
      <c r="C184" s="120">
        <v>46030</v>
      </c>
      <c r="D184" s="72">
        <v>666305502</v>
      </c>
      <c r="E184" s="72">
        <v>66</v>
      </c>
      <c r="F184" s="113">
        <v>460923.13</v>
      </c>
      <c r="G184" s="5" t="s">
        <v>129</v>
      </c>
      <c r="H184" s="72">
        <v>93</v>
      </c>
      <c r="I184" s="72" t="s">
        <v>123</v>
      </c>
      <c r="J184" s="5" t="s">
        <v>124</v>
      </c>
      <c r="K184" s="113">
        <f>+K183+Tabla6[[#This Row],[IMPORTE]]</f>
        <v>256939215.74999997</v>
      </c>
      <c r="L184" s="5" t="s">
        <v>1661</v>
      </c>
      <c r="M184" s="119" t="s">
        <v>100</v>
      </c>
    </row>
    <row r="185" spans="2:13" x14ac:dyDescent="0.35">
      <c r="B185" s="4" t="s">
        <v>115</v>
      </c>
      <c r="C185" s="120">
        <v>46030</v>
      </c>
      <c r="D185" s="72">
        <v>7250115</v>
      </c>
      <c r="E185" s="72">
        <v>66</v>
      </c>
      <c r="F185" s="113">
        <v>595745.57999999996</v>
      </c>
      <c r="G185" s="5" t="s">
        <v>116</v>
      </c>
      <c r="H185" s="72">
        <v>479</v>
      </c>
      <c r="I185" s="72">
        <v>30643990632</v>
      </c>
      <c r="J185" s="5" t="s">
        <v>127</v>
      </c>
      <c r="K185" s="113">
        <f>+K184+Tabla6[[#This Row],[IMPORTE]]</f>
        <v>257534961.32999998</v>
      </c>
      <c r="L185" s="5" t="s">
        <v>1661</v>
      </c>
      <c r="M185" s="119" t="s">
        <v>100</v>
      </c>
    </row>
    <row r="186" spans="2:13" x14ac:dyDescent="0.35">
      <c r="B186" s="4" t="s">
        <v>115</v>
      </c>
      <c r="C186" s="120">
        <v>46030</v>
      </c>
      <c r="D186" s="72">
        <v>7290573</v>
      </c>
      <c r="E186" s="72">
        <v>66</v>
      </c>
      <c r="F186" s="113">
        <v>5110113.42</v>
      </c>
      <c r="G186" s="5" t="s">
        <v>116</v>
      </c>
      <c r="H186" s="72">
        <v>479</v>
      </c>
      <c r="I186" s="72">
        <v>30659863789</v>
      </c>
      <c r="J186" s="5" t="s">
        <v>119</v>
      </c>
      <c r="K186" s="113">
        <f>+K185+Tabla6[[#This Row],[IMPORTE]]</f>
        <v>262645074.74999997</v>
      </c>
      <c r="L186" s="5" t="s">
        <v>1660</v>
      </c>
      <c r="M186" s="119" t="s">
        <v>100</v>
      </c>
    </row>
    <row r="187" spans="2:13" x14ac:dyDescent="0.35">
      <c r="B187" s="4" t="s">
        <v>128</v>
      </c>
      <c r="C187" s="120">
        <v>46030</v>
      </c>
      <c r="D187" s="72">
        <v>666307337</v>
      </c>
      <c r="E187" s="72">
        <v>66</v>
      </c>
      <c r="F187" s="113">
        <v>15452104.83</v>
      </c>
      <c r="G187" s="5" t="s">
        <v>129</v>
      </c>
      <c r="H187" s="72">
        <v>93</v>
      </c>
      <c r="I187" s="72" t="s">
        <v>123</v>
      </c>
      <c r="J187" s="5" t="s">
        <v>124</v>
      </c>
      <c r="K187" s="113">
        <f>+K186+Tabla6[[#This Row],[IMPORTE]]</f>
        <v>278097179.57999998</v>
      </c>
      <c r="L187" s="5" t="s">
        <v>1483</v>
      </c>
      <c r="M187" s="119" t="s">
        <v>100</v>
      </c>
    </row>
    <row r="188" spans="2:13" x14ac:dyDescent="0.35">
      <c r="B188" s="173" t="s">
        <v>115</v>
      </c>
      <c r="C188" s="146">
        <v>46030</v>
      </c>
      <c r="D188" s="148">
        <v>7174952</v>
      </c>
      <c r="E188" s="148">
        <v>66</v>
      </c>
      <c r="F188" s="149">
        <v>80905000</v>
      </c>
      <c r="G188" s="147" t="s">
        <v>116</v>
      </c>
      <c r="H188" s="148">
        <v>480</v>
      </c>
      <c r="I188" s="148">
        <v>30999259169</v>
      </c>
      <c r="J188" s="147" t="s">
        <v>148</v>
      </c>
      <c r="K188" s="149">
        <f>+K187+Tabla6[[#This Row],[IMPORTE]]</f>
        <v>359002179.57999998</v>
      </c>
      <c r="L188" s="178" t="s">
        <v>1473</v>
      </c>
      <c r="M188" s="174" t="s">
        <v>89</v>
      </c>
    </row>
    <row r="189" spans="2:13" x14ac:dyDescent="0.35">
      <c r="B189" s="173" t="s">
        <v>115</v>
      </c>
      <c r="C189" s="146">
        <v>46030</v>
      </c>
      <c r="D189" s="148">
        <v>7149282</v>
      </c>
      <c r="E189" s="148">
        <v>66</v>
      </c>
      <c r="F189" s="149">
        <v>457786000</v>
      </c>
      <c r="G189" s="147" t="s">
        <v>116</v>
      </c>
      <c r="H189" s="148">
        <v>480</v>
      </c>
      <c r="I189" s="148">
        <v>30999259169</v>
      </c>
      <c r="J189" s="147" t="s">
        <v>148</v>
      </c>
      <c r="K189" s="149">
        <f>+K188+Tabla6[[#This Row],[IMPORTE]]</f>
        <v>816788179.57999992</v>
      </c>
      <c r="L189" s="178" t="s">
        <v>1472</v>
      </c>
      <c r="M189" s="174" t="s">
        <v>89</v>
      </c>
    </row>
    <row r="190" spans="2:13" x14ac:dyDescent="0.35">
      <c r="B190" s="4" t="s">
        <v>115</v>
      </c>
      <c r="C190" s="120">
        <v>46030</v>
      </c>
      <c r="D190" s="72">
        <v>7205745</v>
      </c>
      <c r="E190" s="72">
        <v>66</v>
      </c>
      <c r="F190" s="113">
        <v>-146350990.34</v>
      </c>
      <c r="G190" s="5" t="s">
        <v>116</v>
      </c>
      <c r="H190" s="72">
        <v>488</v>
      </c>
      <c r="I190" s="72" t="s">
        <v>123</v>
      </c>
      <c r="J190" s="5" t="s">
        <v>1665</v>
      </c>
      <c r="K190" s="113">
        <f>+K189+Tabla6[[#This Row],[IMPORTE]]</f>
        <v>670437189.23999989</v>
      </c>
      <c r="L190" s="5" t="s">
        <v>1662</v>
      </c>
      <c r="M190" s="119" t="s">
        <v>100</v>
      </c>
    </row>
    <row r="191" spans="2:13" x14ac:dyDescent="0.35">
      <c r="B191" s="184" t="s">
        <v>115</v>
      </c>
      <c r="C191" s="108">
        <v>46030</v>
      </c>
      <c r="D191" s="118">
        <v>7254986</v>
      </c>
      <c r="E191" s="118">
        <v>66</v>
      </c>
      <c r="F191" s="111">
        <v>-99252709.859999999</v>
      </c>
      <c r="G191" s="109" t="s">
        <v>116</v>
      </c>
      <c r="H191" s="118">
        <v>487</v>
      </c>
      <c r="I191" s="118" t="s">
        <v>123</v>
      </c>
      <c r="J191" s="109" t="s">
        <v>124</v>
      </c>
      <c r="K191" s="111">
        <f>+K190+Tabla6[[#This Row],[IMPORTE]]</f>
        <v>571184479.37999988</v>
      </c>
      <c r="L191" s="109" t="s">
        <v>1645</v>
      </c>
      <c r="M191" s="110" t="s">
        <v>86</v>
      </c>
    </row>
    <row r="192" spans="2:13" x14ac:dyDescent="0.35">
      <c r="B192" s="184" t="s">
        <v>115</v>
      </c>
      <c r="C192" s="108">
        <v>46030</v>
      </c>
      <c r="D192" s="118">
        <v>7205743</v>
      </c>
      <c r="E192" s="118">
        <v>66</v>
      </c>
      <c r="F192" s="111">
        <v>-38044817.649999999</v>
      </c>
      <c r="G192" s="109" t="s">
        <v>116</v>
      </c>
      <c r="H192" s="118">
        <v>487</v>
      </c>
      <c r="I192" s="118" t="s">
        <v>123</v>
      </c>
      <c r="J192" s="109" t="s">
        <v>124</v>
      </c>
      <c r="K192" s="111">
        <f>+K191+Tabla6[[#This Row],[IMPORTE]]</f>
        <v>533139661.7299999</v>
      </c>
      <c r="L192" s="109" t="s">
        <v>1646</v>
      </c>
      <c r="M192" s="110" t="s">
        <v>86</v>
      </c>
    </row>
    <row r="193" spans="2:13" x14ac:dyDescent="0.35">
      <c r="B193" s="173" t="s">
        <v>115</v>
      </c>
      <c r="C193" s="146">
        <v>46030</v>
      </c>
      <c r="D193" s="148">
        <v>7258127</v>
      </c>
      <c r="E193" s="148">
        <v>66</v>
      </c>
      <c r="F193" s="149">
        <v>-51332.65</v>
      </c>
      <c r="G193" s="147" t="s">
        <v>116</v>
      </c>
      <c r="H193" s="148">
        <v>488</v>
      </c>
      <c r="I193" s="148" t="s">
        <v>123</v>
      </c>
      <c r="J193" s="147" t="s">
        <v>1536</v>
      </c>
      <c r="K193" s="149">
        <f>+K192+Tabla6[[#This Row],[IMPORTE]]</f>
        <v>533088329.07999992</v>
      </c>
      <c r="L193" s="178" t="s">
        <v>765</v>
      </c>
      <c r="M193" s="174" t="s">
        <v>92</v>
      </c>
    </row>
    <row r="194" spans="2:13" x14ac:dyDescent="0.35">
      <c r="B194" s="173" t="s">
        <v>115</v>
      </c>
      <c r="C194" s="146">
        <v>46030</v>
      </c>
      <c r="D194" s="148">
        <v>7258129</v>
      </c>
      <c r="E194" s="148">
        <v>66</v>
      </c>
      <c r="F194" s="149">
        <v>-36995.699999999997</v>
      </c>
      <c r="G194" s="147" t="s">
        <v>116</v>
      </c>
      <c r="H194" s="148">
        <v>488</v>
      </c>
      <c r="I194" s="148" t="s">
        <v>123</v>
      </c>
      <c r="J194" s="147" t="s">
        <v>1536</v>
      </c>
      <c r="K194" s="149">
        <f>+K193+Tabla6[[#This Row],[IMPORTE]]</f>
        <v>533051333.37999994</v>
      </c>
      <c r="L194" s="178" t="s">
        <v>765</v>
      </c>
      <c r="M194" s="174" t="s">
        <v>92</v>
      </c>
    </row>
    <row r="195" spans="2:13" x14ac:dyDescent="0.35">
      <c r="B195" s="4" t="s">
        <v>115</v>
      </c>
      <c r="C195" s="120">
        <v>46030</v>
      </c>
      <c r="D195" s="72">
        <v>7205742</v>
      </c>
      <c r="E195" s="72">
        <v>66</v>
      </c>
      <c r="F195" s="113">
        <v>-1859.5</v>
      </c>
      <c r="G195" s="5" t="s">
        <v>116</v>
      </c>
      <c r="H195" s="72">
        <v>487</v>
      </c>
      <c r="I195" s="72" t="s">
        <v>123</v>
      </c>
      <c r="J195" s="5" t="s">
        <v>1664</v>
      </c>
      <c r="K195" s="113">
        <f>+K194+Tabla6[[#This Row],[IMPORTE]]</f>
        <v>533049473.87999994</v>
      </c>
      <c r="L195" s="5" t="s">
        <v>1663</v>
      </c>
      <c r="M195" s="119" t="s">
        <v>100</v>
      </c>
    </row>
    <row r="196" spans="2:13" x14ac:dyDescent="0.35">
      <c r="B196" s="172" t="s">
        <v>132</v>
      </c>
      <c r="C196" s="126">
        <v>46030</v>
      </c>
      <c r="D196" s="127">
        <v>746300051</v>
      </c>
      <c r="E196" s="127">
        <v>66</v>
      </c>
      <c r="F196" s="128">
        <v>-757.37</v>
      </c>
      <c r="G196" s="129" t="s">
        <v>133</v>
      </c>
      <c r="H196" s="127">
        <v>562</v>
      </c>
      <c r="I196" s="127" t="s">
        <v>123</v>
      </c>
      <c r="J196" s="129" t="s">
        <v>124</v>
      </c>
      <c r="K196" s="128">
        <f>+K195+Tabla6[[#This Row],[IMPORTE]]</f>
        <v>533048716.50999993</v>
      </c>
      <c r="L196" s="129" t="s">
        <v>182</v>
      </c>
      <c r="M196" s="130" t="s">
        <v>93</v>
      </c>
    </row>
    <row r="197" spans="2:13" x14ac:dyDescent="0.35">
      <c r="B197" s="4" t="s">
        <v>134</v>
      </c>
      <c r="C197" s="120">
        <v>46031</v>
      </c>
      <c r="D197" s="72">
        <v>500110002</v>
      </c>
      <c r="E197" s="72">
        <v>66</v>
      </c>
      <c r="F197" s="113">
        <v>10000</v>
      </c>
      <c r="G197" s="5" t="s">
        <v>135</v>
      </c>
      <c r="H197" s="72">
        <v>2</v>
      </c>
      <c r="I197" s="72" t="s">
        <v>123</v>
      </c>
      <c r="J197" s="5" t="s">
        <v>124</v>
      </c>
      <c r="K197" s="113">
        <f>+K196+Tabla6[[#This Row],[IMPORTE]]</f>
        <v>533058716.50999993</v>
      </c>
      <c r="L197" s="5" t="s">
        <v>1726</v>
      </c>
      <c r="M197" s="119" t="s">
        <v>100</v>
      </c>
    </row>
    <row r="198" spans="2:13" x14ac:dyDescent="0.35">
      <c r="B198" s="4" t="s">
        <v>115</v>
      </c>
      <c r="C198" s="120">
        <v>46031</v>
      </c>
      <c r="D198" s="72">
        <v>7517008</v>
      </c>
      <c r="E198" s="72">
        <v>66</v>
      </c>
      <c r="F198" s="113">
        <v>178178.62</v>
      </c>
      <c r="G198" s="5" t="s">
        <v>116</v>
      </c>
      <c r="H198" s="72">
        <v>479</v>
      </c>
      <c r="I198" s="72">
        <v>30659863789</v>
      </c>
      <c r="J198" s="5" t="s">
        <v>119</v>
      </c>
      <c r="K198" s="113">
        <f>+K197+Tabla6[[#This Row],[IMPORTE]]</f>
        <v>533236895.12999994</v>
      </c>
      <c r="L198" s="5" t="s">
        <v>1666</v>
      </c>
      <c r="M198" s="119" t="s">
        <v>100</v>
      </c>
    </row>
    <row r="199" spans="2:13" x14ac:dyDescent="0.35">
      <c r="B199" s="4" t="s">
        <v>128</v>
      </c>
      <c r="C199" s="120">
        <v>46031</v>
      </c>
      <c r="D199" s="72">
        <v>666308724</v>
      </c>
      <c r="E199" s="72">
        <v>66</v>
      </c>
      <c r="F199" s="113">
        <v>286177.7</v>
      </c>
      <c r="G199" s="5" t="s">
        <v>129</v>
      </c>
      <c r="H199" s="72">
        <v>93</v>
      </c>
      <c r="I199" s="72" t="s">
        <v>123</v>
      </c>
      <c r="J199" s="5" t="s">
        <v>124</v>
      </c>
      <c r="K199" s="113">
        <f>+K198+Tabla6[[#This Row],[IMPORTE]]</f>
        <v>533523072.82999992</v>
      </c>
      <c r="L199" s="5" t="s">
        <v>1667</v>
      </c>
      <c r="M199" s="119" t="s">
        <v>100</v>
      </c>
    </row>
    <row r="200" spans="2:13" x14ac:dyDescent="0.35">
      <c r="B200" s="4" t="s">
        <v>115</v>
      </c>
      <c r="C200" s="120">
        <v>46031</v>
      </c>
      <c r="D200" s="72">
        <v>7517007</v>
      </c>
      <c r="E200" s="72">
        <v>66</v>
      </c>
      <c r="F200" s="113">
        <v>380940.99</v>
      </c>
      <c r="G200" s="5" t="s">
        <v>116</v>
      </c>
      <c r="H200" s="72">
        <v>479</v>
      </c>
      <c r="I200" s="72">
        <v>30659863789</v>
      </c>
      <c r="J200" s="5" t="s">
        <v>119</v>
      </c>
      <c r="K200" s="113">
        <f>+K199+Tabla6[[#This Row],[IMPORTE]]</f>
        <v>533904013.81999993</v>
      </c>
      <c r="L200" s="5" t="s">
        <v>1666</v>
      </c>
      <c r="M200" s="119" t="s">
        <v>100</v>
      </c>
    </row>
    <row r="201" spans="2:13" x14ac:dyDescent="0.35">
      <c r="B201" s="4" t="s">
        <v>115</v>
      </c>
      <c r="C201" s="120">
        <v>46031</v>
      </c>
      <c r="D201" s="72">
        <v>7544410</v>
      </c>
      <c r="E201" s="72">
        <v>66</v>
      </c>
      <c r="F201" s="113">
        <v>444794.24</v>
      </c>
      <c r="G201" s="5" t="s">
        <v>116</v>
      </c>
      <c r="H201" s="72">
        <v>480</v>
      </c>
      <c r="I201" s="72">
        <v>30643990632</v>
      </c>
      <c r="J201" s="5" t="s">
        <v>118</v>
      </c>
      <c r="K201" s="113">
        <f>+K200+Tabla6[[#This Row],[IMPORTE]]</f>
        <v>534348808.05999994</v>
      </c>
      <c r="L201" s="5" t="s">
        <v>1667</v>
      </c>
      <c r="M201" s="119" t="s">
        <v>100</v>
      </c>
    </row>
    <row r="202" spans="2:13" x14ac:dyDescent="0.35">
      <c r="B202" s="4" t="s">
        <v>115</v>
      </c>
      <c r="C202" s="120">
        <v>46031</v>
      </c>
      <c r="D202" s="72">
        <v>7554099</v>
      </c>
      <c r="E202" s="72">
        <v>66</v>
      </c>
      <c r="F202" s="113">
        <v>496807.2</v>
      </c>
      <c r="G202" s="5" t="s">
        <v>116</v>
      </c>
      <c r="H202" s="72">
        <v>479</v>
      </c>
      <c r="I202" s="72">
        <v>30643990632</v>
      </c>
      <c r="J202" s="5" t="s">
        <v>127</v>
      </c>
      <c r="K202" s="113">
        <f>+K201+Tabla6[[#This Row],[IMPORTE]]</f>
        <v>534845615.25999993</v>
      </c>
      <c r="L202" s="5" t="s">
        <v>1667</v>
      </c>
      <c r="M202" s="119" t="s">
        <v>100</v>
      </c>
    </row>
    <row r="203" spans="2:13" x14ac:dyDescent="0.35">
      <c r="B203" s="4" t="s">
        <v>115</v>
      </c>
      <c r="C203" s="120">
        <v>46031</v>
      </c>
      <c r="D203" s="72">
        <v>7517009</v>
      </c>
      <c r="E203" s="72">
        <v>66</v>
      </c>
      <c r="F203" s="113">
        <v>1142648.81</v>
      </c>
      <c r="G203" s="5" t="s">
        <v>116</v>
      </c>
      <c r="H203" s="72">
        <v>479</v>
      </c>
      <c r="I203" s="72">
        <v>30659863789</v>
      </c>
      <c r="J203" s="5" t="s">
        <v>119</v>
      </c>
      <c r="K203" s="113">
        <f>+K202+Tabla6[[#This Row],[IMPORTE]]</f>
        <v>535988264.06999993</v>
      </c>
      <c r="L203" s="5" t="s">
        <v>1666</v>
      </c>
      <c r="M203" s="119" t="s">
        <v>100</v>
      </c>
    </row>
    <row r="204" spans="2:13" x14ac:dyDescent="0.35">
      <c r="B204" s="173" t="s">
        <v>115</v>
      </c>
      <c r="C204" s="146">
        <v>46031</v>
      </c>
      <c r="D204" s="148">
        <v>2618551</v>
      </c>
      <c r="E204" s="148">
        <v>66</v>
      </c>
      <c r="F204" s="149">
        <v>1803911.38</v>
      </c>
      <c r="G204" s="147" t="s">
        <v>116</v>
      </c>
      <c r="H204" s="148">
        <v>480</v>
      </c>
      <c r="I204" s="148">
        <v>30537647716</v>
      </c>
      <c r="J204" s="147" t="s">
        <v>149</v>
      </c>
      <c r="K204" s="149">
        <f>+K203+Tabla6[[#This Row],[IMPORTE]]</f>
        <v>537792175.44999993</v>
      </c>
      <c r="L204" s="147" t="s">
        <v>1558</v>
      </c>
      <c r="M204" s="174" t="s">
        <v>85</v>
      </c>
    </row>
    <row r="205" spans="2:13" x14ac:dyDescent="0.35">
      <c r="B205" s="4" t="s">
        <v>128</v>
      </c>
      <c r="C205" s="120">
        <v>46031</v>
      </c>
      <c r="D205" s="72">
        <v>666308657</v>
      </c>
      <c r="E205" s="72">
        <v>66</v>
      </c>
      <c r="F205" s="113">
        <v>7669721.3499999996</v>
      </c>
      <c r="G205" s="5" t="s">
        <v>129</v>
      </c>
      <c r="H205" s="72">
        <v>93</v>
      </c>
      <c r="I205" s="72" t="s">
        <v>123</v>
      </c>
      <c r="J205" s="5" t="s">
        <v>124</v>
      </c>
      <c r="K205" s="113">
        <f>+K204+Tabla6[[#This Row],[IMPORTE]]</f>
        <v>545461896.79999995</v>
      </c>
      <c r="L205" s="5" t="s">
        <v>1484</v>
      </c>
      <c r="M205" s="119" t="s">
        <v>100</v>
      </c>
    </row>
    <row r="206" spans="2:13" x14ac:dyDescent="0.35">
      <c r="B206" s="173" t="s">
        <v>115</v>
      </c>
      <c r="C206" s="146">
        <v>46031</v>
      </c>
      <c r="D206" s="148">
        <v>7358803</v>
      </c>
      <c r="E206" s="148">
        <v>66</v>
      </c>
      <c r="F206" s="149">
        <v>538691000</v>
      </c>
      <c r="G206" s="147" t="s">
        <v>116</v>
      </c>
      <c r="H206" s="148">
        <v>480</v>
      </c>
      <c r="I206" s="148">
        <v>30999259169</v>
      </c>
      <c r="J206" s="147" t="s">
        <v>148</v>
      </c>
      <c r="K206" s="149">
        <f>+K205+Tabla6[[#This Row],[IMPORTE]]</f>
        <v>1084152896.8</v>
      </c>
      <c r="L206" s="177" t="s">
        <v>1474</v>
      </c>
      <c r="M206" s="174" t="s">
        <v>89</v>
      </c>
    </row>
    <row r="207" spans="2:13" x14ac:dyDescent="0.35">
      <c r="B207" s="173" t="s">
        <v>130</v>
      </c>
      <c r="C207" s="146">
        <v>46031</v>
      </c>
      <c r="D207" s="148">
        <v>4001990142</v>
      </c>
      <c r="E207" s="148">
        <v>66</v>
      </c>
      <c r="F207" s="149">
        <v>-1000000000</v>
      </c>
      <c r="G207" s="147" t="s">
        <v>131</v>
      </c>
      <c r="H207" s="148">
        <v>530</v>
      </c>
      <c r="I207" s="148" t="s">
        <v>123</v>
      </c>
      <c r="J207" s="147" t="s">
        <v>1466</v>
      </c>
      <c r="K207" s="149">
        <f>+K206+Tabla6[[#This Row],[IMPORTE]]</f>
        <v>84152896.799999952</v>
      </c>
      <c r="L207" s="143" t="s">
        <v>605</v>
      </c>
      <c r="M207" s="174" t="s">
        <v>83</v>
      </c>
    </row>
    <row r="208" spans="2:13" x14ac:dyDescent="0.35">
      <c r="B208" s="4" t="s">
        <v>150</v>
      </c>
      <c r="C208" s="120">
        <v>46031</v>
      </c>
      <c r="D208" s="72" t="s">
        <v>151</v>
      </c>
      <c r="E208" s="72">
        <v>66</v>
      </c>
      <c r="F208" s="113">
        <v>-1595887.79</v>
      </c>
      <c r="G208" s="5" t="s">
        <v>152</v>
      </c>
      <c r="H208" s="72">
        <v>290</v>
      </c>
      <c r="I208" s="72" t="s">
        <v>123</v>
      </c>
      <c r="J208" s="5" t="s">
        <v>1668</v>
      </c>
      <c r="K208" s="113">
        <f>+K207+Tabla6[[#This Row],[IMPORTE]]</f>
        <v>82557009.009999946</v>
      </c>
      <c r="L208" s="5" t="s">
        <v>1669</v>
      </c>
      <c r="M208" s="119" t="s">
        <v>100</v>
      </c>
    </row>
    <row r="209" spans="2:13" x14ac:dyDescent="0.35">
      <c r="B209" s="173" t="s">
        <v>115</v>
      </c>
      <c r="C209" s="146">
        <v>46031</v>
      </c>
      <c r="D209" s="148">
        <v>7430970</v>
      </c>
      <c r="E209" s="148">
        <v>66</v>
      </c>
      <c r="F209" s="149">
        <v>-506399</v>
      </c>
      <c r="G209" s="147" t="s">
        <v>116</v>
      </c>
      <c r="H209" s="148">
        <v>488</v>
      </c>
      <c r="I209" s="148" t="s">
        <v>123</v>
      </c>
      <c r="J209" s="177" t="s">
        <v>153</v>
      </c>
      <c r="K209" s="149">
        <f>+K208+Tabla6[[#This Row],[IMPORTE]]</f>
        <v>82050610.009999946</v>
      </c>
      <c r="L209" s="178" t="s">
        <v>765</v>
      </c>
      <c r="M209" s="174" t="s">
        <v>92</v>
      </c>
    </row>
    <row r="210" spans="2:13" x14ac:dyDescent="0.35">
      <c r="B210" s="173" t="s">
        <v>115</v>
      </c>
      <c r="C210" s="146">
        <v>46031</v>
      </c>
      <c r="D210" s="148">
        <v>7430972</v>
      </c>
      <c r="E210" s="148">
        <v>66</v>
      </c>
      <c r="F210" s="149">
        <v>-506399</v>
      </c>
      <c r="G210" s="147" t="s">
        <v>116</v>
      </c>
      <c r="H210" s="148">
        <v>488</v>
      </c>
      <c r="I210" s="148" t="s">
        <v>123</v>
      </c>
      <c r="J210" s="177" t="s">
        <v>153</v>
      </c>
      <c r="K210" s="149">
        <f>+K209+Tabla6[[#This Row],[IMPORTE]]</f>
        <v>81544211.009999946</v>
      </c>
      <c r="L210" s="178" t="s">
        <v>765</v>
      </c>
      <c r="M210" s="174" t="s">
        <v>92</v>
      </c>
    </row>
    <row r="211" spans="2:13" x14ac:dyDescent="0.35">
      <c r="B211" s="4" t="s">
        <v>115</v>
      </c>
      <c r="C211" s="120">
        <v>46034</v>
      </c>
      <c r="D211" s="72">
        <v>7748597</v>
      </c>
      <c r="E211" s="72">
        <v>66</v>
      </c>
      <c r="F211" s="113">
        <v>64091.09</v>
      </c>
      <c r="G211" s="5" t="s">
        <v>116</v>
      </c>
      <c r="H211" s="72">
        <v>479</v>
      </c>
      <c r="I211" s="72">
        <v>30659863789</v>
      </c>
      <c r="J211" s="5" t="s">
        <v>119</v>
      </c>
      <c r="K211" s="113">
        <f>+K210+Tabla6[[#This Row],[IMPORTE]]</f>
        <v>81608302.099999949</v>
      </c>
      <c r="L211" s="5" t="s">
        <v>1670</v>
      </c>
      <c r="M211" s="119" t="s">
        <v>100</v>
      </c>
    </row>
    <row r="212" spans="2:13" x14ac:dyDescent="0.35">
      <c r="B212" s="4" t="s">
        <v>128</v>
      </c>
      <c r="C212" s="120">
        <v>46034</v>
      </c>
      <c r="D212" s="72">
        <v>666307006</v>
      </c>
      <c r="E212" s="72">
        <v>66</v>
      </c>
      <c r="F212" s="113">
        <v>68349.23</v>
      </c>
      <c r="G212" s="5" t="s">
        <v>129</v>
      </c>
      <c r="H212" s="72">
        <v>93</v>
      </c>
      <c r="I212" s="72" t="s">
        <v>123</v>
      </c>
      <c r="J212" s="5" t="s">
        <v>124</v>
      </c>
      <c r="K212" s="113">
        <f>+K211+Tabla6[[#This Row],[IMPORTE]]</f>
        <v>81676651.329999954</v>
      </c>
      <c r="L212" s="5" t="s">
        <v>1671</v>
      </c>
      <c r="M212" s="119" t="s">
        <v>100</v>
      </c>
    </row>
    <row r="213" spans="2:13" x14ac:dyDescent="0.35">
      <c r="B213" s="4" t="s">
        <v>125</v>
      </c>
      <c r="C213" s="120">
        <v>46034</v>
      </c>
      <c r="D213" s="72">
        <v>746000046</v>
      </c>
      <c r="E213" s="72">
        <v>66</v>
      </c>
      <c r="F213" s="113">
        <v>151646.53</v>
      </c>
      <c r="G213" s="5" t="s">
        <v>126</v>
      </c>
      <c r="H213" s="72">
        <v>558</v>
      </c>
      <c r="I213" s="72" t="s">
        <v>123</v>
      </c>
      <c r="J213" s="5" t="s">
        <v>124</v>
      </c>
      <c r="K213" s="113">
        <f>+K212+Tabla6[[#This Row],[IMPORTE]]</f>
        <v>81828297.859999955</v>
      </c>
      <c r="L213" s="5" t="s">
        <v>1672</v>
      </c>
      <c r="M213" s="119" t="s">
        <v>100</v>
      </c>
    </row>
    <row r="214" spans="2:13" x14ac:dyDescent="0.35">
      <c r="B214" s="4" t="s">
        <v>115</v>
      </c>
      <c r="C214" s="120">
        <v>46034</v>
      </c>
      <c r="D214" s="72">
        <v>7754453</v>
      </c>
      <c r="E214" s="72">
        <v>66</v>
      </c>
      <c r="F214" s="113">
        <v>162363.32999999999</v>
      </c>
      <c r="G214" s="5" t="s">
        <v>116</v>
      </c>
      <c r="H214" s="72">
        <v>479</v>
      </c>
      <c r="I214" s="72">
        <v>30643990632</v>
      </c>
      <c r="J214" s="5" t="s">
        <v>127</v>
      </c>
      <c r="K214" s="113">
        <f>+K213+Tabla6[[#This Row],[IMPORTE]]</f>
        <v>81990661.189999953</v>
      </c>
      <c r="L214" s="5" t="s">
        <v>1671</v>
      </c>
      <c r="M214" s="119" t="s">
        <v>100</v>
      </c>
    </row>
    <row r="215" spans="2:13" x14ac:dyDescent="0.35">
      <c r="B215" s="4" t="s">
        <v>115</v>
      </c>
      <c r="C215" s="120">
        <v>46034</v>
      </c>
      <c r="D215" s="72">
        <v>7748596</v>
      </c>
      <c r="E215" s="72">
        <v>66</v>
      </c>
      <c r="F215" s="113">
        <v>290922.28000000003</v>
      </c>
      <c r="G215" s="5" t="s">
        <v>116</v>
      </c>
      <c r="H215" s="72">
        <v>479</v>
      </c>
      <c r="I215" s="72">
        <v>30659863789</v>
      </c>
      <c r="J215" s="5" t="s">
        <v>119</v>
      </c>
      <c r="K215" s="113">
        <f>+K214+Tabla6[[#This Row],[IMPORTE]]</f>
        <v>82281583.469999954</v>
      </c>
      <c r="L215" s="5" t="s">
        <v>1670</v>
      </c>
      <c r="M215" s="119" t="s">
        <v>100</v>
      </c>
    </row>
    <row r="216" spans="2:13" x14ac:dyDescent="0.35">
      <c r="B216" s="4" t="s">
        <v>115</v>
      </c>
      <c r="C216" s="120">
        <v>46034</v>
      </c>
      <c r="D216" s="72">
        <v>7750239</v>
      </c>
      <c r="E216" s="72">
        <v>66</v>
      </c>
      <c r="F216" s="113">
        <v>590671.96</v>
      </c>
      <c r="G216" s="5" t="s">
        <v>116</v>
      </c>
      <c r="H216" s="72">
        <v>480</v>
      </c>
      <c r="I216" s="72">
        <v>30643990632</v>
      </c>
      <c r="J216" s="5" t="s">
        <v>118</v>
      </c>
      <c r="K216" s="113">
        <f>+K215+Tabla6[[#This Row],[IMPORTE]]</f>
        <v>82872255.429999948</v>
      </c>
      <c r="L216" s="5" t="s">
        <v>1671</v>
      </c>
      <c r="M216" s="119" t="s">
        <v>100</v>
      </c>
    </row>
    <row r="217" spans="2:13" x14ac:dyDescent="0.35">
      <c r="B217" s="4" t="s">
        <v>115</v>
      </c>
      <c r="C217" s="120">
        <v>46034</v>
      </c>
      <c r="D217" s="72">
        <v>7715584</v>
      </c>
      <c r="E217" s="72">
        <v>66</v>
      </c>
      <c r="F217" s="113">
        <v>1114100</v>
      </c>
      <c r="G217" s="5" t="s">
        <v>116</v>
      </c>
      <c r="H217" s="72">
        <v>480</v>
      </c>
      <c r="I217" s="72">
        <v>30699542454</v>
      </c>
      <c r="J217" s="5" t="s">
        <v>153</v>
      </c>
      <c r="K217" s="113">
        <f>+K216+Tabla6[[#This Row],[IMPORTE]]</f>
        <v>83986355.429999948</v>
      </c>
      <c r="L217" s="5" t="s">
        <v>1629</v>
      </c>
      <c r="M217" s="119" t="s">
        <v>100</v>
      </c>
    </row>
    <row r="218" spans="2:13" x14ac:dyDescent="0.35">
      <c r="B218" s="4" t="s">
        <v>115</v>
      </c>
      <c r="C218" s="120">
        <v>46034</v>
      </c>
      <c r="D218" s="72">
        <v>7748598</v>
      </c>
      <c r="E218" s="72">
        <v>66</v>
      </c>
      <c r="F218" s="113">
        <v>2546454.9</v>
      </c>
      <c r="G218" s="5" t="s">
        <v>116</v>
      </c>
      <c r="H218" s="72">
        <v>479</v>
      </c>
      <c r="I218" s="72">
        <v>30659863789</v>
      </c>
      <c r="J218" s="5" t="s">
        <v>119</v>
      </c>
      <c r="K218" s="113">
        <f>+K217+Tabla6[[#This Row],[IMPORTE]]</f>
        <v>86532810.329999954</v>
      </c>
      <c r="L218" s="5" t="s">
        <v>1670</v>
      </c>
      <c r="M218" s="119" t="s">
        <v>100</v>
      </c>
    </row>
    <row r="219" spans="2:13" x14ac:dyDescent="0.35">
      <c r="B219" s="4" t="s">
        <v>128</v>
      </c>
      <c r="C219" s="120">
        <v>46034</v>
      </c>
      <c r="D219" s="72">
        <v>666308425</v>
      </c>
      <c r="E219" s="72">
        <v>66</v>
      </c>
      <c r="F219" s="113">
        <v>9086351.4399999995</v>
      </c>
      <c r="G219" s="5" t="s">
        <v>129</v>
      </c>
      <c r="H219" s="72">
        <v>93</v>
      </c>
      <c r="I219" s="72" t="s">
        <v>123</v>
      </c>
      <c r="J219" s="5" t="s">
        <v>124</v>
      </c>
      <c r="K219" s="113">
        <f>+K218+Tabla6[[#This Row],[IMPORTE]]</f>
        <v>95619161.769999951</v>
      </c>
      <c r="L219" s="5" t="s">
        <v>1733</v>
      </c>
      <c r="M219" s="119" t="s">
        <v>100</v>
      </c>
    </row>
    <row r="220" spans="2:13" x14ac:dyDescent="0.35">
      <c r="B220" s="173" t="s">
        <v>115</v>
      </c>
      <c r="C220" s="146">
        <v>46034</v>
      </c>
      <c r="D220" s="148">
        <v>7609306</v>
      </c>
      <c r="E220" s="148">
        <v>66</v>
      </c>
      <c r="F220" s="149">
        <v>538691000</v>
      </c>
      <c r="G220" s="147" t="s">
        <v>116</v>
      </c>
      <c r="H220" s="148">
        <v>480</v>
      </c>
      <c r="I220" s="148">
        <v>30999259169</v>
      </c>
      <c r="J220" s="147" t="s">
        <v>148</v>
      </c>
      <c r="K220" s="149">
        <f>+K219+Tabla6[[#This Row],[IMPORTE]]</f>
        <v>634310161.76999998</v>
      </c>
      <c r="L220" s="177" t="s">
        <v>1474</v>
      </c>
      <c r="M220" s="174" t="s">
        <v>89</v>
      </c>
    </row>
    <row r="221" spans="2:13" x14ac:dyDescent="0.35">
      <c r="B221" s="173" t="s">
        <v>130</v>
      </c>
      <c r="C221" s="146">
        <v>46034</v>
      </c>
      <c r="D221" s="148">
        <v>4001990152</v>
      </c>
      <c r="E221" s="148">
        <v>66</v>
      </c>
      <c r="F221" s="149">
        <v>-600000000</v>
      </c>
      <c r="G221" s="147" t="s">
        <v>131</v>
      </c>
      <c r="H221" s="148">
        <v>530</v>
      </c>
      <c r="I221" s="148" t="s">
        <v>123</v>
      </c>
      <c r="J221" s="147" t="s">
        <v>1466</v>
      </c>
      <c r="K221" s="149">
        <f>+K220+Tabla6[[#This Row],[IMPORTE]]</f>
        <v>34310161.769999981</v>
      </c>
      <c r="L221" s="143" t="s">
        <v>606</v>
      </c>
      <c r="M221" s="174" t="s">
        <v>83</v>
      </c>
    </row>
    <row r="222" spans="2:13" x14ac:dyDescent="0.35">
      <c r="B222" s="172" t="s">
        <v>132</v>
      </c>
      <c r="C222" s="126">
        <v>46034</v>
      </c>
      <c r="D222" s="127">
        <v>746300047</v>
      </c>
      <c r="E222" s="127">
        <v>66</v>
      </c>
      <c r="F222" s="128">
        <v>-5823.02</v>
      </c>
      <c r="G222" s="129" t="s">
        <v>133</v>
      </c>
      <c r="H222" s="127">
        <v>562</v>
      </c>
      <c r="I222" s="127" t="s">
        <v>123</v>
      </c>
      <c r="J222" s="129" t="s">
        <v>124</v>
      </c>
      <c r="K222" s="128">
        <f>+K221+Tabla6[[#This Row],[IMPORTE]]</f>
        <v>34304338.749999978</v>
      </c>
      <c r="L222" s="129" t="s">
        <v>182</v>
      </c>
      <c r="M222" s="130" t="s">
        <v>93</v>
      </c>
    </row>
    <row r="223" spans="2:13" x14ac:dyDescent="0.35">
      <c r="B223" s="4" t="s">
        <v>115</v>
      </c>
      <c r="C223" s="120">
        <v>46035</v>
      </c>
      <c r="D223" s="72">
        <v>7946849</v>
      </c>
      <c r="E223" s="72">
        <v>66</v>
      </c>
      <c r="F223" s="113">
        <v>50885.81</v>
      </c>
      <c r="G223" s="5" t="s">
        <v>116</v>
      </c>
      <c r="H223" s="72">
        <v>479</v>
      </c>
      <c r="I223" s="72">
        <v>30659863789</v>
      </c>
      <c r="J223" s="5" t="s">
        <v>119</v>
      </c>
      <c r="K223" s="113">
        <f>+K222+Tabla6[[#This Row],[IMPORTE]]</f>
        <v>34355224.55999998</v>
      </c>
      <c r="L223" s="5" t="s">
        <v>1673</v>
      </c>
      <c r="M223" s="119" t="s">
        <v>100</v>
      </c>
    </row>
    <row r="224" spans="2:13" x14ac:dyDescent="0.35">
      <c r="B224" s="4" t="s">
        <v>128</v>
      </c>
      <c r="C224" s="120">
        <v>46035</v>
      </c>
      <c r="D224" s="72">
        <v>666306495</v>
      </c>
      <c r="E224" s="72">
        <v>66</v>
      </c>
      <c r="F224" s="113">
        <v>230373.9</v>
      </c>
      <c r="G224" s="5" t="s">
        <v>129</v>
      </c>
      <c r="H224" s="72">
        <v>93</v>
      </c>
      <c r="I224" s="72" t="s">
        <v>123</v>
      </c>
      <c r="J224" s="5" t="s">
        <v>124</v>
      </c>
      <c r="K224" s="113">
        <f>+K223+Tabla6[[#This Row],[IMPORTE]]</f>
        <v>34585598.459999979</v>
      </c>
      <c r="L224" s="5" t="s">
        <v>1674</v>
      </c>
      <c r="M224" s="119" t="s">
        <v>100</v>
      </c>
    </row>
    <row r="225" spans="2:13" x14ac:dyDescent="0.35">
      <c r="B225" s="4" t="s">
        <v>125</v>
      </c>
      <c r="C225" s="120">
        <v>46035</v>
      </c>
      <c r="D225" s="72">
        <v>746000036</v>
      </c>
      <c r="E225" s="72">
        <v>66</v>
      </c>
      <c r="F225" s="113">
        <v>589058</v>
      </c>
      <c r="G225" s="5" t="s">
        <v>126</v>
      </c>
      <c r="H225" s="72">
        <v>558</v>
      </c>
      <c r="I225" s="72" t="s">
        <v>123</v>
      </c>
      <c r="J225" s="5" t="s">
        <v>124</v>
      </c>
      <c r="K225" s="113">
        <f>+K224+Tabla6[[#This Row],[IMPORTE]]</f>
        <v>35174656.459999979</v>
      </c>
      <c r="L225" s="5" t="s">
        <v>1675</v>
      </c>
      <c r="M225" s="119" t="s">
        <v>100</v>
      </c>
    </row>
    <row r="226" spans="2:13" x14ac:dyDescent="0.35">
      <c r="B226" s="4" t="s">
        <v>115</v>
      </c>
      <c r="C226" s="120">
        <v>46035</v>
      </c>
      <c r="D226" s="72">
        <v>7946848</v>
      </c>
      <c r="E226" s="72">
        <v>66</v>
      </c>
      <c r="F226" s="113">
        <v>694970.98</v>
      </c>
      <c r="G226" s="5" t="s">
        <v>116</v>
      </c>
      <c r="H226" s="72">
        <v>479</v>
      </c>
      <c r="I226" s="72">
        <v>30659863789</v>
      </c>
      <c r="J226" s="5" t="s">
        <v>119</v>
      </c>
      <c r="K226" s="113">
        <f>+K225+Tabla6[[#This Row],[IMPORTE]]</f>
        <v>35869627.439999975</v>
      </c>
      <c r="L226" s="5" t="s">
        <v>1673</v>
      </c>
      <c r="M226" s="119" t="s">
        <v>100</v>
      </c>
    </row>
    <row r="227" spans="2:13" x14ac:dyDescent="0.35">
      <c r="B227" s="4" t="s">
        <v>115</v>
      </c>
      <c r="C227" s="120">
        <v>46035</v>
      </c>
      <c r="D227" s="72">
        <v>7946850</v>
      </c>
      <c r="E227" s="72">
        <v>66</v>
      </c>
      <c r="F227" s="113">
        <v>1380613.01</v>
      </c>
      <c r="G227" s="5" t="s">
        <v>116</v>
      </c>
      <c r="H227" s="72">
        <v>479</v>
      </c>
      <c r="I227" s="72">
        <v>30659863789</v>
      </c>
      <c r="J227" s="5" t="s">
        <v>119</v>
      </c>
      <c r="K227" s="113">
        <f>+K226+Tabla6[[#This Row],[IMPORTE]]</f>
        <v>37250240.449999973</v>
      </c>
      <c r="L227" s="5" t="s">
        <v>1673</v>
      </c>
      <c r="M227" s="119" t="s">
        <v>100</v>
      </c>
    </row>
    <row r="228" spans="2:13" x14ac:dyDescent="0.35">
      <c r="B228" s="4" t="s">
        <v>115</v>
      </c>
      <c r="C228" s="120">
        <v>46035</v>
      </c>
      <c r="D228" s="72">
        <v>7925970</v>
      </c>
      <c r="E228" s="72">
        <v>66</v>
      </c>
      <c r="F228" s="113">
        <v>1541528.24</v>
      </c>
      <c r="G228" s="5" t="s">
        <v>116</v>
      </c>
      <c r="H228" s="72">
        <v>479</v>
      </c>
      <c r="I228" s="72">
        <v>30643990632</v>
      </c>
      <c r="J228" s="5" t="s">
        <v>127</v>
      </c>
      <c r="K228" s="113">
        <f>+K227+Tabla6[[#This Row],[IMPORTE]]</f>
        <v>38791768.689999975</v>
      </c>
      <c r="L228" s="5" t="s">
        <v>1674</v>
      </c>
      <c r="M228" s="119" t="s">
        <v>100</v>
      </c>
    </row>
    <row r="229" spans="2:13" x14ac:dyDescent="0.35">
      <c r="B229" s="4" t="s">
        <v>121</v>
      </c>
      <c r="C229" s="120">
        <v>46035</v>
      </c>
      <c r="D229" s="72">
        <v>2663208381</v>
      </c>
      <c r="E229" s="72">
        <v>66</v>
      </c>
      <c r="F229" s="113">
        <v>10085292.74</v>
      </c>
      <c r="G229" s="5" t="s">
        <v>122</v>
      </c>
      <c r="H229" s="72">
        <v>694</v>
      </c>
      <c r="I229" s="72" t="s">
        <v>123</v>
      </c>
      <c r="J229" s="5" t="s">
        <v>1676</v>
      </c>
      <c r="K229" s="113">
        <f>+K228+Tabla6[[#This Row],[IMPORTE]]</f>
        <v>48877061.429999977</v>
      </c>
      <c r="L229" s="5" t="s">
        <v>1729</v>
      </c>
      <c r="M229" s="119" t="s">
        <v>100</v>
      </c>
    </row>
    <row r="230" spans="2:13" x14ac:dyDescent="0.35">
      <c r="B230" s="4" t="s">
        <v>128</v>
      </c>
      <c r="C230" s="120">
        <v>46035</v>
      </c>
      <c r="D230" s="72">
        <v>666307764</v>
      </c>
      <c r="E230" s="72">
        <v>66</v>
      </c>
      <c r="F230" s="113">
        <v>14142003.140000001</v>
      </c>
      <c r="G230" s="5" t="s">
        <v>129</v>
      </c>
      <c r="H230" s="72">
        <v>93</v>
      </c>
      <c r="I230" s="72" t="s">
        <v>123</v>
      </c>
      <c r="J230" s="5" t="s">
        <v>124</v>
      </c>
      <c r="K230" s="113">
        <f>+K229+Tabla6[[#This Row],[IMPORTE]]</f>
        <v>63019064.569999978</v>
      </c>
      <c r="L230" s="5" t="s">
        <v>1734</v>
      </c>
      <c r="M230" s="119" t="s">
        <v>100</v>
      </c>
    </row>
    <row r="231" spans="2:13" x14ac:dyDescent="0.35">
      <c r="B231" s="173" t="s">
        <v>115</v>
      </c>
      <c r="C231" s="146">
        <v>46035</v>
      </c>
      <c r="D231" s="148">
        <v>7947178</v>
      </c>
      <c r="E231" s="148">
        <v>66</v>
      </c>
      <c r="F231" s="149">
        <v>298135487.19999999</v>
      </c>
      <c r="G231" s="147" t="s">
        <v>116</v>
      </c>
      <c r="H231" s="148">
        <v>479</v>
      </c>
      <c r="I231" s="148">
        <v>30999169631</v>
      </c>
      <c r="J231" s="147" t="s">
        <v>154</v>
      </c>
      <c r="K231" s="149">
        <f>+K230+Tabla6[[#This Row],[IMPORTE]]</f>
        <v>361154551.76999998</v>
      </c>
      <c r="L231" s="143" t="s">
        <v>1506</v>
      </c>
      <c r="M231" s="174"/>
    </row>
    <row r="232" spans="2:13" x14ac:dyDescent="0.35">
      <c r="B232" s="173" t="s">
        <v>115</v>
      </c>
      <c r="C232" s="146">
        <v>46035</v>
      </c>
      <c r="D232" s="148">
        <v>7816877</v>
      </c>
      <c r="E232" s="148">
        <v>66</v>
      </c>
      <c r="F232" s="149">
        <v>538691000</v>
      </c>
      <c r="G232" s="147" t="s">
        <v>116</v>
      </c>
      <c r="H232" s="148">
        <v>480</v>
      </c>
      <c r="I232" s="148">
        <v>30999259169</v>
      </c>
      <c r="J232" s="147" t="s">
        <v>148</v>
      </c>
      <c r="K232" s="149">
        <f>+K231+Tabla6[[#This Row],[IMPORTE]]</f>
        <v>899845551.76999998</v>
      </c>
      <c r="L232" s="177" t="s">
        <v>1474</v>
      </c>
      <c r="M232" s="174" t="s">
        <v>89</v>
      </c>
    </row>
    <row r="233" spans="2:13" x14ac:dyDescent="0.35">
      <c r="B233" s="173" t="s">
        <v>115</v>
      </c>
      <c r="C233" s="146">
        <v>46035</v>
      </c>
      <c r="D233" s="148">
        <v>7905183</v>
      </c>
      <c r="E233" s="148">
        <v>66</v>
      </c>
      <c r="F233" s="149">
        <v>-15000000</v>
      </c>
      <c r="G233" s="147" t="s">
        <v>116</v>
      </c>
      <c r="H233" s="148">
        <v>488</v>
      </c>
      <c r="I233" s="148" t="s">
        <v>123</v>
      </c>
      <c r="J233" s="147" t="s">
        <v>124</v>
      </c>
      <c r="K233" s="149">
        <f>+K232+Tabla6[[#This Row],[IMPORTE]]</f>
        <v>884845551.76999998</v>
      </c>
      <c r="L233" s="143" t="s">
        <v>609</v>
      </c>
      <c r="M233" s="174" t="s">
        <v>1505</v>
      </c>
    </row>
    <row r="234" spans="2:13" x14ac:dyDescent="0.35">
      <c r="B234" s="173" t="s">
        <v>115</v>
      </c>
      <c r="C234" s="146">
        <v>46035</v>
      </c>
      <c r="D234" s="148">
        <v>7905180</v>
      </c>
      <c r="E234" s="148">
        <v>66</v>
      </c>
      <c r="F234" s="149">
        <v>-9000000</v>
      </c>
      <c r="G234" s="147" t="s">
        <v>116</v>
      </c>
      <c r="H234" s="148">
        <v>488</v>
      </c>
      <c r="I234" s="148" t="s">
        <v>123</v>
      </c>
      <c r="J234" s="147" t="s">
        <v>124</v>
      </c>
      <c r="K234" s="149">
        <f>+K233+Tabla6[[#This Row],[IMPORTE]]</f>
        <v>875845551.76999998</v>
      </c>
      <c r="L234" s="143" t="s">
        <v>608</v>
      </c>
      <c r="M234" s="174" t="s">
        <v>1505</v>
      </c>
    </row>
    <row r="235" spans="2:13" x14ac:dyDescent="0.35">
      <c r="B235" s="173" t="s">
        <v>115</v>
      </c>
      <c r="C235" s="146">
        <v>46035</v>
      </c>
      <c r="D235" s="148">
        <v>7905177</v>
      </c>
      <c r="E235" s="148">
        <v>66</v>
      </c>
      <c r="F235" s="149">
        <v>-4560000</v>
      </c>
      <c r="G235" s="147" t="s">
        <v>116</v>
      </c>
      <c r="H235" s="148">
        <v>488</v>
      </c>
      <c r="I235" s="148" t="s">
        <v>123</v>
      </c>
      <c r="J235" s="147" t="s">
        <v>124</v>
      </c>
      <c r="K235" s="149">
        <f>+K234+Tabla6[[#This Row],[IMPORTE]]</f>
        <v>871285551.76999998</v>
      </c>
      <c r="L235" s="143" t="s">
        <v>607</v>
      </c>
      <c r="M235" s="174" t="s">
        <v>1505</v>
      </c>
    </row>
    <row r="236" spans="2:13" x14ac:dyDescent="0.35">
      <c r="B236" s="173" t="s">
        <v>115</v>
      </c>
      <c r="C236" s="146">
        <v>46035</v>
      </c>
      <c r="D236" s="148">
        <v>7950579</v>
      </c>
      <c r="E236" s="148">
        <v>66</v>
      </c>
      <c r="F236" s="149">
        <v>-2600000</v>
      </c>
      <c r="G236" s="147" t="s">
        <v>116</v>
      </c>
      <c r="H236" s="148">
        <v>488</v>
      </c>
      <c r="I236" s="148" t="s">
        <v>123</v>
      </c>
      <c r="J236" s="147" t="s">
        <v>124</v>
      </c>
      <c r="K236" s="149">
        <f>+K235+Tabla6[[#This Row],[IMPORTE]]</f>
        <v>868685551.76999998</v>
      </c>
      <c r="L236" s="147" t="s">
        <v>613</v>
      </c>
      <c r="M236" s="174" t="s">
        <v>1505</v>
      </c>
    </row>
    <row r="237" spans="2:13" x14ac:dyDescent="0.35">
      <c r="B237" s="173" t="s">
        <v>115</v>
      </c>
      <c r="C237" s="146">
        <v>46035</v>
      </c>
      <c r="D237" s="148">
        <v>7901748</v>
      </c>
      <c r="E237" s="148">
        <v>66</v>
      </c>
      <c r="F237" s="149">
        <v>-1800000</v>
      </c>
      <c r="G237" s="147" t="s">
        <v>116</v>
      </c>
      <c r="H237" s="148">
        <v>488</v>
      </c>
      <c r="I237" s="148" t="s">
        <v>123</v>
      </c>
      <c r="J237" s="147" t="s">
        <v>124</v>
      </c>
      <c r="K237" s="149">
        <f>+K236+Tabla6[[#This Row],[IMPORTE]]</f>
        <v>866885551.76999998</v>
      </c>
      <c r="L237" s="143" t="s">
        <v>601</v>
      </c>
      <c r="M237" s="174" t="s">
        <v>1505</v>
      </c>
    </row>
    <row r="238" spans="2:13" x14ac:dyDescent="0.35">
      <c r="B238" s="173" t="s">
        <v>115</v>
      </c>
      <c r="C238" s="146">
        <v>46035</v>
      </c>
      <c r="D238" s="148">
        <v>7901755</v>
      </c>
      <c r="E238" s="148">
        <v>66</v>
      </c>
      <c r="F238" s="149">
        <v>-657800</v>
      </c>
      <c r="G238" s="147" t="s">
        <v>116</v>
      </c>
      <c r="H238" s="148">
        <v>488</v>
      </c>
      <c r="I238" s="148" t="s">
        <v>123</v>
      </c>
      <c r="J238" s="147" t="s">
        <v>124</v>
      </c>
      <c r="K238" s="149">
        <f>+K237+Tabla6[[#This Row],[IMPORTE]]</f>
        <v>866227751.76999998</v>
      </c>
      <c r="L238" s="143" t="s">
        <v>598</v>
      </c>
      <c r="M238" s="174" t="s">
        <v>1505</v>
      </c>
    </row>
    <row r="239" spans="2:13" x14ac:dyDescent="0.35">
      <c r="B239" s="173" t="s">
        <v>115</v>
      </c>
      <c r="C239" s="146">
        <v>46035</v>
      </c>
      <c r="D239" s="148">
        <v>7950582</v>
      </c>
      <c r="E239" s="148">
        <v>66</v>
      </c>
      <c r="F239" s="149">
        <v>-600000</v>
      </c>
      <c r="G239" s="147" t="s">
        <v>116</v>
      </c>
      <c r="H239" s="148">
        <v>488</v>
      </c>
      <c r="I239" s="148" t="s">
        <v>123</v>
      </c>
      <c r="J239" s="147" t="s">
        <v>124</v>
      </c>
      <c r="K239" s="149">
        <f>+K238+Tabla6[[#This Row],[IMPORTE]]</f>
        <v>865627751.76999998</v>
      </c>
      <c r="L239" s="143" t="s">
        <v>610</v>
      </c>
      <c r="M239" s="174" t="s">
        <v>1505</v>
      </c>
    </row>
    <row r="240" spans="2:13" x14ac:dyDescent="0.35">
      <c r="B240" s="173" t="s">
        <v>115</v>
      </c>
      <c r="C240" s="146">
        <v>46035</v>
      </c>
      <c r="D240" s="148">
        <v>7901753</v>
      </c>
      <c r="E240" s="148">
        <v>66</v>
      </c>
      <c r="F240" s="149">
        <v>-480000</v>
      </c>
      <c r="G240" s="147" t="s">
        <v>116</v>
      </c>
      <c r="H240" s="148">
        <v>487</v>
      </c>
      <c r="I240" s="148" t="s">
        <v>123</v>
      </c>
      <c r="J240" s="147" t="s">
        <v>124</v>
      </c>
      <c r="K240" s="149">
        <f>+K239+Tabla6[[#This Row],[IMPORTE]]</f>
        <v>865147751.76999998</v>
      </c>
      <c r="L240" s="143" t="s">
        <v>599</v>
      </c>
      <c r="M240" s="174" t="s">
        <v>1505</v>
      </c>
    </row>
    <row r="241" spans="2:13" x14ac:dyDescent="0.35">
      <c r="B241" s="173" t="s">
        <v>115</v>
      </c>
      <c r="C241" s="146">
        <v>46035</v>
      </c>
      <c r="D241" s="148">
        <v>7950587</v>
      </c>
      <c r="E241" s="148">
        <v>66</v>
      </c>
      <c r="F241" s="149">
        <v>-390000</v>
      </c>
      <c r="G241" s="147" t="s">
        <v>116</v>
      </c>
      <c r="H241" s="148">
        <v>488</v>
      </c>
      <c r="I241" s="148" t="s">
        <v>123</v>
      </c>
      <c r="J241" s="147" t="s">
        <v>124</v>
      </c>
      <c r="K241" s="149">
        <f>+K240+Tabla6[[#This Row],[IMPORTE]]</f>
        <v>864757751.76999998</v>
      </c>
      <c r="L241" s="143" t="s">
        <v>612</v>
      </c>
      <c r="M241" s="174" t="s">
        <v>1505</v>
      </c>
    </row>
    <row r="242" spans="2:13" x14ac:dyDescent="0.35">
      <c r="B242" s="173" t="s">
        <v>115</v>
      </c>
      <c r="C242" s="146">
        <v>46035</v>
      </c>
      <c r="D242" s="148">
        <v>7901751</v>
      </c>
      <c r="E242" s="148">
        <v>66</v>
      </c>
      <c r="F242" s="149">
        <v>-240000</v>
      </c>
      <c r="G242" s="147" t="s">
        <v>116</v>
      </c>
      <c r="H242" s="148">
        <v>488</v>
      </c>
      <c r="I242" s="148" t="s">
        <v>123</v>
      </c>
      <c r="J242" s="147" t="s">
        <v>124</v>
      </c>
      <c r="K242" s="149">
        <f>+K241+Tabla6[[#This Row],[IMPORTE]]</f>
        <v>864517751.76999998</v>
      </c>
      <c r="L242" s="143" t="s">
        <v>600</v>
      </c>
      <c r="M242" s="174" t="s">
        <v>1505</v>
      </c>
    </row>
    <row r="243" spans="2:13" x14ac:dyDescent="0.35">
      <c r="B243" s="173" t="s">
        <v>115</v>
      </c>
      <c r="C243" s="146">
        <v>46035</v>
      </c>
      <c r="D243" s="148">
        <v>7950581</v>
      </c>
      <c r="E243" s="148">
        <v>66</v>
      </c>
      <c r="F243" s="149">
        <v>-120000</v>
      </c>
      <c r="G243" s="147" t="s">
        <v>116</v>
      </c>
      <c r="H243" s="148">
        <v>488</v>
      </c>
      <c r="I243" s="148" t="s">
        <v>123</v>
      </c>
      <c r="J243" s="147" t="s">
        <v>124</v>
      </c>
      <c r="K243" s="149">
        <f>+K242+Tabla6[[#This Row],[IMPORTE]]</f>
        <v>864397751.76999998</v>
      </c>
      <c r="L243" s="143" t="s">
        <v>611</v>
      </c>
      <c r="M243" s="174" t="s">
        <v>1505</v>
      </c>
    </row>
    <row r="244" spans="2:13" x14ac:dyDescent="0.35">
      <c r="B244" s="173" t="s">
        <v>115</v>
      </c>
      <c r="C244" s="146">
        <v>46035</v>
      </c>
      <c r="D244" s="148">
        <v>7832697</v>
      </c>
      <c r="E244" s="148">
        <v>66</v>
      </c>
      <c r="F244" s="149">
        <v>-71281</v>
      </c>
      <c r="G244" s="147" t="s">
        <v>116</v>
      </c>
      <c r="H244" s="148">
        <v>488</v>
      </c>
      <c r="I244" s="148" t="s">
        <v>123</v>
      </c>
      <c r="J244" s="177" t="s">
        <v>153</v>
      </c>
      <c r="K244" s="149">
        <f>+K243+Tabla6[[#This Row],[IMPORTE]]</f>
        <v>864326470.76999998</v>
      </c>
      <c r="L244" s="178" t="s">
        <v>765</v>
      </c>
      <c r="M244" s="174" t="s">
        <v>92</v>
      </c>
    </row>
    <row r="245" spans="2:13" x14ac:dyDescent="0.35">
      <c r="B245" s="173" t="s">
        <v>115</v>
      </c>
      <c r="C245" s="146">
        <v>46035</v>
      </c>
      <c r="D245" s="148">
        <v>7832696</v>
      </c>
      <c r="E245" s="148">
        <v>66</v>
      </c>
      <c r="F245" s="149">
        <v>-71281</v>
      </c>
      <c r="G245" s="147" t="s">
        <v>116</v>
      </c>
      <c r="H245" s="148">
        <v>488</v>
      </c>
      <c r="I245" s="148" t="s">
        <v>123</v>
      </c>
      <c r="J245" s="177" t="s">
        <v>153</v>
      </c>
      <c r="K245" s="149">
        <f>+K244+Tabla6[[#This Row],[IMPORTE]]</f>
        <v>864255189.76999998</v>
      </c>
      <c r="L245" s="178" t="s">
        <v>765</v>
      </c>
      <c r="M245" s="174" t="s">
        <v>92</v>
      </c>
    </row>
    <row r="246" spans="2:13" x14ac:dyDescent="0.35">
      <c r="B246" s="172" t="s">
        <v>132</v>
      </c>
      <c r="C246" s="126">
        <v>46035</v>
      </c>
      <c r="D246" s="127">
        <v>746300039</v>
      </c>
      <c r="E246" s="127">
        <v>66</v>
      </c>
      <c r="F246" s="128">
        <v>-12779.14</v>
      </c>
      <c r="G246" s="129" t="s">
        <v>133</v>
      </c>
      <c r="H246" s="127">
        <v>562</v>
      </c>
      <c r="I246" s="127" t="s">
        <v>123</v>
      </c>
      <c r="J246" s="129" t="s">
        <v>124</v>
      </c>
      <c r="K246" s="128">
        <f>+K245+Tabla6[[#This Row],[IMPORTE]]</f>
        <v>864242410.63</v>
      </c>
      <c r="L246" s="129" t="s">
        <v>182</v>
      </c>
      <c r="M246" s="130" t="s">
        <v>93</v>
      </c>
    </row>
    <row r="247" spans="2:13" x14ac:dyDescent="0.35">
      <c r="B247" s="173" t="s">
        <v>128</v>
      </c>
      <c r="C247" s="146">
        <v>46036</v>
      </c>
      <c r="D247" s="148">
        <v>666300793</v>
      </c>
      <c r="E247" s="148">
        <v>66</v>
      </c>
      <c r="F247" s="149">
        <v>22700</v>
      </c>
      <c r="G247" s="147" t="s">
        <v>129</v>
      </c>
      <c r="H247" s="148">
        <v>93</v>
      </c>
      <c r="I247" s="148" t="s">
        <v>123</v>
      </c>
      <c r="J247" s="147" t="s">
        <v>124</v>
      </c>
      <c r="K247" s="149">
        <f>+K246+Tabla6[[#This Row],[IMPORTE]]</f>
        <v>864265110.63</v>
      </c>
      <c r="L247" s="143" t="s">
        <v>640</v>
      </c>
      <c r="M247" s="174" t="s">
        <v>90</v>
      </c>
    </row>
    <row r="248" spans="2:13" x14ac:dyDescent="0.35">
      <c r="B248" s="4" t="s">
        <v>115</v>
      </c>
      <c r="C248" s="120">
        <v>46036</v>
      </c>
      <c r="D248" s="72">
        <v>8118862</v>
      </c>
      <c r="E248" s="72">
        <v>66</v>
      </c>
      <c r="F248" s="113">
        <v>55503.81</v>
      </c>
      <c r="G248" s="5" t="s">
        <v>116</v>
      </c>
      <c r="H248" s="72">
        <v>479</v>
      </c>
      <c r="I248" s="72">
        <v>30659863789</v>
      </c>
      <c r="J248" s="5" t="s">
        <v>119</v>
      </c>
      <c r="K248" s="113">
        <f>+K247+Tabla6[[#This Row],[IMPORTE]]</f>
        <v>864320614.43999994</v>
      </c>
      <c r="L248" s="5" t="s">
        <v>1677</v>
      </c>
      <c r="M248" s="119" t="s">
        <v>100</v>
      </c>
    </row>
    <row r="249" spans="2:13" x14ac:dyDescent="0.35">
      <c r="B249" s="4" t="s">
        <v>115</v>
      </c>
      <c r="C249" s="120">
        <v>46036</v>
      </c>
      <c r="D249" s="72">
        <v>4088013</v>
      </c>
      <c r="E249" s="72">
        <v>66</v>
      </c>
      <c r="F249" s="113">
        <v>253896.28</v>
      </c>
      <c r="G249" s="5" t="s">
        <v>116</v>
      </c>
      <c r="H249" s="72">
        <v>480</v>
      </c>
      <c r="I249" s="72">
        <v>30710158424</v>
      </c>
      <c r="J249" s="5" t="s">
        <v>155</v>
      </c>
      <c r="K249" s="113">
        <f>+K248+Tabla6[[#This Row],[IMPORTE]]</f>
        <v>864574510.71999991</v>
      </c>
      <c r="L249" s="5" t="s">
        <v>1630</v>
      </c>
      <c r="M249" s="119" t="s">
        <v>100</v>
      </c>
    </row>
    <row r="250" spans="2:13" x14ac:dyDescent="0.35">
      <c r="B250" s="4" t="s">
        <v>125</v>
      </c>
      <c r="C250" s="120">
        <v>46036</v>
      </c>
      <c r="D250" s="72">
        <v>746000035</v>
      </c>
      <c r="E250" s="72">
        <v>66</v>
      </c>
      <c r="F250" s="113">
        <v>260514.24</v>
      </c>
      <c r="G250" s="5" t="s">
        <v>126</v>
      </c>
      <c r="H250" s="72">
        <v>558</v>
      </c>
      <c r="I250" s="72" t="s">
        <v>123</v>
      </c>
      <c r="J250" s="5" t="s">
        <v>124</v>
      </c>
      <c r="K250" s="113">
        <f>+K249+Tabla6[[#This Row],[IMPORTE]]</f>
        <v>864835024.95999992</v>
      </c>
      <c r="L250" s="5" t="s">
        <v>1678</v>
      </c>
      <c r="M250" s="119" t="s">
        <v>100</v>
      </c>
    </row>
    <row r="251" spans="2:13" x14ac:dyDescent="0.35">
      <c r="B251" s="4" t="s">
        <v>128</v>
      </c>
      <c r="C251" s="120">
        <v>46036</v>
      </c>
      <c r="D251" s="72">
        <v>666300658</v>
      </c>
      <c r="E251" s="72">
        <v>66</v>
      </c>
      <c r="F251" s="113">
        <v>316805.84999999998</v>
      </c>
      <c r="G251" s="5" t="s">
        <v>129</v>
      </c>
      <c r="H251" s="72">
        <v>93</v>
      </c>
      <c r="I251" s="72" t="s">
        <v>123</v>
      </c>
      <c r="J251" s="5" t="s">
        <v>124</v>
      </c>
      <c r="K251" s="113">
        <f>+K250+Tabla6[[#This Row],[IMPORTE]]</f>
        <v>865151830.80999994</v>
      </c>
      <c r="L251" s="5" t="s">
        <v>1680</v>
      </c>
      <c r="M251" s="119" t="s">
        <v>100</v>
      </c>
    </row>
    <row r="252" spans="2:13" x14ac:dyDescent="0.35">
      <c r="B252" s="4" t="s">
        <v>115</v>
      </c>
      <c r="C252" s="120">
        <v>46036</v>
      </c>
      <c r="D252" s="72">
        <v>8108617</v>
      </c>
      <c r="E252" s="72">
        <v>66</v>
      </c>
      <c r="F252" s="113">
        <v>320175.42</v>
      </c>
      <c r="G252" s="5" t="s">
        <v>116</v>
      </c>
      <c r="H252" s="72">
        <v>480</v>
      </c>
      <c r="I252" s="72">
        <v>30643990632</v>
      </c>
      <c r="J252" s="5" t="s">
        <v>118</v>
      </c>
      <c r="K252" s="113">
        <f>+K251+Tabla6[[#This Row],[IMPORTE]]</f>
        <v>865472006.2299999</v>
      </c>
      <c r="L252" s="5" t="s">
        <v>1680</v>
      </c>
      <c r="M252" s="119" t="s">
        <v>100</v>
      </c>
    </row>
    <row r="253" spans="2:13" x14ac:dyDescent="0.35">
      <c r="B253" s="4" t="s">
        <v>115</v>
      </c>
      <c r="C253" s="120">
        <v>46036</v>
      </c>
      <c r="D253" s="72">
        <v>8118861</v>
      </c>
      <c r="E253" s="72">
        <v>66</v>
      </c>
      <c r="F253" s="113">
        <v>681515.11</v>
      </c>
      <c r="G253" s="5" t="s">
        <v>116</v>
      </c>
      <c r="H253" s="72">
        <v>479</v>
      </c>
      <c r="I253" s="72">
        <v>30659863789</v>
      </c>
      <c r="J253" s="5" t="s">
        <v>119</v>
      </c>
      <c r="K253" s="113">
        <f>+K252+Tabla6[[#This Row],[IMPORTE]]</f>
        <v>866153521.33999991</v>
      </c>
      <c r="L253" s="5" t="s">
        <v>1677</v>
      </c>
      <c r="M253" s="119" t="s">
        <v>100</v>
      </c>
    </row>
    <row r="254" spans="2:13" x14ac:dyDescent="0.35">
      <c r="B254" s="4" t="s">
        <v>115</v>
      </c>
      <c r="C254" s="120">
        <v>46036</v>
      </c>
      <c r="D254" s="72">
        <v>8100501</v>
      </c>
      <c r="E254" s="72">
        <v>66</v>
      </c>
      <c r="F254" s="113">
        <v>1378389.24</v>
      </c>
      <c r="G254" s="5" t="s">
        <v>116</v>
      </c>
      <c r="H254" s="72">
        <v>479</v>
      </c>
      <c r="I254" s="72">
        <v>30643990632</v>
      </c>
      <c r="J254" s="5" t="s">
        <v>127</v>
      </c>
      <c r="K254" s="113">
        <f>+K253+Tabla6[[#This Row],[IMPORTE]]</f>
        <v>867531910.57999992</v>
      </c>
      <c r="L254" s="5" t="s">
        <v>1680</v>
      </c>
      <c r="M254" s="119" t="s">
        <v>100</v>
      </c>
    </row>
    <row r="255" spans="2:13" x14ac:dyDescent="0.35">
      <c r="B255" s="4" t="s">
        <v>115</v>
      </c>
      <c r="C255" s="120">
        <v>46036</v>
      </c>
      <c r="D255" s="72">
        <v>8118863</v>
      </c>
      <c r="E255" s="72">
        <v>66</v>
      </c>
      <c r="F255" s="113">
        <v>2114336.21</v>
      </c>
      <c r="G255" s="5" t="s">
        <v>116</v>
      </c>
      <c r="H255" s="72">
        <v>479</v>
      </c>
      <c r="I255" s="72">
        <v>30659863789</v>
      </c>
      <c r="J255" s="5" t="s">
        <v>119</v>
      </c>
      <c r="K255" s="113">
        <f>+K254+Tabla6[[#This Row],[IMPORTE]]</f>
        <v>869646246.78999996</v>
      </c>
      <c r="L255" s="5" t="s">
        <v>1677</v>
      </c>
      <c r="M255" s="119" t="s">
        <v>100</v>
      </c>
    </row>
    <row r="256" spans="2:13" x14ac:dyDescent="0.35">
      <c r="B256" s="4" t="s">
        <v>128</v>
      </c>
      <c r="C256" s="120">
        <v>46036</v>
      </c>
      <c r="D256" s="72">
        <v>666307919</v>
      </c>
      <c r="E256" s="72">
        <v>66</v>
      </c>
      <c r="F256" s="113">
        <v>10240691.9</v>
      </c>
      <c r="G256" s="5" t="s">
        <v>129</v>
      </c>
      <c r="H256" s="72">
        <v>93</v>
      </c>
      <c r="I256" s="72" t="s">
        <v>123</v>
      </c>
      <c r="J256" s="5" t="s">
        <v>124</v>
      </c>
      <c r="K256" s="113">
        <f>+K255+Tabla6[[#This Row],[IMPORTE]]</f>
        <v>879886938.68999994</v>
      </c>
      <c r="L256" s="5" t="s">
        <v>1486</v>
      </c>
      <c r="M256" s="119" t="s">
        <v>100</v>
      </c>
    </row>
    <row r="257" spans="2:13" x14ac:dyDescent="0.35">
      <c r="B257" s="173" t="s">
        <v>115</v>
      </c>
      <c r="C257" s="146">
        <v>46036</v>
      </c>
      <c r="D257" s="148">
        <v>8000586</v>
      </c>
      <c r="E257" s="148">
        <v>66</v>
      </c>
      <c r="F257" s="149">
        <v>538695578</v>
      </c>
      <c r="G257" s="147" t="s">
        <v>116</v>
      </c>
      <c r="H257" s="148">
        <v>480</v>
      </c>
      <c r="I257" s="148">
        <v>30999259169</v>
      </c>
      <c r="J257" s="147" t="s">
        <v>148</v>
      </c>
      <c r="K257" s="149">
        <f>+K256+Tabla6[[#This Row],[IMPORTE]]</f>
        <v>1418582516.6900001</v>
      </c>
      <c r="L257" s="177" t="s">
        <v>1474</v>
      </c>
      <c r="M257" s="174" t="s">
        <v>89</v>
      </c>
    </row>
    <row r="258" spans="2:13" x14ac:dyDescent="0.35">
      <c r="B258" s="173" t="s">
        <v>130</v>
      </c>
      <c r="C258" s="146">
        <v>46036</v>
      </c>
      <c r="D258" s="148">
        <v>4001990172</v>
      </c>
      <c r="E258" s="148">
        <v>66</v>
      </c>
      <c r="F258" s="149">
        <v>-750000000</v>
      </c>
      <c r="G258" s="147" t="s">
        <v>131</v>
      </c>
      <c r="H258" s="148">
        <v>530</v>
      </c>
      <c r="I258" s="148" t="s">
        <v>123</v>
      </c>
      <c r="J258" s="147" t="s">
        <v>1466</v>
      </c>
      <c r="K258" s="149">
        <f>+K257+Tabla6[[#This Row],[IMPORTE]]</f>
        <v>668582516.69000006</v>
      </c>
      <c r="L258" s="143" t="s">
        <v>651</v>
      </c>
      <c r="M258" s="174" t="s">
        <v>83</v>
      </c>
    </row>
    <row r="259" spans="2:13" x14ac:dyDescent="0.35">
      <c r="B259" s="173" t="s">
        <v>115</v>
      </c>
      <c r="C259" s="146">
        <v>46036</v>
      </c>
      <c r="D259" s="148">
        <v>8025571</v>
      </c>
      <c r="E259" s="148">
        <v>66</v>
      </c>
      <c r="F259" s="149">
        <v>-400000000</v>
      </c>
      <c r="G259" s="147" t="s">
        <v>116</v>
      </c>
      <c r="H259" s="148">
        <v>490</v>
      </c>
      <c r="I259" s="148" t="s">
        <v>123</v>
      </c>
      <c r="J259" s="147" t="s">
        <v>124</v>
      </c>
      <c r="K259" s="149">
        <f>+K258+Tabla6[[#This Row],[IMPORTE]]</f>
        <v>268582516.69000006</v>
      </c>
      <c r="L259" s="143" t="s">
        <v>639</v>
      </c>
      <c r="M259" s="174" t="s">
        <v>101</v>
      </c>
    </row>
    <row r="260" spans="2:13" x14ac:dyDescent="0.35">
      <c r="B260" s="173" t="s">
        <v>115</v>
      </c>
      <c r="C260" s="146">
        <v>46036</v>
      </c>
      <c r="D260" s="148">
        <v>8055293</v>
      </c>
      <c r="E260" s="148">
        <v>66</v>
      </c>
      <c r="F260" s="149">
        <v>-47843910</v>
      </c>
      <c r="G260" s="147" t="s">
        <v>116</v>
      </c>
      <c r="H260" s="148">
        <v>488</v>
      </c>
      <c r="I260" s="148" t="s">
        <v>123</v>
      </c>
      <c r="J260" s="147" t="s">
        <v>124</v>
      </c>
      <c r="K260" s="149">
        <f>+K259+Tabla6[[#This Row],[IMPORTE]]</f>
        <v>220738606.69000006</v>
      </c>
      <c r="L260" s="143" t="s">
        <v>629</v>
      </c>
      <c r="M260" s="179" t="s">
        <v>1505</v>
      </c>
    </row>
    <row r="261" spans="2:13" x14ac:dyDescent="0.35">
      <c r="B261" s="173" t="s">
        <v>115</v>
      </c>
      <c r="C261" s="146">
        <v>46036</v>
      </c>
      <c r="D261" s="148">
        <v>8055291</v>
      </c>
      <c r="E261" s="148">
        <v>66</v>
      </c>
      <c r="F261" s="149">
        <v>-39424024.439999998</v>
      </c>
      <c r="G261" s="147" t="s">
        <v>116</v>
      </c>
      <c r="H261" s="148">
        <v>487</v>
      </c>
      <c r="I261" s="148" t="s">
        <v>123</v>
      </c>
      <c r="J261" s="147" t="s">
        <v>124</v>
      </c>
      <c r="K261" s="149">
        <f>+K260+Tabla6[[#This Row],[IMPORTE]]</f>
        <v>181314582.25000006</v>
      </c>
      <c r="L261" s="143" t="s">
        <v>632</v>
      </c>
      <c r="M261" s="179" t="s">
        <v>1505</v>
      </c>
    </row>
    <row r="262" spans="2:13" x14ac:dyDescent="0.35">
      <c r="B262" s="173" t="s">
        <v>115</v>
      </c>
      <c r="C262" s="146">
        <v>46036</v>
      </c>
      <c r="D262" s="148">
        <v>8073423</v>
      </c>
      <c r="E262" s="148">
        <v>66</v>
      </c>
      <c r="F262" s="149">
        <v>-8788248</v>
      </c>
      <c r="G262" s="147" t="s">
        <v>116</v>
      </c>
      <c r="H262" s="148">
        <v>488</v>
      </c>
      <c r="I262" s="148" t="s">
        <v>123</v>
      </c>
      <c r="J262" s="147" t="s">
        <v>124</v>
      </c>
      <c r="K262" s="149">
        <f>+K261+Tabla6[[#This Row],[IMPORTE]]</f>
        <v>172526334.25000006</v>
      </c>
      <c r="L262" s="143" t="s">
        <v>636</v>
      </c>
      <c r="M262" s="179" t="s">
        <v>1505</v>
      </c>
    </row>
    <row r="263" spans="2:13" x14ac:dyDescent="0.35">
      <c r="B263" s="173" t="s">
        <v>115</v>
      </c>
      <c r="C263" s="146">
        <v>46036</v>
      </c>
      <c r="D263" s="148">
        <v>8075705</v>
      </c>
      <c r="E263" s="148">
        <v>66</v>
      </c>
      <c r="F263" s="149">
        <v>-5469750</v>
      </c>
      <c r="G263" s="147" t="s">
        <v>116</v>
      </c>
      <c r="H263" s="148">
        <v>488</v>
      </c>
      <c r="I263" s="148" t="s">
        <v>123</v>
      </c>
      <c r="J263" s="147" t="s">
        <v>124</v>
      </c>
      <c r="K263" s="149">
        <f>+K262+Tabla6[[#This Row],[IMPORTE]]</f>
        <v>167056584.25000006</v>
      </c>
      <c r="L263" s="143" t="s">
        <v>628</v>
      </c>
      <c r="M263" s="179" t="s">
        <v>1505</v>
      </c>
    </row>
    <row r="264" spans="2:13" x14ac:dyDescent="0.35">
      <c r="B264" s="173" t="s">
        <v>115</v>
      </c>
      <c r="C264" s="146">
        <v>46036</v>
      </c>
      <c r="D264" s="148">
        <v>8045049</v>
      </c>
      <c r="E264" s="148">
        <v>66</v>
      </c>
      <c r="F264" s="149">
        <v>-4189264.16</v>
      </c>
      <c r="G264" s="147" t="s">
        <v>116</v>
      </c>
      <c r="H264" s="148">
        <v>488</v>
      </c>
      <c r="I264" s="148" t="s">
        <v>123</v>
      </c>
      <c r="J264" s="147" t="s">
        <v>124</v>
      </c>
      <c r="K264" s="149">
        <f>+K263+Tabla6[[#This Row],[IMPORTE]]</f>
        <v>162867320.09000006</v>
      </c>
      <c r="L264" s="143" t="s">
        <v>618</v>
      </c>
      <c r="M264" s="179" t="s">
        <v>1505</v>
      </c>
    </row>
    <row r="265" spans="2:13" x14ac:dyDescent="0.35">
      <c r="B265" s="173" t="s">
        <v>115</v>
      </c>
      <c r="C265" s="146">
        <v>46036</v>
      </c>
      <c r="D265" s="148">
        <v>8075706</v>
      </c>
      <c r="E265" s="148">
        <v>66</v>
      </c>
      <c r="F265" s="149">
        <v>-2092096.97</v>
      </c>
      <c r="G265" s="147" t="s">
        <v>116</v>
      </c>
      <c r="H265" s="148">
        <v>488</v>
      </c>
      <c r="I265" s="148" t="s">
        <v>123</v>
      </c>
      <c r="J265" s="147" t="s">
        <v>124</v>
      </c>
      <c r="K265" s="149">
        <f>+K264+Tabla6[[#This Row],[IMPORTE]]</f>
        <v>160775223.12000006</v>
      </c>
      <c r="L265" s="143" t="s">
        <v>638</v>
      </c>
      <c r="M265" s="179" t="s">
        <v>1505</v>
      </c>
    </row>
    <row r="266" spans="2:13" x14ac:dyDescent="0.35">
      <c r="B266" s="173" t="s">
        <v>115</v>
      </c>
      <c r="C266" s="146">
        <v>46036</v>
      </c>
      <c r="D266" s="148">
        <v>8047682</v>
      </c>
      <c r="E266" s="148">
        <v>66</v>
      </c>
      <c r="F266" s="149">
        <v>-1699692.9</v>
      </c>
      <c r="G266" s="147" t="s">
        <v>116</v>
      </c>
      <c r="H266" s="148">
        <v>488</v>
      </c>
      <c r="I266" s="148" t="s">
        <v>123</v>
      </c>
      <c r="J266" s="147" t="s">
        <v>124</v>
      </c>
      <c r="K266" s="149">
        <f>+K265+Tabla6[[#This Row],[IMPORTE]]</f>
        <v>159075530.22000006</v>
      </c>
      <c r="L266" s="143" t="s">
        <v>625</v>
      </c>
      <c r="M266" s="179" t="s">
        <v>1505</v>
      </c>
    </row>
    <row r="267" spans="2:13" x14ac:dyDescent="0.35">
      <c r="B267" s="173" t="s">
        <v>115</v>
      </c>
      <c r="C267" s="146">
        <v>46036</v>
      </c>
      <c r="D267" s="148">
        <v>8055292</v>
      </c>
      <c r="E267" s="148">
        <v>66</v>
      </c>
      <c r="F267" s="149">
        <v>-1544617.92</v>
      </c>
      <c r="G267" s="147" t="s">
        <v>116</v>
      </c>
      <c r="H267" s="148">
        <v>488</v>
      </c>
      <c r="I267" s="148" t="s">
        <v>123</v>
      </c>
      <c r="J267" s="147" t="s">
        <v>124</v>
      </c>
      <c r="K267" s="149">
        <f>+K266+Tabla6[[#This Row],[IMPORTE]]</f>
        <v>157530912.30000007</v>
      </c>
      <c r="L267" s="143" t="s">
        <v>633</v>
      </c>
      <c r="M267" s="179" t="s">
        <v>1505</v>
      </c>
    </row>
    <row r="268" spans="2:13" x14ac:dyDescent="0.35">
      <c r="B268" s="173" t="s">
        <v>115</v>
      </c>
      <c r="C268" s="146">
        <v>46036</v>
      </c>
      <c r="D268" s="148">
        <v>8047686</v>
      </c>
      <c r="E268" s="148">
        <v>66</v>
      </c>
      <c r="F268" s="149">
        <v>-1500000</v>
      </c>
      <c r="G268" s="147" t="s">
        <v>116</v>
      </c>
      <c r="H268" s="148">
        <v>488</v>
      </c>
      <c r="I268" s="148" t="s">
        <v>123</v>
      </c>
      <c r="J268" s="147" t="s">
        <v>124</v>
      </c>
      <c r="K268" s="149">
        <f>+K267+Tabla6[[#This Row],[IMPORTE]]</f>
        <v>156030912.30000007</v>
      </c>
      <c r="L268" s="143" t="s">
        <v>624</v>
      </c>
      <c r="M268" s="179" t="s">
        <v>1505</v>
      </c>
    </row>
    <row r="269" spans="2:13" x14ac:dyDescent="0.35">
      <c r="B269" s="173" t="s">
        <v>115</v>
      </c>
      <c r="C269" s="146">
        <v>46036</v>
      </c>
      <c r="D269" s="148">
        <v>8055294</v>
      </c>
      <c r="E269" s="148">
        <v>66</v>
      </c>
      <c r="F269" s="149">
        <v>-1350000</v>
      </c>
      <c r="G269" s="147" t="s">
        <v>116</v>
      </c>
      <c r="H269" s="148">
        <v>487</v>
      </c>
      <c r="I269" s="148" t="s">
        <v>123</v>
      </c>
      <c r="J269" s="147" t="s">
        <v>124</v>
      </c>
      <c r="K269" s="149">
        <f>+K268+Tabla6[[#This Row],[IMPORTE]]</f>
        <v>154680912.30000007</v>
      </c>
      <c r="L269" s="143" t="s">
        <v>630</v>
      </c>
      <c r="M269" s="179" t="s">
        <v>1505</v>
      </c>
    </row>
    <row r="270" spans="2:13" x14ac:dyDescent="0.35">
      <c r="B270" s="173" t="s">
        <v>115</v>
      </c>
      <c r="C270" s="146">
        <v>46036</v>
      </c>
      <c r="D270" s="148">
        <v>8052176</v>
      </c>
      <c r="E270" s="148">
        <v>66</v>
      </c>
      <c r="F270" s="149">
        <v>-1300000</v>
      </c>
      <c r="G270" s="147" t="s">
        <v>116</v>
      </c>
      <c r="H270" s="148">
        <v>488</v>
      </c>
      <c r="I270" s="148" t="s">
        <v>123</v>
      </c>
      <c r="J270" s="147" t="s">
        <v>124</v>
      </c>
      <c r="K270" s="149">
        <f>+K269+Tabla6[[#This Row],[IMPORTE]]</f>
        <v>153380912.30000007</v>
      </c>
      <c r="L270" s="143" t="s">
        <v>616</v>
      </c>
      <c r="M270" s="179" t="s">
        <v>1505</v>
      </c>
    </row>
    <row r="271" spans="2:13" x14ac:dyDescent="0.35">
      <c r="B271" s="173" t="s">
        <v>115</v>
      </c>
      <c r="C271" s="146">
        <v>46036</v>
      </c>
      <c r="D271" s="148">
        <v>8052174</v>
      </c>
      <c r="E271" s="148">
        <v>66</v>
      </c>
      <c r="F271" s="149">
        <v>-1200000</v>
      </c>
      <c r="G271" s="147" t="s">
        <v>116</v>
      </c>
      <c r="H271" s="148">
        <v>488</v>
      </c>
      <c r="I271" s="148" t="s">
        <v>123</v>
      </c>
      <c r="J271" s="147" t="s">
        <v>124</v>
      </c>
      <c r="K271" s="149">
        <f>+K270+Tabla6[[#This Row],[IMPORTE]]</f>
        <v>152180912.30000007</v>
      </c>
      <c r="L271" s="143" t="s">
        <v>614</v>
      </c>
      <c r="M271" s="179" t="s">
        <v>1505</v>
      </c>
    </row>
    <row r="272" spans="2:13" x14ac:dyDescent="0.35">
      <c r="B272" s="173" t="s">
        <v>115</v>
      </c>
      <c r="C272" s="146">
        <v>46036</v>
      </c>
      <c r="D272" s="148">
        <v>8073431</v>
      </c>
      <c r="E272" s="148">
        <v>66</v>
      </c>
      <c r="F272" s="149">
        <v>-1184320</v>
      </c>
      <c r="G272" s="147" t="s">
        <v>116</v>
      </c>
      <c r="H272" s="148">
        <v>488</v>
      </c>
      <c r="I272" s="148" t="s">
        <v>123</v>
      </c>
      <c r="J272" s="147" t="s">
        <v>124</v>
      </c>
      <c r="K272" s="149">
        <f>+K271+Tabla6[[#This Row],[IMPORTE]]</f>
        <v>150996592.30000007</v>
      </c>
      <c r="L272" s="143" t="s">
        <v>634</v>
      </c>
      <c r="M272" s="179" t="s">
        <v>1505</v>
      </c>
    </row>
    <row r="273" spans="2:13" x14ac:dyDescent="0.35">
      <c r="B273" s="173" t="s">
        <v>115</v>
      </c>
      <c r="C273" s="146">
        <v>46036</v>
      </c>
      <c r="D273" s="148">
        <v>8073429</v>
      </c>
      <c r="E273" s="148">
        <v>66</v>
      </c>
      <c r="F273" s="149">
        <v>-876080</v>
      </c>
      <c r="G273" s="147" t="s">
        <v>116</v>
      </c>
      <c r="H273" s="148">
        <v>487</v>
      </c>
      <c r="I273" s="148" t="s">
        <v>123</v>
      </c>
      <c r="J273" s="147" t="s">
        <v>124</v>
      </c>
      <c r="K273" s="149">
        <f>+K272+Tabla6[[#This Row],[IMPORTE]]</f>
        <v>150120512.30000007</v>
      </c>
      <c r="L273" s="143" t="s">
        <v>635</v>
      </c>
      <c r="M273" s="179" t="s">
        <v>1505</v>
      </c>
    </row>
    <row r="274" spans="2:13" x14ac:dyDescent="0.35">
      <c r="B274" s="173" t="s">
        <v>115</v>
      </c>
      <c r="C274" s="146">
        <v>46036</v>
      </c>
      <c r="D274" s="148">
        <v>8047679</v>
      </c>
      <c r="E274" s="148">
        <v>66</v>
      </c>
      <c r="F274" s="149">
        <v>-750000</v>
      </c>
      <c r="G274" s="147" t="s">
        <v>116</v>
      </c>
      <c r="H274" s="148">
        <v>488</v>
      </c>
      <c r="I274" s="148" t="s">
        <v>123</v>
      </c>
      <c r="J274" s="147" t="s">
        <v>124</v>
      </c>
      <c r="K274" s="149">
        <f>+K273+Tabla6[[#This Row],[IMPORTE]]</f>
        <v>149370512.30000007</v>
      </c>
      <c r="L274" s="143" t="s">
        <v>622</v>
      </c>
      <c r="M274" s="179" t="s">
        <v>1505</v>
      </c>
    </row>
    <row r="275" spans="2:13" x14ac:dyDescent="0.35">
      <c r="B275" s="173" t="s">
        <v>115</v>
      </c>
      <c r="C275" s="146">
        <v>46036</v>
      </c>
      <c r="D275" s="148">
        <v>8047684</v>
      </c>
      <c r="E275" s="148">
        <v>66</v>
      </c>
      <c r="F275" s="149">
        <v>-600000</v>
      </c>
      <c r="G275" s="147" t="s">
        <v>116</v>
      </c>
      <c r="H275" s="148">
        <v>488</v>
      </c>
      <c r="I275" s="148" t="s">
        <v>123</v>
      </c>
      <c r="J275" s="147" t="s">
        <v>124</v>
      </c>
      <c r="K275" s="149">
        <f>+K274+Tabla6[[#This Row],[IMPORTE]]</f>
        <v>148770512.30000007</v>
      </c>
      <c r="L275" s="143" t="s">
        <v>623</v>
      </c>
      <c r="M275" s="179" t="s">
        <v>1505</v>
      </c>
    </row>
    <row r="276" spans="2:13" x14ac:dyDescent="0.35">
      <c r="B276" s="173" t="s">
        <v>115</v>
      </c>
      <c r="C276" s="146">
        <v>46036</v>
      </c>
      <c r="D276" s="148">
        <v>8053082</v>
      </c>
      <c r="E276" s="148">
        <v>66</v>
      </c>
      <c r="F276" s="149">
        <v>-347010.52</v>
      </c>
      <c r="G276" s="147" t="s">
        <v>116</v>
      </c>
      <c r="H276" s="148">
        <v>488</v>
      </c>
      <c r="I276" s="148" t="s">
        <v>123</v>
      </c>
      <c r="J276" s="147" t="s">
        <v>124</v>
      </c>
      <c r="K276" s="149">
        <f>+K275+Tabla6[[#This Row],[IMPORTE]]</f>
        <v>148423501.78000006</v>
      </c>
      <c r="L276" s="143" t="s">
        <v>627</v>
      </c>
      <c r="M276" s="179" t="s">
        <v>1505</v>
      </c>
    </row>
    <row r="277" spans="2:13" x14ac:dyDescent="0.35">
      <c r="B277" s="173" t="s">
        <v>115</v>
      </c>
      <c r="C277" s="146">
        <v>46036</v>
      </c>
      <c r="D277" s="148">
        <v>8045047</v>
      </c>
      <c r="E277" s="148">
        <v>66</v>
      </c>
      <c r="F277" s="149">
        <v>-300000</v>
      </c>
      <c r="G277" s="147" t="s">
        <v>116</v>
      </c>
      <c r="H277" s="148">
        <v>488</v>
      </c>
      <c r="I277" s="148" t="s">
        <v>123</v>
      </c>
      <c r="J277" s="147" t="s">
        <v>124</v>
      </c>
      <c r="K277" s="149">
        <f>+K276+Tabla6[[#This Row],[IMPORTE]]</f>
        <v>148123501.78000006</v>
      </c>
      <c r="L277" s="143" t="s">
        <v>621</v>
      </c>
      <c r="M277" s="179" t="s">
        <v>1505</v>
      </c>
    </row>
    <row r="278" spans="2:13" x14ac:dyDescent="0.35">
      <c r="B278" s="173" t="s">
        <v>115</v>
      </c>
      <c r="C278" s="146">
        <v>46036</v>
      </c>
      <c r="D278" s="148">
        <v>8045052</v>
      </c>
      <c r="E278" s="148">
        <v>66</v>
      </c>
      <c r="F278" s="149">
        <v>-117101.7</v>
      </c>
      <c r="G278" s="147" t="s">
        <v>116</v>
      </c>
      <c r="H278" s="148">
        <v>488</v>
      </c>
      <c r="I278" s="148" t="s">
        <v>123</v>
      </c>
      <c r="J278" s="147" t="s">
        <v>124</v>
      </c>
      <c r="K278" s="149">
        <f>+K277+Tabla6[[#This Row],[IMPORTE]]</f>
        <v>148006400.08000007</v>
      </c>
      <c r="L278" s="143" t="s">
        <v>619</v>
      </c>
      <c r="M278" s="179" t="s">
        <v>1505</v>
      </c>
    </row>
    <row r="279" spans="2:13" x14ac:dyDescent="0.35">
      <c r="B279" s="173" t="s">
        <v>115</v>
      </c>
      <c r="C279" s="146">
        <v>46036</v>
      </c>
      <c r="D279" s="148">
        <v>8073433</v>
      </c>
      <c r="E279" s="148">
        <v>66</v>
      </c>
      <c r="F279" s="149">
        <v>-107410.5</v>
      </c>
      <c r="G279" s="147" t="s">
        <v>116</v>
      </c>
      <c r="H279" s="148">
        <v>488</v>
      </c>
      <c r="I279" s="148" t="s">
        <v>123</v>
      </c>
      <c r="J279" s="147" t="s">
        <v>124</v>
      </c>
      <c r="K279" s="149">
        <f>+K278+Tabla6[[#This Row],[IMPORTE]]</f>
        <v>147898989.58000007</v>
      </c>
      <c r="L279" s="143" t="s">
        <v>637</v>
      </c>
      <c r="M279" s="179" t="s">
        <v>1505</v>
      </c>
    </row>
    <row r="280" spans="2:13" x14ac:dyDescent="0.35">
      <c r="B280" s="173" t="s">
        <v>115</v>
      </c>
      <c r="C280" s="146">
        <v>46036</v>
      </c>
      <c r="D280" s="148">
        <v>8052175</v>
      </c>
      <c r="E280" s="148">
        <v>66</v>
      </c>
      <c r="F280" s="149">
        <v>-103680</v>
      </c>
      <c r="G280" s="147" t="s">
        <v>116</v>
      </c>
      <c r="H280" s="148">
        <v>487</v>
      </c>
      <c r="I280" s="148" t="s">
        <v>123</v>
      </c>
      <c r="J280" s="147" t="s">
        <v>124</v>
      </c>
      <c r="K280" s="149">
        <f>+K279+Tabla6[[#This Row],[IMPORTE]]</f>
        <v>147795309.58000007</v>
      </c>
      <c r="L280" s="143" t="s">
        <v>615</v>
      </c>
      <c r="M280" s="179" t="s">
        <v>1505</v>
      </c>
    </row>
    <row r="281" spans="2:13" x14ac:dyDescent="0.35">
      <c r="B281" s="173" t="s">
        <v>115</v>
      </c>
      <c r="C281" s="146">
        <v>46036</v>
      </c>
      <c r="D281" s="148">
        <v>8052164</v>
      </c>
      <c r="E281" s="148">
        <v>66</v>
      </c>
      <c r="F281" s="149">
        <v>-103400</v>
      </c>
      <c r="G281" s="147" t="s">
        <v>116</v>
      </c>
      <c r="H281" s="148">
        <v>488</v>
      </c>
      <c r="I281" s="148" t="s">
        <v>123</v>
      </c>
      <c r="J281" s="147" t="s">
        <v>124</v>
      </c>
      <c r="K281" s="149">
        <f>+K280+Tabla6[[#This Row],[IMPORTE]]</f>
        <v>147691909.58000007</v>
      </c>
      <c r="L281" s="143" t="s">
        <v>617</v>
      </c>
      <c r="M281" s="179" t="s">
        <v>1505</v>
      </c>
    </row>
    <row r="282" spans="2:13" x14ac:dyDescent="0.35">
      <c r="B282" s="173" t="s">
        <v>115</v>
      </c>
      <c r="C282" s="146">
        <v>46036</v>
      </c>
      <c r="D282" s="148">
        <v>8053081</v>
      </c>
      <c r="E282" s="148">
        <v>66</v>
      </c>
      <c r="F282" s="149">
        <v>-96768</v>
      </c>
      <c r="G282" s="147" t="s">
        <v>116</v>
      </c>
      <c r="H282" s="148">
        <v>487</v>
      </c>
      <c r="I282" s="148" t="s">
        <v>123</v>
      </c>
      <c r="J282" s="147" t="s">
        <v>124</v>
      </c>
      <c r="K282" s="149">
        <f>+K281+Tabla6[[#This Row],[IMPORTE]]</f>
        <v>147595141.58000007</v>
      </c>
      <c r="L282" s="143" t="s">
        <v>626</v>
      </c>
      <c r="M282" s="179" t="s">
        <v>1505</v>
      </c>
    </row>
    <row r="283" spans="2:13" x14ac:dyDescent="0.35">
      <c r="B283" s="173" t="s">
        <v>115</v>
      </c>
      <c r="C283" s="146">
        <v>46036</v>
      </c>
      <c r="D283" s="148">
        <v>8055295</v>
      </c>
      <c r="E283" s="148">
        <v>66</v>
      </c>
      <c r="F283" s="149">
        <v>-87091</v>
      </c>
      <c r="G283" s="147" t="s">
        <v>116</v>
      </c>
      <c r="H283" s="148">
        <v>488</v>
      </c>
      <c r="I283" s="148" t="s">
        <v>123</v>
      </c>
      <c r="J283" s="147" t="s">
        <v>124</v>
      </c>
      <c r="K283" s="149">
        <f>+K282+Tabla6[[#This Row],[IMPORTE]]</f>
        <v>147508050.58000007</v>
      </c>
      <c r="L283" s="143" t="s">
        <v>631</v>
      </c>
      <c r="M283" s="179" t="s">
        <v>1505</v>
      </c>
    </row>
    <row r="284" spans="2:13" x14ac:dyDescent="0.35">
      <c r="B284" s="173" t="s">
        <v>115</v>
      </c>
      <c r="C284" s="146">
        <v>46036</v>
      </c>
      <c r="D284" s="148">
        <v>8045051</v>
      </c>
      <c r="E284" s="148">
        <v>66</v>
      </c>
      <c r="F284" s="149">
        <v>-31107.96</v>
      </c>
      <c r="G284" s="147" t="s">
        <v>116</v>
      </c>
      <c r="H284" s="148">
        <v>487</v>
      </c>
      <c r="I284" s="148" t="s">
        <v>123</v>
      </c>
      <c r="J284" s="147" t="s">
        <v>124</v>
      </c>
      <c r="K284" s="149">
        <f>+K283+Tabla6[[#This Row],[IMPORTE]]</f>
        <v>147476942.62000006</v>
      </c>
      <c r="L284" s="143" t="s">
        <v>620</v>
      </c>
      <c r="M284" s="179" t="s">
        <v>1505</v>
      </c>
    </row>
    <row r="285" spans="2:13" x14ac:dyDescent="0.35">
      <c r="B285" s="172" t="s">
        <v>132</v>
      </c>
      <c r="C285" s="126">
        <v>46036</v>
      </c>
      <c r="D285" s="127">
        <v>746300036</v>
      </c>
      <c r="E285" s="127">
        <v>66</v>
      </c>
      <c r="F285" s="128">
        <v>-5314.73</v>
      </c>
      <c r="G285" s="129" t="s">
        <v>133</v>
      </c>
      <c r="H285" s="127">
        <v>562</v>
      </c>
      <c r="I285" s="127" t="s">
        <v>123</v>
      </c>
      <c r="J285" s="129" t="s">
        <v>124</v>
      </c>
      <c r="K285" s="128">
        <f>+K284+Tabla6[[#This Row],[IMPORTE]]</f>
        <v>147471627.89000008</v>
      </c>
      <c r="L285" s="129" t="s">
        <v>182</v>
      </c>
      <c r="M285" s="130" t="s">
        <v>93</v>
      </c>
    </row>
    <row r="286" spans="2:13" x14ac:dyDescent="0.35">
      <c r="B286" s="4" t="s">
        <v>115</v>
      </c>
      <c r="C286" s="120">
        <v>46037</v>
      </c>
      <c r="D286" s="72">
        <v>8283877</v>
      </c>
      <c r="E286" s="72">
        <v>66</v>
      </c>
      <c r="F286" s="113">
        <v>110004.09</v>
      </c>
      <c r="G286" s="5" t="s">
        <v>116</v>
      </c>
      <c r="H286" s="72">
        <v>479</v>
      </c>
      <c r="I286" s="72">
        <v>30659863789</v>
      </c>
      <c r="J286" s="5" t="s">
        <v>119</v>
      </c>
      <c r="K286" s="113">
        <f>+K285+Tabla6[[#This Row],[IMPORTE]]</f>
        <v>147581631.98000008</v>
      </c>
      <c r="L286" s="5" t="s">
        <v>1681</v>
      </c>
      <c r="M286" s="119" t="s">
        <v>100</v>
      </c>
    </row>
    <row r="287" spans="2:13" x14ac:dyDescent="0.35">
      <c r="B287" s="4" t="s">
        <v>115</v>
      </c>
      <c r="C287" s="120">
        <v>46037</v>
      </c>
      <c r="D287" s="72">
        <v>304109</v>
      </c>
      <c r="E287" s="72">
        <v>66</v>
      </c>
      <c r="F287" s="113">
        <v>129265.03</v>
      </c>
      <c r="G287" s="5" t="s">
        <v>116</v>
      </c>
      <c r="H287" s="72">
        <v>480</v>
      </c>
      <c r="I287" s="72">
        <v>30707330429</v>
      </c>
      <c r="J287" s="5" t="s">
        <v>156</v>
      </c>
      <c r="K287" s="113">
        <f>+K286+Tabla6[[#This Row],[IMPORTE]]</f>
        <v>147710897.01000008</v>
      </c>
      <c r="L287" s="190" t="s">
        <v>1626</v>
      </c>
      <c r="M287" s="119" t="s">
        <v>100</v>
      </c>
    </row>
    <row r="288" spans="2:13" x14ac:dyDescent="0.35">
      <c r="B288" s="4" t="s">
        <v>115</v>
      </c>
      <c r="C288" s="120">
        <v>46037</v>
      </c>
      <c r="D288" s="72">
        <v>2605435</v>
      </c>
      <c r="E288" s="72">
        <v>66</v>
      </c>
      <c r="F288" s="113">
        <v>129932.31</v>
      </c>
      <c r="G288" s="5" t="s">
        <v>116</v>
      </c>
      <c r="H288" s="72">
        <v>480</v>
      </c>
      <c r="I288" s="72">
        <v>33500606989</v>
      </c>
      <c r="J288" s="5" t="s">
        <v>157</v>
      </c>
      <c r="K288" s="113">
        <f>+K287+Tabla6[[#This Row],[IMPORTE]]</f>
        <v>147840829.32000008</v>
      </c>
      <c r="L288" s="5" t="s">
        <v>1737</v>
      </c>
      <c r="M288" s="119" t="s">
        <v>100</v>
      </c>
    </row>
    <row r="289" spans="2:13" x14ac:dyDescent="0.35">
      <c r="B289" s="4" t="s">
        <v>115</v>
      </c>
      <c r="C289" s="120">
        <v>46037</v>
      </c>
      <c r="D289" s="72">
        <v>8275153</v>
      </c>
      <c r="E289" s="72">
        <v>66</v>
      </c>
      <c r="F289" s="113">
        <v>173369.62</v>
      </c>
      <c r="G289" s="5" t="s">
        <v>116</v>
      </c>
      <c r="H289" s="72">
        <v>480</v>
      </c>
      <c r="I289" s="72">
        <v>30643990632</v>
      </c>
      <c r="J289" s="5" t="s">
        <v>118</v>
      </c>
      <c r="K289" s="113">
        <f>+K288+Tabla6[[#This Row],[IMPORTE]]</f>
        <v>148014198.94000009</v>
      </c>
      <c r="L289" s="5" t="s">
        <v>1682</v>
      </c>
      <c r="M289" s="119" t="s">
        <v>100</v>
      </c>
    </row>
    <row r="290" spans="2:13" x14ac:dyDescent="0.35">
      <c r="B290" s="4" t="s">
        <v>128</v>
      </c>
      <c r="C290" s="120">
        <v>46037</v>
      </c>
      <c r="D290" s="72">
        <v>666308616</v>
      </c>
      <c r="E290" s="72">
        <v>66</v>
      </c>
      <c r="F290" s="113">
        <v>250039.24</v>
      </c>
      <c r="G290" s="5" t="s">
        <v>129</v>
      </c>
      <c r="H290" s="72">
        <v>93</v>
      </c>
      <c r="I290" s="72" t="s">
        <v>123</v>
      </c>
      <c r="J290" s="5" t="s">
        <v>124</v>
      </c>
      <c r="K290" s="113">
        <f>+K289+Tabla6[[#This Row],[IMPORTE]]</f>
        <v>148264238.1800001</v>
      </c>
      <c r="L290" s="5" t="s">
        <v>1682</v>
      </c>
      <c r="M290" s="119" t="s">
        <v>100</v>
      </c>
    </row>
    <row r="291" spans="2:13" x14ac:dyDescent="0.35">
      <c r="B291" s="4" t="s">
        <v>115</v>
      </c>
      <c r="C291" s="120">
        <v>46037</v>
      </c>
      <c r="D291" s="72">
        <v>8283875</v>
      </c>
      <c r="E291" s="72">
        <v>66</v>
      </c>
      <c r="F291" s="113">
        <v>619990.51</v>
      </c>
      <c r="G291" s="5" t="s">
        <v>116</v>
      </c>
      <c r="H291" s="72">
        <v>479</v>
      </c>
      <c r="I291" s="72">
        <v>30659863789</v>
      </c>
      <c r="J291" s="5" t="s">
        <v>119</v>
      </c>
      <c r="K291" s="113">
        <f>+K290+Tabla6[[#This Row],[IMPORTE]]</f>
        <v>148884228.69000009</v>
      </c>
      <c r="L291" s="5" t="s">
        <v>1681</v>
      </c>
      <c r="M291" s="119" t="s">
        <v>100</v>
      </c>
    </row>
    <row r="292" spans="2:13" x14ac:dyDescent="0.35">
      <c r="B292" s="4" t="s">
        <v>125</v>
      </c>
      <c r="C292" s="120">
        <v>46037</v>
      </c>
      <c r="D292" s="72">
        <v>746000026</v>
      </c>
      <c r="E292" s="72">
        <v>66</v>
      </c>
      <c r="F292" s="113">
        <v>1457730.68</v>
      </c>
      <c r="G292" s="5" t="s">
        <v>126</v>
      </c>
      <c r="H292" s="72">
        <v>558</v>
      </c>
      <c r="I292" s="72" t="s">
        <v>123</v>
      </c>
      <c r="J292" s="5" t="s">
        <v>124</v>
      </c>
      <c r="K292" s="113">
        <f>+K291+Tabla6[[#This Row],[IMPORTE]]</f>
        <v>150341959.37000009</v>
      </c>
      <c r="L292" s="5" t="s">
        <v>1683</v>
      </c>
      <c r="M292" s="119" t="s">
        <v>100</v>
      </c>
    </row>
    <row r="293" spans="2:13" x14ac:dyDescent="0.35">
      <c r="B293" s="4" t="s">
        <v>115</v>
      </c>
      <c r="C293" s="120">
        <v>46037</v>
      </c>
      <c r="D293" s="72">
        <v>8273366</v>
      </c>
      <c r="E293" s="72">
        <v>66</v>
      </c>
      <c r="F293" s="113">
        <v>1617036.62</v>
      </c>
      <c r="G293" s="5" t="s">
        <v>116</v>
      </c>
      <c r="H293" s="72">
        <v>479</v>
      </c>
      <c r="I293" s="72">
        <v>30643990632</v>
      </c>
      <c r="J293" s="5" t="s">
        <v>127</v>
      </c>
      <c r="K293" s="113">
        <f>+K292+Tabla6[[#This Row],[IMPORTE]]</f>
        <v>151958995.9900001</v>
      </c>
      <c r="L293" s="5" t="s">
        <v>1682</v>
      </c>
      <c r="M293" s="119" t="s">
        <v>100</v>
      </c>
    </row>
    <row r="294" spans="2:13" x14ac:dyDescent="0.35">
      <c r="B294" s="4" t="s">
        <v>158</v>
      </c>
      <c r="C294" s="120">
        <v>46037</v>
      </c>
      <c r="D294" s="72">
        <v>184200001</v>
      </c>
      <c r="E294" s="72">
        <v>66</v>
      </c>
      <c r="F294" s="113">
        <v>2307872.5699999998</v>
      </c>
      <c r="G294" s="5" t="s">
        <v>159</v>
      </c>
      <c r="H294" s="72">
        <v>402</v>
      </c>
      <c r="I294" s="72">
        <v>30999147077</v>
      </c>
      <c r="J294" s="5" t="s">
        <v>1516</v>
      </c>
      <c r="K294" s="113">
        <f>+K293+Tabla6[[#This Row],[IMPORTE]]</f>
        <v>154266868.56000009</v>
      </c>
      <c r="L294" s="5" t="s">
        <v>1737</v>
      </c>
      <c r="M294" s="119" t="s">
        <v>100</v>
      </c>
    </row>
    <row r="295" spans="2:13" x14ac:dyDescent="0.35">
      <c r="B295" s="4" t="s">
        <v>115</v>
      </c>
      <c r="C295" s="120">
        <v>46037</v>
      </c>
      <c r="D295" s="72">
        <v>8283879</v>
      </c>
      <c r="E295" s="72">
        <v>66</v>
      </c>
      <c r="F295" s="113">
        <v>5372013.6799999997</v>
      </c>
      <c r="G295" s="5" t="s">
        <v>116</v>
      </c>
      <c r="H295" s="72">
        <v>479</v>
      </c>
      <c r="I295" s="72">
        <v>30659863789</v>
      </c>
      <c r="J295" s="5" t="s">
        <v>119</v>
      </c>
      <c r="K295" s="113">
        <f>+K294+Tabla6[[#This Row],[IMPORTE]]</f>
        <v>159638882.2400001</v>
      </c>
      <c r="L295" s="5" t="s">
        <v>1681</v>
      </c>
      <c r="M295" s="119" t="s">
        <v>100</v>
      </c>
    </row>
    <row r="296" spans="2:13" x14ac:dyDescent="0.35">
      <c r="B296" s="4" t="s">
        <v>128</v>
      </c>
      <c r="C296" s="120">
        <v>46037</v>
      </c>
      <c r="D296" s="72">
        <v>666309033</v>
      </c>
      <c r="E296" s="72">
        <v>66</v>
      </c>
      <c r="F296" s="113">
        <v>13881286.609999999</v>
      </c>
      <c r="G296" s="5" t="s">
        <v>129</v>
      </c>
      <c r="H296" s="72">
        <v>93</v>
      </c>
      <c r="I296" s="72" t="s">
        <v>123</v>
      </c>
      <c r="J296" s="5" t="s">
        <v>124</v>
      </c>
      <c r="K296" s="113">
        <f>+K295+Tabla6[[#This Row],[IMPORTE]]</f>
        <v>173520168.85000008</v>
      </c>
      <c r="L296" s="5" t="s">
        <v>1487</v>
      </c>
      <c r="M296" s="119" t="s">
        <v>100</v>
      </c>
    </row>
    <row r="297" spans="2:13" x14ac:dyDescent="0.35">
      <c r="B297" s="173" t="s">
        <v>130</v>
      </c>
      <c r="C297" s="146">
        <v>46037</v>
      </c>
      <c r="D297" s="148">
        <v>4002000314</v>
      </c>
      <c r="E297" s="148">
        <v>66</v>
      </c>
      <c r="F297" s="149">
        <v>50000000</v>
      </c>
      <c r="G297" s="147" t="s">
        <v>131</v>
      </c>
      <c r="H297" s="148">
        <v>530</v>
      </c>
      <c r="I297" s="148" t="s">
        <v>123</v>
      </c>
      <c r="J297" s="147" t="s">
        <v>1465</v>
      </c>
      <c r="K297" s="149">
        <f>+K296+Tabla6[[#This Row],[IMPORTE]]</f>
        <v>223520168.85000008</v>
      </c>
      <c r="L297" s="143" t="s">
        <v>652</v>
      </c>
      <c r="M297" s="174" t="s">
        <v>83</v>
      </c>
    </row>
    <row r="298" spans="2:13" x14ac:dyDescent="0.35">
      <c r="B298" s="173" t="s">
        <v>130</v>
      </c>
      <c r="C298" s="146">
        <v>46037</v>
      </c>
      <c r="D298" s="148">
        <v>4002000143</v>
      </c>
      <c r="E298" s="148">
        <v>66</v>
      </c>
      <c r="F298" s="149">
        <v>100000000</v>
      </c>
      <c r="G298" s="147" t="s">
        <v>131</v>
      </c>
      <c r="H298" s="148">
        <v>530</v>
      </c>
      <c r="I298" s="148" t="s">
        <v>123</v>
      </c>
      <c r="J298" s="147" t="s">
        <v>1465</v>
      </c>
      <c r="K298" s="149">
        <f>+K297+Tabla6[[#This Row],[IMPORTE]]</f>
        <v>323520168.85000008</v>
      </c>
      <c r="L298" s="143" t="s">
        <v>1452</v>
      </c>
      <c r="M298" s="174" t="s">
        <v>83</v>
      </c>
    </row>
    <row r="299" spans="2:13" x14ac:dyDescent="0.35">
      <c r="B299" s="173" t="s">
        <v>115</v>
      </c>
      <c r="C299" s="146">
        <v>46037</v>
      </c>
      <c r="D299" s="148">
        <v>8294821</v>
      </c>
      <c r="E299" s="148">
        <v>66</v>
      </c>
      <c r="F299" s="149">
        <v>270645238</v>
      </c>
      <c r="G299" s="147" t="s">
        <v>116</v>
      </c>
      <c r="H299" s="148">
        <v>480</v>
      </c>
      <c r="I299" s="148">
        <v>30699542454</v>
      </c>
      <c r="J299" s="147" t="s">
        <v>1508</v>
      </c>
      <c r="K299" s="149">
        <f>+K298+Tabla6[[#This Row],[IMPORTE]]</f>
        <v>594165406.85000014</v>
      </c>
      <c r="L299" s="143" t="s">
        <v>1454</v>
      </c>
      <c r="M299" s="174" t="s">
        <v>92</v>
      </c>
    </row>
    <row r="300" spans="2:13" x14ac:dyDescent="0.35">
      <c r="B300" s="173" t="s">
        <v>115</v>
      </c>
      <c r="C300" s="146">
        <v>46037</v>
      </c>
      <c r="D300" s="148">
        <v>8290515</v>
      </c>
      <c r="E300" s="148">
        <v>66</v>
      </c>
      <c r="F300" s="149">
        <v>-83409132</v>
      </c>
      <c r="G300" s="147" t="s">
        <v>116</v>
      </c>
      <c r="H300" s="148">
        <v>488</v>
      </c>
      <c r="I300" s="148" t="s">
        <v>123</v>
      </c>
      <c r="J300" s="147" t="s">
        <v>124</v>
      </c>
      <c r="K300" s="149">
        <f>+K299+Tabla6[[#This Row],[IMPORTE]]</f>
        <v>510756274.85000014</v>
      </c>
      <c r="L300" s="143" t="s">
        <v>650</v>
      </c>
      <c r="M300" s="174" t="s">
        <v>92</v>
      </c>
    </row>
    <row r="301" spans="2:13" x14ac:dyDescent="0.35">
      <c r="B301" s="173" t="s">
        <v>140</v>
      </c>
      <c r="C301" s="146">
        <v>46037</v>
      </c>
      <c r="D301" s="148">
        <v>874550014</v>
      </c>
      <c r="E301" s="148">
        <v>66</v>
      </c>
      <c r="F301" s="149">
        <v>-82500040</v>
      </c>
      <c r="G301" s="147" t="s">
        <v>141</v>
      </c>
      <c r="H301" s="148">
        <v>935</v>
      </c>
      <c r="I301" s="148" t="s">
        <v>123</v>
      </c>
      <c r="J301" s="147" t="s">
        <v>124</v>
      </c>
      <c r="K301" s="149">
        <f>+K300+Tabla6[[#This Row],[IMPORTE]]</f>
        <v>428256234.85000014</v>
      </c>
      <c r="L301" s="147" t="s">
        <v>768</v>
      </c>
      <c r="M301" s="174" t="s">
        <v>91</v>
      </c>
    </row>
    <row r="302" spans="2:13" x14ac:dyDescent="0.35">
      <c r="B302" s="173" t="s">
        <v>115</v>
      </c>
      <c r="C302" s="146">
        <v>46037</v>
      </c>
      <c r="D302" s="148">
        <v>8201943</v>
      </c>
      <c r="E302" s="148">
        <v>66</v>
      </c>
      <c r="F302" s="149">
        <v>-79678555.540000007</v>
      </c>
      <c r="G302" s="147" t="s">
        <v>116</v>
      </c>
      <c r="H302" s="148">
        <v>487</v>
      </c>
      <c r="I302" s="148" t="s">
        <v>123</v>
      </c>
      <c r="J302" s="147" t="s">
        <v>124</v>
      </c>
      <c r="K302" s="149">
        <f>+K301+Tabla6[[#This Row],[IMPORTE]]</f>
        <v>348577679.31000012</v>
      </c>
      <c r="L302" s="143" t="s">
        <v>646</v>
      </c>
      <c r="M302" s="174" t="s">
        <v>1505</v>
      </c>
    </row>
    <row r="303" spans="2:13" x14ac:dyDescent="0.35">
      <c r="B303" s="173" t="s">
        <v>115</v>
      </c>
      <c r="C303" s="146">
        <v>46037</v>
      </c>
      <c r="D303" s="148">
        <v>8191725</v>
      </c>
      <c r="E303" s="148">
        <v>66</v>
      </c>
      <c r="F303" s="149">
        <v>-2500000</v>
      </c>
      <c r="G303" s="147" t="s">
        <v>116</v>
      </c>
      <c r="H303" s="148">
        <v>488</v>
      </c>
      <c r="I303" s="148" t="s">
        <v>123</v>
      </c>
      <c r="J303" s="147" t="s">
        <v>124</v>
      </c>
      <c r="K303" s="149">
        <f>+K302+Tabla6[[#This Row],[IMPORTE]]</f>
        <v>346077679.31000012</v>
      </c>
      <c r="L303" s="143" t="s">
        <v>648</v>
      </c>
      <c r="M303" s="174" t="s">
        <v>1505</v>
      </c>
    </row>
    <row r="304" spans="2:13" x14ac:dyDescent="0.35">
      <c r="B304" s="173" t="s">
        <v>140</v>
      </c>
      <c r="C304" s="146">
        <v>46037</v>
      </c>
      <c r="D304" s="148">
        <v>874550015</v>
      </c>
      <c r="E304" s="148">
        <v>66</v>
      </c>
      <c r="F304" s="149">
        <v>-1739000</v>
      </c>
      <c r="G304" s="147" t="s">
        <v>141</v>
      </c>
      <c r="H304" s="148">
        <v>935</v>
      </c>
      <c r="I304" s="148" t="s">
        <v>123</v>
      </c>
      <c r="J304" s="147" t="s">
        <v>124</v>
      </c>
      <c r="K304" s="149">
        <f>+K303+Tabla6[[#This Row],[IMPORTE]]</f>
        <v>344338679.31000012</v>
      </c>
      <c r="L304" s="143" t="s">
        <v>769</v>
      </c>
      <c r="M304" s="174" t="s">
        <v>91</v>
      </c>
    </row>
    <row r="305" spans="2:13" x14ac:dyDescent="0.35">
      <c r="B305" s="173" t="s">
        <v>115</v>
      </c>
      <c r="C305" s="146">
        <v>46037</v>
      </c>
      <c r="D305" s="148">
        <v>8191929</v>
      </c>
      <c r="E305" s="148">
        <v>66</v>
      </c>
      <c r="F305" s="149">
        <v>-1050000</v>
      </c>
      <c r="G305" s="147" t="s">
        <v>116</v>
      </c>
      <c r="H305" s="148">
        <v>488</v>
      </c>
      <c r="I305" s="148" t="s">
        <v>123</v>
      </c>
      <c r="J305" s="147" t="s">
        <v>124</v>
      </c>
      <c r="K305" s="149">
        <f>+K304+Tabla6[[#This Row],[IMPORTE]]</f>
        <v>343288679.31000012</v>
      </c>
      <c r="L305" s="143" t="s">
        <v>645</v>
      </c>
      <c r="M305" s="174" t="s">
        <v>1505</v>
      </c>
    </row>
    <row r="306" spans="2:13" x14ac:dyDescent="0.35">
      <c r="B306" s="173" t="s">
        <v>115</v>
      </c>
      <c r="C306" s="146">
        <v>46037</v>
      </c>
      <c r="D306" s="148">
        <v>8191726</v>
      </c>
      <c r="E306" s="148">
        <v>66</v>
      </c>
      <c r="F306" s="149">
        <v>-990000</v>
      </c>
      <c r="G306" s="147" t="s">
        <v>116</v>
      </c>
      <c r="H306" s="148">
        <v>488</v>
      </c>
      <c r="I306" s="148" t="s">
        <v>123</v>
      </c>
      <c r="J306" s="147" t="s">
        <v>124</v>
      </c>
      <c r="K306" s="149">
        <f>+K305+Tabla6[[#This Row],[IMPORTE]]</f>
        <v>342298679.31000012</v>
      </c>
      <c r="L306" s="143" t="s">
        <v>647</v>
      </c>
      <c r="M306" s="174" t="s">
        <v>1505</v>
      </c>
    </row>
    <row r="307" spans="2:13" x14ac:dyDescent="0.35">
      <c r="B307" s="173" t="s">
        <v>115</v>
      </c>
      <c r="C307" s="146">
        <v>46037</v>
      </c>
      <c r="D307" s="148">
        <v>8272079</v>
      </c>
      <c r="E307" s="148">
        <v>66</v>
      </c>
      <c r="F307" s="149">
        <v>-250000</v>
      </c>
      <c r="G307" s="147" t="s">
        <v>116</v>
      </c>
      <c r="H307" s="148">
        <v>488</v>
      </c>
      <c r="I307" s="148" t="s">
        <v>123</v>
      </c>
      <c r="J307" s="147" t="s">
        <v>124</v>
      </c>
      <c r="K307" s="149">
        <f>+K306+Tabla6[[#This Row],[IMPORTE]]</f>
        <v>342048679.31000012</v>
      </c>
      <c r="L307" s="143" t="s">
        <v>649</v>
      </c>
      <c r="M307" s="174" t="s">
        <v>87</v>
      </c>
    </row>
    <row r="308" spans="2:13" x14ac:dyDescent="0.35">
      <c r="B308" s="173" t="s">
        <v>115</v>
      </c>
      <c r="C308" s="146">
        <v>46037</v>
      </c>
      <c r="D308" s="148">
        <v>8272098</v>
      </c>
      <c r="E308" s="148">
        <v>66</v>
      </c>
      <c r="F308" s="149">
        <v>-250000</v>
      </c>
      <c r="G308" s="147" t="s">
        <v>116</v>
      </c>
      <c r="H308" s="148">
        <v>488</v>
      </c>
      <c r="I308" s="148" t="s">
        <v>123</v>
      </c>
      <c r="J308" s="147" t="s">
        <v>124</v>
      </c>
      <c r="K308" s="149">
        <f>+K307+Tabla6[[#This Row],[IMPORTE]]</f>
        <v>341798679.31000012</v>
      </c>
      <c r="L308" s="143" t="s">
        <v>649</v>
      </c>
      <c r="M308" s="174" t="s">
        <v>87</v>
      </c>
    </row>
    <row r="309" spans="2:13" x14ac:dyDescent="0.35">
      <c r="B309" s="173" t="s">
        <v>115</v>
      </c>
      <c r="C309" s="146">
        <v>46037</v>
      </c>
      <c r="D309" s="148">
        <v>8272008</v>
      </c>
      <c r="E309" s="148">
        <v>66</v>
      </c>
      <c r="F309" s="149">
        <v>-250000</v>
      </c>
      <c r="G309" s="147" t="s">
        <v>116</v>
      </c>
      <c r="H309" s="148">
        <v>488</v>
      </c>
      <c r="I309" s="148" t="s">
        <v>123</v>
      </c>
      <c r="J309" s="147" t="s">
        <v>124</v>
      </c>
      <c r="K309" s="149">
        <f>+K308+Tabla6[[#This Row],[IMPORTE]]</f>
        <v>341548679.31000012</v>
      </c>
      <c r="L309" s="143" t="s">
        <v>649</v>
      </c>
      <c r="M309" s="174" t="s">
        <v>87</v>
      </c>
    </row>
    <row r="310" spans="2:13" x14ac:dyDescent="0.35">
      <c r="B310" s="173" t="s">
        <v>115</v>
      </c>
      <c r="C310" s="146">
        <v>46037</v>
      </c>
      <c r="D310" s="148">
        <v>8272024</v>
      </c>
      <c r="E310" s="148">
        <v>66</v>
      </c>
      <c r="F310" s="149">
        <v>-250000</v>
      </c>
      <c r="G310" s="147" t="s">
        <v>116</v>
      </c>
      <c r="H310" s="148">
        <v>488</v>
      </c>
      <c r="I310" s="148" t="s">
        <v>123</v>
      </c>
      <c r="J310" s="147" t="s">
        <v>124</v>
      </c>
      <c r="K310" s="149">
        <f>+K309+Tabla6[[#This Row],[IMPORTE]]</f>
        <v>341298679.31000012</v>
      </c>
      <c r="L310" s="143" t="s">
        <v>649</v>
      </c>
      <c r="M310" s="174" t="s">
        <v>87</v>
      </c>
    </row>
    <row r="311" spans="2:13" x14ac:dyDescent="0.35">
      <c r="B311" s="173" t="s">
        <v>115</v>
      </c>
      <c r="C311" s="146">
        <v>46037</v>
      </c>
      <c r="D311" s="148">
        <v>8272026</v>
      </c>
      <c r="E311" s="148">
        <v>66</v>
      </c>
      <c r="F311" s="149">
        <v>-250000</v>
      </c>
      <c r="G311" s="147" t="s">
        <v>116</v>
      </c>
      <c r="H311" s="148">
        <v>488</v>
      </c>
      <c r="I311" s="148" t="s">
        <v>123</v>
      </c>
      <c r="J311" s="147" t="s">
        <v>124</v>
      </c>
      <c r="K311" s="149">
        <f>+K310+Tabla6[[#This Row],[IMPORTE]]</f>
        <v>341048679.31000012</v>
      </c>
      <c r="L311" s="143" t="s">
        <v>649</v>
      </c>
      <c r="M311" s="174" t="s">
        <v>87</v>
      </c>
    </row>
    <row r="312" spans="2:13" x14ac:dyDescent="0.35">
      <c r="B312" s="173" t="s">
        <v>115</v>
      </c>
      <c r="C312" s="146">
        <v>46037</v>
      </c>
      <c r="D312" s="148">
        <v>8272074</v>
      </c>
      <c r="E312" s="148">
        <v>66</v>
      </c>
      <c r="F312" s="149">
        <v>-250000</v>
      </c>
      <c r="G312" s="147" t="s">
        <v>116</v>
      </c>
      <c r="H312" s="148">
        <v>488</v>
      </c>
      <c r="I312" s="148" t="s">
        <v>123</v>
      </c>
      <c r="J312" s="147" t="s">
        <v>124</v>
      </c>
      <c r="K312" s="149">
        <f>+K311+Tabla6[[#This Row],[IMPORTE]]</f>
        <v>340798679.31000012</v>
      </c>
      <c r="L312" s="143" t="s">
        <v>649</v>
      </c>
      <c r="M312" s="174" t="s">
        <v>87</v>
      </c>
    </row>
    <row r="313" spans="2:13" x14ac:dyDescent="0.35">
      <c r="B313" s="173" t="s">
        <v>115</v>
      </c>
      <c r="C313" s="146">
        <v>46037</v>
      </c>
      <c r="D313" s="148">
        <v>8272038</v>
      </c>
      <c r="E313" s="148">
        <v>66</v>
      </c>
      <c r="F313" s="149">
        <v>-250000</v>
      </c>
      <c r="G313" s="147" t="s">
        <v>116</v>
      </c>
      <c r="H313" s="148">
        <v>488</v>
      </c>
      <c r="I313" s="148" t="s">
        <v>123</v>
      </c>
      <c r="J313" s="147" t="s">
        <v>124</v>
      </c>
      <c r="K313" s="149">
        <f>+K312+Tabla6[[#This Row],[IMPORTE]]</f>
        <v>340548679.31000012</v>
      </c>
      <c r="L313" s="143" t="s">
        <v>649</v>
      </c>
      <c r="M313" s="174" t="s">
        <v>87</v>
      </c>
    </row>
    <row r="314" spans="2:13" x14ac:dyDescent="0.35">
      <c r="B314" s="173" t="s">
        <v>115</v>
      </c>
      <c r="C314" s="146">
        <v>46037</v>
      </c>
      <c r="D314" s="148">
        <v>8272077</v>
      </c>
      <c r="E314" s="148">
        <v>66</v>
      </c>
      <c r="F314" s="149">
        <v>-250000</v>
      </c>
      <c r="G314" s="147" t="s">
        <v>116</v>
      </c>
      <c r="H314" s="148">
        <v>488</v>
      </c>
      <c r="I314" s="148" t="s">
        <v>123</v>
      </c>
      <c r="J314" s="147" t="s">
        <v>124</v>
      </c>
      <c r="K314" s="149">
        <f>+K313+Tabla6[[#This Row],[IMPORTE]]</f>
        <v>340298679.31000012</v>
      </c>
      <c r="L314" s="143" t="s">
        <v>649</v>
      </c>
      <c r="M314" s="174" t="s">
        <v>87</v>
      </c>
    </row>
    <row r="315" spans="2:13" x14ac:dyDescent="0.35">
      <c r="B315" s="173" t="s">
        <v>115</v>
      </c>
      <c r="C315" s="146">
        <v>46037</v>
      </c>
      <c r="D315" s="148">
        <v>8272075</v>
      </c>
      <c r="E315" s="148">
        <v>66</v>
      </c>
      <c r="F315" s="149">
        <v>-250000</v>
      </c>
      <c r="G315" s="147" t="s">
        <v>116</v>
      </c>
      <c r="H315" s="148">
        <v>488</v>
      </c>
      <c r="I315" s="148" t="s">
        <v>123</v>
      </c>
      <c r="J315" s="147" t="s">
        <v>124</v>
      </c>
      <c r="K315" s="149">
        <f>+K314+Tabla6[[#This Row],[IMPORTE]]</f>
        <v>340048679.31000012</v>
      </c>
      <c r="L315" s="143" t="s">
        <v>649</v>
      </c>
      <c r="M315" s="174" t="s">
        <v>87</v>
      </c>
    </row>
    <row r="316" spans="2:13" x14ac:dyDescent="0.35">
      <c r="B316" s="173" t="s">
        <v>115</v>
      </c>
      <c r="C316" s="146">
        <v>46037</v>
      </c>
      <c r="D316" s="148">
        <v>8272099</v>
      </c>
      <c r="E316" s="148">
        <v>66</v>
      </c>
      <c r="F316" s="149">
        <v>-250000</v>
      </c>
      <c r="G316" s="147" t="s">
        <v>116</v>
      </c>
      <c r="H316" s="148">
        <v>488</v>
      </c>
      <c r="I316" s="148" t="s">
        <v>123</v>
      </c>
      <c r="J316" s="147" t="s">
        <v>124</v>
      </c>
      <c r="K316" s="149">
        <f>+K315+Tabla6[[#This Row],[IMPORTE]]</f>
        <v>339798679.31000012</v>
      </c>
      <c r="L316" s="143" t="s">
        <v>649</v>
      </c>
      <c r="M316" s="174" t="s">
        <v>87</v>
      </c>
    </row>
    <row r="317" spans="2:13" x14ac:dyDescent="0.35">
      <c r="B317" s="173" t="s">
        <v>115</v>
      </c>
      <c r="C317" s="146">
        <v>46037</v>
      </c>
      <c r="D317" s="148">
        <v>8272104</v>
      </c>
      <c r="E317" s="148">
        <v>66</v>
      </c>
      <c r="F317" s="149">
        <v>-250000</v>
      </c>
      <c r="G317" s="147" t="s">
        <v>116</v>
      </c>
      <c r="H317" s="148">
        <v>488</v>
      </c>
      <c r="I317" s="148" t="s">
        <v>123</v>
      </c>
      <c r="J317" s="147" t="s">
        <v>124</v>
      </c>
      <c r="K317" s="149">
        <f>+K316+Tabla6[[#This Row],[IMPORTE]]</f>
        <v>339548679.31000012</v>
      </c>
      <c r="L317" s="143" t="s">
        <v>649</v>
      </c>
      <c r="M317" s="174" t="s">
        <v>87</v>
      </c>
    </row>
    <row r="318" spans="2:13" x14ac:dyDescent="0.35">
      <c r="B318" s="173" t="s">
        <v>115</v>
      </c>
      <c r="C318" s="146">
        <v>46037</v>
      </c>
      <c r="D318" s="148">
        <v>8272039</v>
      </c>
      <c r="E318" s="148">
        <v>66</v>
      </c>
      <c r="F318" s="149">
        <v>-250000</v>
      </c>
      <c r="G318" s="147" t="s">
        <v>116</v>
      </c>
      <c r="H318" s="148">
        <v>488</v>
      </c>
      <c r="I318" s="148" t="s">
        <v>123</v>
      </c>
      <c r="J318" s="147" t="s">
        <v>124</v>
      </c>
      <c r="K318" s="149">
        <f>+K317+Tabla6[[#This Row],[IMPORTE]]</f>
        <v>339298679.31000012</v>
      </c>
      <c r="L318" s="143" t="s">
        <v>649</v>
      </c>
      <c r="M318" s="174" t="s">
        <v>87</v>
      </c>
    </row>
    <row r="319" spans="2:13" x14ac:dyDescent="0.35">
      <c r="B319" s="173" t="s">
        <v>115</v>
      </c>
      <c r="C319" s="146">
        <v>46037</v>
      </c>
      <c r="D319" s="148">
        <v>8272076</v>
      </c>
      <c r="E319" s="148">
        <v>66</v>
      </c>
      <c r="F319" s="149">
        <v>-250000</v>
      </c>
      <c r="G319" s="147" t="s">
        <v>116</v>
      </c>
      <c r="H319" s="148">
        <v>488</v>
      </c>
      <c r="I319" s="148" t="s">
        <v>123</v>
      </c>
      <c r="J319" s="147" t="s">
        <v>124</v>
      </c>
      <c r="K319" s="149">
        <f>+K318+Tabla6[[#This Row],[IMPORTE]]</f>
        <v>339048679.31000012</v>
      </c>
      <c r="L319" s="143" t="s">
        <v>649</v>
      </c>
      <c r="M319" s="174" t="s">
        <v>87</v>
      </c>
    </row>
    <row r="320" spans="2:13" x14ac:dyDescent="0.35">
      <c r="B320" s="173" t="s">
        <v>115</v>
      </c>
      <c r="C320" s="146">
        <v>46037</v>
      </c>
      <c r="D320" s="148">
        <v>8272002</v>
      </c>
      <c r="E320" s="148">
        <v>66</v>
      </c>
      <c r="F320" s="149">
        <v>-250000</v>
      </c>
      <c r="G320" s="147" t="s">
        <v>116</v>
      </c>
      <c r="H320" s="148">
        <v>488</v>
      </c>
      <c r="I320" s="148" t="s">
        <v>123</v>
      </c>
      <c r="J320" s="147" t="s">
        <v>124</v>
      </c>
      <c r="K320" s="149">
        <f>+K319+Tabla6[[#This Row],[IMPORTE]]</f>
        <v>338798679.31000012</v>
      </c>
      <c r="L320" s="143" t="s">
        <v>649</v>
      </c>
      <c r="M320" s="174" t="s">
        <v>87</v>
      </c>
    </row>
    <row r="321" spans="2:13" x14ac:dyDescent="0.35">
      <c r="B321" s="173" t="s">
        <v>115</v>
      </c>
      <c r="C321" s="146">
        <v>46037</v>
      </c>
      <c r="D321" s="148">
        <v>8272037</v>
      </c>
      <c r="E321" s="148">
        <v>66</v>
      </c>
      <c r="F321" s="149">
        <v>-250000</v>
      </c>
      <c r="G321" s="147" t="s">
        <v>116</v>
      </c>
      <c r="H321" s="148">
        <v>488</v>
      </c>
      <c r="I321" s="148" t="s">
        <v>123</v>
      </c>
      <c r="J321" s="147" t="s">
        <v>124</v>
      </c>
      <c r="K321" s="149">
        <f>+K320+Tabla6[[#This Row],[IMPORTE]]</f>
        <v>338548679.31000012</v>
      </c>
      <c r="L321" s="143" t="s">
        <v>649</v>
      </c>
      <c r="M321" s="174" t="s">
        <v>87</v>
      </c>
    </row>
    <row r="322" spans="2:13" x14ac:dyDescent="0.35">
      <c r="B322" s="173" t="s">
        <v>115</v>
      </c>
      <c r="C322" s="146">
        <v>46037</v>
      </c>
      <c r="D322" s="148">
        <v>8272056</v>
      </c>
      <c r="E322" s="148">
        <v>66</v>
      </c>
      <c r="F322" s="149">
        <v>-250000</v>
      </c>
      <c r="G322" s="147" t="s">
        <v>116</v>
      </c>
      <c r="H322" s="148">
        <v>488</v>
      </c>
      <c r="I322" s="148" t="s">
        <v>123</v>
      </c>
      <c r="J322" s="147" t="s">
        <v>124</v>
      </c>
      <c r="K322" s="149">
        <f>+K321+Tabla6[[#This Row],[IMPORTE]]</f>
        <v>338298679.31000012</v>
      </c>
      <c r="L322" s="143" t="s">
        <v>649</v>
      </c>
      <c r="M322" s="174" t="s">
        <v>87</v>
      </c>
    </row>
    <row r="323" spans="2:13" x14ac:dyDescent="0.35">
      <c r="B323" s="173" t="s">
        <v>115</v>
      </c>
      <c r="C323" s="146">
        <v>46037</v>
      </c>
      <c r="D323" s="148">
        <v>8272060</v>
      </c>
      <c r="E323" s="148">
        <v>66</v>
      </c>
      <c r="F323" s="149">
        <v>-250000</v>
      </c>
      <c r="G323" s="147" t="s">
        <v>116</v>
      </c>
      <c r="H323" s="148">
        <v>488</v>
      </c>
      <c r="I323" s="148" t="s">
        <v>123</v>
      </c>
      <c r="J323" s="147" t="s">
        <v>124</v>
      </c>
      <c r="K323" s="149">
        <f>+K322+Tabla6[[#This Row],[IMPORTE]]</f>
        <v>338048679.31000012</v>
      </c>
      <c r="L323" s="143" t="s">
        <v>649</v>
      </c>
      <c r="M323" s="174" t="s">
        <v>87</v>
      </c>
    </row>
    <row r="324" spans="2:13" x14ac:dyDescent="0.35">
      <c r="B324" s="173" t="s">
        <v>115</v>
      </c>
      <c r="C324" s="146">
        <v>46037</v>
      </c>
      <c r="D324" s="148">
        <v>8272054</v>
      </c>
      <c r="E324" s="148">
        <v>66</v>
      </c>
      <c r="F324" s="149">
        <v>-250000</v>
      </c>
      <c r="G324" s="147" t="s">
        <v>116</v>
      </c>
      <c r="H324" s="148">
        <v>488</v>
      </c>
      <c r="I324" s="148" t="s">
        <v>123</v>
      </c>
      <c r="J324" s="147" t="s">
        <v>124</v>
      </c>
      <c r="K324" s="149">
        <f>+K323+Tabla6[[#This Row],[IMPORTE]]</f>
        <v>337798679.31000012</v>
      </c>
      <c r="L324" s="143" t="s">
        <v>649</v>
      </c>
      <c r="M324" s="174" t="s">
        <v>87</v>
      </c>
    </row>
    <row r="325" spans="2:13" x14ac:dyDescent="0.35">
      <c r="B325" s="173" t="s">
        <v>115</v>
      </c>
      <c r="C325" s="146">
        <v>46037</v>
      </c>
      <c r="D325" s="148">
        <v>8272089</v>
      </c>
      <c r="E325" s="148">
        <v>66</v>
      </c>
      <c r="F325" s="149">
        <v>-250000</v>
      </c>
      <c r="G325" s="147" t="s">
        <v>116</v>
      </c>
      <c r="H325" s="148">
        <v>488</v>
      </c>
      <c r="I325" s="148" t="s">
        <v>123</v>
      </c>
      <c r="J325" s="147" t="s">
        <v>124</v>
      </c>
      <c r="K325" s="149">
        <f>+K324+Tabla6[[#This Row],[IMPORTE]]</f>
        <v>337548679.31000012</v>
      </c>
      <c r="L325" s="143" t="s">
        <v>649</v>
      </c>
      <c r="M325" s="174" t="s">
        <v>87</v>
      </c>
    </row>
    <row r="326" spans="2:13" x14ac:dyDescent="0.35">
      <c r="B326" s="173" t="s">
        <v>115</v>
      </c>
      <c r="C326" s="146">
        <v>46037</v>
      </c>
      <c r="D326" s="148">
        <v>8272066</v>
      </c>
      <c r="E326" s="148">
        <v>66</v>
      </c>
      <c r="F326" s="149">
        <v>-250000</v>
      </c>
      <c r="G326" s="147" t="s">
        <v>116</v>
      </c>
      <c r="H326" s="148">
        <v>488</v>
      </c>
      <c r="I326" s="148" t="s">
        <v>123</v>
      </c>
      <c r="J326" s="147" t="s">
        <v>124</v>
      </c>
      <c r="K326" s="149">
        <f>+K325+Tabla6[[#This Row],[IMPORTE]]</f>
        <v>337298679.31000012</v>
      </c>
      <c r="L326" s="143" t="s">
        <v>649</v>
      </c>
      <c r="M326" s="174" t="s">
        <v>87</v>
      </c>
    </row>
    <row r="327" spans="2:13" x14ac:dyDescent="0.35">
      <c r="B327" s="173" t="s">
        <v>115</v>
      </c>
      <c r="C327" s="146">
        <v>46037</v>
      </c>
      <c r="D327" s="148">
        <v>8272015</v>
      </c>
      <c r="E327" s="148">
        <v>66</v>
      </c>
      <c r="F327" s="149">
        <v>-250000</v>
      </c>
      <c r="G327" s="147" t="s">
        <v>116</v>
      </c>
      <c r="H327" s="148">
        <v>488</v>
      </c>
      <c r="I327" s="148" t="s">
        <v>123</v>
      </c>
      <c r="J327" s="147" t="s">
        <v>124</v>
      </c>
      <c r="K327" s="149">
        <f>+K326+Tabla6[[#This Row],[IMPORTE]]</f>
        <v>337048679.31000012</v>
      </c>
      <c r="L327" s="143" t="s">
        <v>649</v>
      </c>
      <c r="M327" s="174" t="s">
        <v>87</v>
      </c>
    </row>
    <row r="328" spans="2:13" x14ac:dyDescent="0.35">
      <c r="B328" s="173" t="s">
        <v>115</v>
      </c>
      <c r="C328" s="146">
        <v>46037</v>
      </c>
      <c r="D328" s="148">
        <v>8272062</v>
      </c>
      <c r="E328" s="148">
        <v>66</v>
      </c>
      <c r="F328" s="149">
        <v>-250000</v>
      </c>
      <c r="G328" s="147" t="s">
        <v>116</v>
      </c>
      <c r="H328" s="148">
        <v>488</v>
      </c>
      <c r="I328" s="148" t="s">
        <v>123</v>
      </c>
      <c r="J328" s="147" t="s">
        <v>124</v>
      </c>
      <c r="K328" s="149">
        <f>+K327+Tabla6[[#This Row],[IMPORTE]]</f>
        <v>336798679.31000012</v>
      </c>
      <c r="L328" s="143" t="s">
        <v>649</v>
      </c>
      <c r="M328" s="174" t="s">
        <v>87</v>
      </c>
    </row>
    <row r="329" spans="2:13" x14ac:dyDescent="0.35">
      <c r="B329" s="173" t="s">
        <v>115</v>
      </c>
      <c r="C329" s="146">
        <v>46037</v>
      </c>
      <c r="D329" s="148">
        <v>8272078</v>
      </c>
      <c r="E329" s="148">
        <v>66</v>
      </c>
      <c r="F329" s="149">
        <v>-250000</v>
      </c>
      <c r="G329" s="147" t="s">
        <v>116</v>
      </c>
      <c r="H329" s="148">
        <v>488</v>
      </c>
      <c r="I329" s="148" t="s">
        <v>123</v>
      </c>
      <c r="J329" s="147" t="s">
        <v>124</v>
      </c>
      <c r="K329" s="149">
        <f>+K328+Tabla6[[#This Row],[IMPORTE]]</f>
        <v>336548679.31000012</v>
      </c>
      <c r="L329" s="143" t="s">
        <v>649</v>
      </c>
      <c r="M329" s="174" t="s">
        <v>87</v>
      </c>
    </row>
    <row r="330" spans="2:13" x14ac:dyDescent="0.35">
      <c r="B330" s="173" t="s">
        <v>115</v>
      </c>
      <c r="C330" s="146">
        <v>46037</v>
      </c>
      <c r="D330" s="148">
        <v>8272021</v>
      </c>
      <c r="E330" s="148">
        <v>66</v>
      </c>
      <c r="F330" s="149">
        <v>-250000</v>
      </c>
      <c r="G330" s="147" t="s">
        <v>116</v>
      </c>
      <c r="H330" s="148">
        <v>488</v>
      </c>
      <c r="I330" s="148" t="s">
        <v>123</v>
      </c>
      <c r="J330" s="147" t="s">
        <v>124</v>
      </c>
      <c r="K330" s="149">
        <f>+K329+Tabla6[[#This Row],[IMPORTE]]</f>
        <v>336298679.31000012</v>
      </c>
      <c r="L330" s="143" t="s">
        <v>649</v>
      </c>
      <c r="M330" s="174" t="s">
        <v>87</v>
      </c>
    </row>
    <row r="331" spans="2:13" x14ac:dyDescent="0.35">
      <c r="B331" s="173" t="s">
        <v>115</v>
      </c>
      <c r="C331" s="146">
        <v>46037</v>
      </c>
      <c r="D331" s="148">
        <v>8272106</v>
      </c>
      <c r="E331" s="148">
        <v>66</v>
      </c>
      <c r="F331" s="149">
        <v>-250000</v>
      </c>
      <c r="G331" s="147" t="s">
        <v>116</v>
      </c>
      <c r="H331" s="148">
        <v>488</v>
      </c>
      <c r="I331" s="148" t="s">
        <v>123</v>
      </c>
      <c r="J331" s="147" t="s">
        <v>124</v>
      </c>
      <c r="K331" s="149">
        <f>+K330+Tabla6[[#This Row],[IMPORTE]]</f>
        <v>336048679.31000012</v>
      </c>
      <c r="L331" s="143" t="s">
        <v>649</v>
      </c>
      <c r="M331" s="174" t="s">
        <v>87</v>
      </c>
    </row>
    <row r="332" spans="2:13" x14ac:dyDescent="0.35">
      <c r="B332" s="173" t="s">
        <v>115</v>
      </c>
      <c r="C332" s="146">
        <v>46037</v>
      </c>
      <c r="D332" s="148">
        <v>8272072</v>
      </c>
      <c r="E332" s="148">
        <v>66</v>
      </c>
      <c r="F332" s="149">
        <v>-250000</v>
      </c>
      <c r="G332" s="147" t="s">
        <v>116</v>
      </c>
      <c r="H332" s="148">
        <v>488</v>
      </c>
      <c r="I332" s="148" t="s">
        <v>123</v>
      </c>
      <c r="J332" s="147" t="s">
        <v>124</v>
      </c>
      <c r="K332" s="149">
        <f>+K331+Tabla6[[#This Row],[IMPORTE]]</f>
        <v>335798679.31000012</v>
      </c>
      <c r="L332" s="143" t="s">
        <v>649</v>
      </c>
      <c r="M332" s="174" t="s">
        <v>87</v>
      </c>
    </row>
    <row r="333" spans="2:13" x14ac:dyDescent="0.35">
      <c r="B333" s="173" t="s">
        <v>115</v>
      </c>
      <c r="C333" s="146">
        <v>46037</v>
      </c>
      <c r="D333" s="148">
        <v>8272101</v>
      </c>
      <c r="E333" s="148">
        <v>66</v>
      </c>
      <c r="F333" s="149">
        <v>-250000</v>
      </c>
      <c r="G333" s="147" t="s">
        <v>116</v>
      </c>
      <c r="H333" s="148">
        <v>488</v>
      </c>
      <c r="I333" s="148" t="s">
        <v>123</v>
      </c>
      <c r="J333" s="147" t="s">
        <v>124</v>
      </c>
      <c r="K333" s="149">
        <f>+K332+Tabla6[[#This Row],[IMPORTE]]</f>
        <v>335548679.31000012</v>
      </c>
      <c r="L333" s="143" t="s">
        <v>649</v>
      </c>
      <c r="M333" s="174" t="s">
        <v>87</v>
      </c>
    </row>
    <row r="334" spans="2:13" x14ac:dyDescent="0.35">
      <c r="B334" s="173" t="s">
        <v>115</v>
      </c>
      <c r="C334" s="146">
        <v>46037</v>
      </c>
      <c r="D334" s="148">
        <v>8272064</v>
      </c>
      <c r="E334" s="148">
        <v>66</v>
      </c>
      <c r="F334" s="149">
        <v>-250000</v>
      </c>
      <c r="G334" s="147" t="s">
        <v>116</v>
      </c>
      <c r="H334" s="148">
        <v>488</v>
      </c>
      <c r="I334" s="148" t="s">
        <v>123</v>
      </c>
      <c r="J334" s="147" t="s">
        <v>124</v>
      </c>
      <c r="K334" s="149">
        <f>+K333+Tabla6[[#This Row],[IMPORTE]]</f>
        <v>335298679.31000012</v>
      </c>
      <c r="L334" s="143" t="s">
        <v>649</v>
      </c>
      <c r="M334" s="174" t="s">
        <v>87</v>
      </c>
    </row>
    <row r="335" spans="2:13" x14ac:dyDescent="0.35">
      <c r="B335" s="173" t="s">
        <v>115</v>
      </c>
      <c r="C335" s="146">
        <v>46037</v>
      </c>
      <c r="D335" s="148">
        <v>8272050</v>
      </c>
      <c r="E335" s="148">
        <v>66</v>
      </c>
      <c r="F335" s="149">
        <v>-250000</v>
      </c>
      <c r="G335" s="147" t="s">
        <v>116</v>
      </c>
      <c r="H335" s="148">
        <v>488</v>
      </c>
      <c r="I335" s="148" t="s">
        <v>123</v>
      </c>
      <c r="J335" s="147" t="s">
        <v>124</v>
      </c>
      <c r="K335" s="149">
        <f>+K334+Tabla6[[#This Row],[IMPORTE]]</f>
        <v>335048679.31000012</v>
      </c>
      <c r="L335" s="143" t="s">
        <v>649</v>
      </c>
      <c r="M335" s="174" t="s">
        <v>87</v>
      </c>
    </row>
    <row r="336" spans="2:13" x14ac:dyDescent="0.35">
      <c r="B336" s="173" t="s">
        <v>115</v>
      </c>
      <c r="C336" s="146">
        <v>46037</v>
      </c>
      <c r="D336" s="148">
        <v>8272073</v>
      </c>
      <c r="E336" s="148">
        <v>66</v>
      </c>
      <c r="F336" s="149">
        <v>-250000</v>
      </c>
      <c r="G336" s="147" t="s">
        <v>116</v>
      </c>
      <c r="H336" s="148">
        <v>488</v>
      </c>
      <c r="I336" s="148" t="s">
        <v>123</v>
      </c>
      <c r="J336" s="147" t="s">
        <v>124</v>
      </c>
      <c r="K336" s="149">
        <f>+K335+Tabla6[[#This Row],[IMPORTE]]</f>
        <v>334798679.31000012</v>
      </c>
      <c r="L336" s="143" t="s">
        <v>649</v>
      </c>
      <c r="M336" s="174" t="s">
        <v>87</v>
      </c>
    </row>
    <row r="337" spans="2:13" x14ac:dyDescent="0.35">
      <c r="B337" s="173" t="s">
        <v>115</v>
      </c>
      <c r="C337" s="146">
        <v>46037</v>
      </c>
      <c r="D337" s="148">
        <v>8272071</v>
      </c>
      <c r="E337" s="148">
        <v>66</v>
      </c>
      <c r="F337" s="149">
        <v>-250000</v>
      </c>
      <c r="G337" s="147" t="s">
        <v>116</v>
      </c>
      <c r="H337" s="148">
        <v>488</v>
      </c>
      <c r="I337" s="148" t="s">
        <v>123</v>
      </c>
      <c r="J337" s="147" t="s">
        <v>124</v>
      </c>
      <c r="K337" s="149">
        <f>+K336+Tabla6[[#This Row],[IMPORTE]]</f>
        <v>334548679.31000012</v>
      </c>
      <c r="L337" s="143" t="s">
        <v>649</v>
      </c>
      <c r="M337" s="174" t="s">
        <v>87</v>
      </c>
    </row>
    <row r="338" spans="2:13" x14ac:dyDescent="0.35">
      <c r="B338" s="173" t="s">
        <v>115</v>
      </c>
      <c r="C338" s="146">
        <v>46037</v>
      </c>
      <c r="D338" s="148">
        <v>8272001</v>
      </c>
      <c r="E338" s="148">
        <v>66</v>
      </c>
      <c r="F338" s="149">
        <v>-250000</v>
      </c>
      <c r="G338" s="147" t="s">
        <v>116</v>
      </c>
      <c r="H338" s="148">
        <v>488</v>
      </c>
      <c r="I338" s="148" t="s">
        <v>123</v>
      </c>
      <c r="J338" s="147" t="s">
        <v>124</v>
      </c>
      <c r="K338" s="149">
        <f>+K337+Tabla6[[#This Row],[IMPORTE]]</f>
        <v>334298679.31000012</v>
      </c>
      <c r="L338" s="143" t="s">
        <v>649</v>
      </c>
      <c r="M338" s="174" t="s">
        <v>87</v>
      </c>
    </row>
    <row r="339" spans="2:13" x14ac:dyDescent="0.35">
      <c r="B339" s="173" t="s">
        <v>115</v>
      </c>
      <c r="C339" s="146">
        <v>46037</v>
      </c>
      <c r="D339" s="148">
        <v>8272016</v>
      </c>
      <c r="E339" s="148">
        <v>66</v>
      </c>
      <c r="F339" s="149">
        <v>-250000</v>
      </c>
      <c r="G339" s="147" t="s">
        <v>116</v>
      </c>
      <c r="H339" s="148">
        <v>488</v>
      </c>
      <c r="I339" s="148" t="s">
        <v>123</v>
      </c>
      <c r="J339" s="147" t="s">
        <v>124</v>
      </c>
      <c r="K339" s="149">
        <f>+K338+Tabla6[[#This Row],[IMPORTE]]</f>
        <v>334048679.31000012</v>
      </c>
      <c r="L339" s="143" t="s">
        <v>649</v>
      </c>
      <c r="M339" s="174" t="s">
        <v>87</v>
      </c>
    </row>
    <row r="340" spans="2:13" x14ac:dyDescent="0.35">
      <c r="B340" s="173" t="s">
        <v>115</v>
      </c>
      <c r="C340" s="146">
        <v>46037</v>
      </c>
      <c r="D340" s="148">
        <v>8272088</v>
      </c>
      <c r="E340" s="148">
        <v>66</v>
      </c>
      <c r="F340" s="149">
        <v>-250000</v>
      </c>
      <c r="G340" s="147" t="s">
        <v>116</v>
      </c>
      <c r="H340" s="148">
        <v>488</v>
      </c>
      <c r="I340" s="148" t="s">
        <v>123</v>
      </c>
      <c r="J340" s="147" t="s">
        <v>124</v>
      </c>
      <c r="K340" s="149">
        <f>+K339+Tabla6[[#This Row],[IMPORTE]]</f>
        <v>333798679.31000012</v>
      </c>
      <c r="L340" s="143" t="s">
        <v>649</v>
      </c>
      <c r="M340" s="174" t="s">
        <v>87</v>
      </c>
    </row>
    <row r="341" spans="2:13" x14ac:dyDescent="0.35">
      <c r="B341" s="173" t="s">
        <v>115</v>
      </c>
      <c r="C341" s="146">
        <v>46037</v>
      </c>
      <c r="D341" s="148">
        <v>8272086</v>
      </c>
      <c r="E341" s="148">
        <v>66</v>
      </c>
      <c r="F341" s="149">
        <v>-250000</v>
      </c>
      <c r="G341" s="147" t="s">
        <v>116</v>
      </c>
      <c r="H341" s="148">
        <v>488</v>
      </c>
      <c r="I341" s="148" t="s">
        <v>123</v>
      </c>
      <c r="J341" s="147" t="s">
        <v>124</v>
      </c>
      <c r="K341" s="149">
        <f>+K340+Tabla6[[#This Row],[IMPORTE]]</f>
        <v>333548679.31000012</v>
      </c>
      <c r="L341" s="143" t="s">
        <v>649</v>
      </c>
      <c r="M341" s="174" t="s">
        <v>87</v>
      </c>
    </row>
    <row r="342" spans="2:13" x14ac:dyDescent="0.35">
      <c r="B342" s="173" t="s">
        <v>115</v>
      </c>
      <c r="C342" s="146">
        <v>46037</v>
      </c>
      <c r="D342" s="148">
        <v>8189835</v>
      </c>
      <c r="E342" s="148">
        <v>66</v>
      </c>
      <c r="F342" s="149">
        <v>-234720</v>
      </c>
      <c r="G342" s="147" t="s">
        <v>116</v>
      </c>
      <c r="H342" s="148">
        <v>488</v>
      </c>
      <c r="I342" s="148" t="s">
        <v>123</v>
      </c>
      <c r="J342" s="147" t="s">
        <v>124</v>
      </c>
      <c r="K342" s="149">
        <f>+K341+Tabla6[[#This Row],[IMPORTE]]</f>
        <v>333313959.31000012</v>
      </c>
      <c r="L342" s="143" t="s">
        <v>644</v>
      </c>
      <c r="M342" s="174" t="s">
        <v>1505</v>
      </c>
    </row>
    <row r="343" spans="2:13" x14ac:dyDescent="0.35">
      <c r="B343" s="173" t="s">
        <v>115</v>
      </c>
      <c r="C343" s="146">
        <v>46037</v>
      </c>
      <c r="D343" s="148">
        <v>8189836</v>
      </c>
      <c r="E343" s="148">
        <v>66</v>
      </c>
      <c r="F343" s="149">
        <v>-159513.64000000001</v>
      </c>
      <c r="G343" s="147" t="s">
        <v>116</v>
      </c>
      <c r="H343" s="148">
        <v>488</v>
      </c>
      <c r="I343" s="148" t="s">
        <v>123</v>
      </c>
      <c r="J343" s="147" t="s">
        <v>124</v>
      </c>
      <c r="K343" s="149">
        <f>+K342+Tabla6[[#This Row],[IMPORTE]]</f>
        <v>333154445.67000014</v>
      </c>
      <c r="L343" s="143" t="s">
        <v>642</v>
      </c>
      <c r="M343" s="174" t="s">
        <v>1505</v>
      </c>
    </row>
    <row r="344" spans="2:13" x14ac:dyDescent="0.35">
      <c r="B344" s="173" t="s">
        <v>115</v>
      </c>
      <c r="C344" s="146">
        <v>46037</v>
      </c>
      <c r="D344" s="148">
        <v>8272105</v>
      </c>
      <c r="E344" s="148">
        <v>66</v>
      </c>
      <c r="F344" s="149">
        <v>-125000</v>
      </c>
      <c r="G344" s="147" t="s">
        <v>116</v>
      </c>
      <c r="H344" s="148">
        <v>487</v>
      </c>
      <c r="I344" s="148" t="s">
        <v>123</v>
      </c>
      <c r="J344" s="147" t="s">
        <v>124</v>
      </c>
      <c r="K344" s="149">
        <f>+K343+Tabla6[[#This Row],[IMPORTE]]</f>
        <v>333029445.67000014</v>
      </c>
      <c r="L344" s="143" t="s">
        <v>649</v>
      </c>
      <c r="M344" s="174" t="s">
        <v>87</v>
      </c>
    </row>
    <row r="345" spans="2:13" x14ac:dyDescent="0.35">
      <c r="B345" s="173" t="s">
        <v>115</v>
      </c>
      <c r="C345" s="146">
        <v>46037</v>
      </c>
      <c r="D345" s="148">
        <v>8272082</v>
      </c>
      <c r="E345" s="148">
        <v>66</v>
      </c>
      <c r="F345" s="149">
        <v>-125000</v>
      </c>
      <c r="G345" s="147" t="s">
        <v>116</v>
      </c>
      <c r="H345" s="148">
        <v>488</v>
      </c>
      <c r="I345" s="148" t="s">
        <v>123</v>
      </c>
      <c r="J345" s="147" t="s">
        <v>124</v>
      </c>
      <c r="K345" s="149">
        <f>+K344+Tabla6[[#This Row],[IMPORTE]]</f>
        <v>332904445.67000014</v>
      </c>
      <c r="L345" s="143" t="s">
        <v>649</v>
      </c>
      <c r="M345" s="174" t="s">
        <v>87</v>
      </c>
    </row>
    <row r="346" spans="2:13" x14ac:dyDescent="0.35">
      <c r="B346" s="173" t="s">
        <v>115</v>
      </c>
      <c r="C346" s="146">
        <v>46037</v>
      </c>
      <c r="D346" s="148">
        <v>8272034</v>
      </c>
      <c r="E346" s="148">
        <v>66</v>
      </c>
      <c r="F346" s="149">
        <v>-125000</v>
      </c>
      <c r="G346" s="147" t="s">
        <v>116</v>
      </c>
      <c r="H346" s="148">
        <v>488</v>
      </c>
      <c r="I346" s="148" t="s">
        <v>123</v>
      </c>
      <c r="J346" s="147" t="s">
        <v>124</v>
      </c>
      <c r="K346" s="149">
        <f>+K345+Tabla6[[#This Row],[IMPORTE]]</f>
        <v>332779445.67000014</v>
      </c>
      <c r="L346" s="143" t="s">
        <v>649</v>
      </c>
      <c r="M346" s="174" t="s">
        <v>87</v>
      </c>
    </row>
    <row r="347" spans="2:13" x14ac:dyDescent="0.35">
      <c r="B347" s="173" t="s">
        <v>115</v>
      </c>
      <c r="C347" s="146">
        <v>46037</v>
      </c>
      <c r="D347" s="148">
        <v>8272035</v>
      </c>
      <c r="E347" s="148">
        <v>66</v>
      </c>
      <c r="F347" s="149">
        <v>-125000</v>
      </c>
      <c r="G347" s="147" t="s">
        <v>116</v>
      </c>
      <c r="H347" s="148">
        <v>488</v>
      </c>
      <c r="I347" s="148" t="s">
        <v>123</v>
      </c>
      <c r="J347" s="147" t="s">
        <v>124</v>
      </c>
      <c r="K347" s="149">
        <f>+K346+Tabla6[[#This Row],[IMPORTE]]</f>
        <v>332654445.67000014</v>
      </c>
      <c r="L347" s="143" t="s">
        <v>649</v>
      </c>
      <c r="M347" s="174" t="s">
        <v>87</v>
      </c>
    </row>
    <row r="348" spans="2:13" x14ac:dyDescent="0.35">
      <c r="B348" s="173" t="s">
        <v>115</v>
      </c>
      <c r="C348" s="146">
        <v>46037</v>
      </c>
      <c r="D348" s="148">
        <v>8272032</v>
      </c>
      <c r="E348" s="148">
        <v>66</v>
      </c>
      <c r="F348" s="149">
        <v>-125000</v>
      </c>
      <c r="G348" s="147" t="s">
        <v>116</v>
      </c>
      <c r="H348" s="148">
        <v>488</v>
      </c>
      <c r="I348" s="148" t="s">
        <v>123</v>
      </c>
      <c r="J348" s="147" t="s">
        <v>124</v>
      </c>
      <c r="K348" s="149">
        <f>+K347+Tabla6[[#This Row],[IMPORTE]]</f>
        <v>332529445.67000014</v>
      </c>
      <c r="L348" s="143" t="s">
        <v>649</v>
      </c>
      <c r="M348" s="174" t="s">
        <v>87</v>
      </c>
    </row>
    <row r="349" spans="2:13" x14ac:dyDescent="0.35">
      <c r="B349" s="173" t="s">
        <v>115</v>
      </c>
      <c r="C349" s="146">
        <v>46037</v>
      </c>
      <c r="D349" s="148">
        <v>8272061</v>
      </c>
      <c r="E349" s="148">
        <v>66</v>
      </c>
      <c r="F349" s="149">
        <v>-125000</v>
      </c>
      <c r="G349" s="147" t="s">
        <v>116</v>
      </c>
      <c r="H349" s="148">
        <v>488</v>
      </c>
      <c r="I349" s="148" t="s">
        <v>123</v>
      </c>
      <c r="J349" s="147" t="s">
        <v>124</v>
      </c>
      <c r="K349" s="149">
        <f>+K348+Tabla6[[#This Row],[IMPORTE]]</f>
        <v>332404445.67000014</v>
      </c>
      <c r="L349" s="143" t="s">
        <v>649</v>
      </c>
      <c r="M349" s="174" t="s">
        <v>87</v>
      </c>
    </row>
    <row r="350" spans="2:13" x14ac:dyDescent="0.35">
      <c r="B350" s="173" t="s">
        <v>115</v>
      </c>
      <c r="C350" s="146">
        <v>46037</v>
      </c>
      <c r="D350" s="148">
        <v>8272085</v>
      </c>
      <c r="E350" s="148">
        <v>66</v>
      </c>
      <c r="F350" s="149">
        <v>-125000</v>
      </c>
      <c r="G350" s="147" t="s">
        <v>116</v>
      </c>
      <c r="H350" s="148">
        <v>488</v>
      </c>
      <c r="I350" s="148" t="s">
        <v>123</v>
      </c>
      <c r="J350" s="147" t="s">
        <v>124</v>
      </c>
      <c r="K350" s="149">
        <f>+K349+Tabla6[[#This Row],[IMPORTE]]</f>
        <v>332279445.67000014</v>
      </c>
      <c r="L350" s="143" t="s">
        <v>649</v>
      </c>
      <c r="M350" s="174" t="s">
        <v>87</v>
      </c>
    </row>
    <row r="351" spans="2:13" x14ac:dyDescent="0.35">
      <c r="B351" s="173" t="s">
        <v>115</v>
      </c>
      <c r="C351" s="146">
        <v>46037</v>
      </c>
      <c r="D351" s="148">
        <v>8272023</v>
      </c>
      <c r="E351" s="148">
        <v>66</v>
      </c>
      <c r="F351" s="149">
        <v>-125000</v>
      </c>
      <c r="G351" s="147" t="s">
        <v>116</v>
      </c>
      <c r="H351" s="148">
        <v>488</v>
      </c>
      <c r="I351" s="148" t="s">
        <v>123</v>
      </c>
      <c r="J351" s="147" t="s">
        <v>124</v>
      </c>
      <c r="K351" s="149">
        <f>+K350+Tabla6[[#This Row],[IMPORTE]]</f>
        <v>332154445.67000014</v>
      </c>
      <c r="L351" s="143" t="s">
        <v>649</v>
      </c>
      <c r="M351" s="174" t="s">
        <v>87</v>
      </c>
    </row>
    <row r="352" spans="2:13" x14ac:dyDescent="0.35">
      <c r="B352" s="173" t="s">
        <v>115</v>
      </c>
      <c r="C352" s="146">
        <v>46037</v>
      </c>
      <c r="D352" s="148">
        <v>8272081</v>
      </c>
      <c r="E352" s="148">
        <v>66</v>
      </c>
      <c r="F352" s="149">
        <v>-125000</v>
      </c>
      <c r="G352" s="147" t="s">
        <v>116</v>
      </c>
      <c r="H352" s="148">
        <v>488</v>
      </c>
      <c r="I352" s="148" t="s">
        <v>123</v>
      </c>
      <c r="J352" s="147" t="s">
        <v>124</v>
      </c>
      <c r="K352" s="149">
        <f>+K351+Tabla6[[#This Row],[IMPORTE]]</f>
        <v>332029445.67000014</v>
      </c>
      <c r="L352" s="143" t="s">
        <v>649</v>
      </c>
      <c r="M352" s="174" t="s">
        <v>87</v>
      </c>
    </row>
    <row r="353" spans="2:13" x14ac:dyDescent="0.35">
      <c r="B353" s="173" t="s">
        <v>115</v>
      </c>
      <c r="C353" s="146">
        <v>46037</v>
      </c>
      <c r="D353" s="148">
        <v>8272043</v>
      </c>
      <c r="E353" s="148">
        <v>66</v>
      </c>
      <c r="F353" s="149">
        <v>-125000</v>
      </c>
      <c r="G353" s="147" t="s">
        <v>116</v>
      </c>
      <c r="H353" s="148">
        <v>488</v>
      </c>
      <c r="I353" s="148" t="s">
        <v>123</v>
      </c>
      <c r="J353" s="147" t="s">
        <v>124</v>
      </c>
      <c r="K353" s="149">
        <f>+K352+Tabla6[[#This Row],[IMPORTE]]</f>
        <v>331904445.67000014</v>
      </c>
      <c r="L353" s="143" t="s">
        <v>649</v>
      </c>
      <c r="M353" s="174" t="s">
        <v>87</v>
      </c>
    </row>
    <row r="354" spans="2:13" x14ac:dyDescent="0.35">
      <c r="B354" s="173" t="s">
        <v>115</v>
      </c>
      <c r="C354" s="146">
        <v>46037</v>
      </c>
      <c r="D354" s="148">
        <v>8272041</v>
      </c>
      <c r="E354" s="148">
        <v>66</v>
      </c>
      <c r="F354" s="149">
        <v>-125000</v>
      </c>
      <c r="G354" s="147" t="s">
        <v>116</v>
      </c>
      <c r="H354" s="148">
        <v>488</v>
      </c>
      <c r="I354" s="148" t="s">
        <v>123</v>
      </c>
      <c r="J354" s="147" t="s">
        <v>124</v>
      </c>
      <c r="K354" s="149">
        <f>+K353+Tabla6[[#This Row],[IMPORTE]]</f>
        <v>331779445.67000014</v>
      </c>
      <c r="L354" s="143" t="s">
        <v>649</v>
      </c>
      <c r="M354" s="174" t="s">
        <v>87</v>
      </c>
    </row>
    <row r="355" spans="2:13" x14ac:dyDescent="0.35">
      <c r="B355" s="173" t="s">
        <v>115</v>
      </c>
      <c r="C355" s="146">
        <v>46037</v>
      </c>
      <c r="D355" s="148">
        <v>8272019</v>
      </c>
      <c r="E355" s="148">
        <v>66</v>
      </c>
      <c r="F355" s="149">
        <v>-125000</v>
      </c>
      <c r="G355" s="147" t="s">
        <v>116</v>
      </c>
      <c r="H355" s="148">
        <v>488</v>
      </c>
      <c r="I355" s="148" t="s">
        <v>123</v>
      </c>
      <c r="J355" s="147" t="s">
        <v>124</v>
      </c>
      <c r="K355" s="149">
        <f>+K354+Tabla6[[#This Row],[IMPORTE]]</f>
        <v>331654445.67000014</v>
      </c>
      <c r="L355" s="143" t="s">
        <v>649</v>
      </c>
      <c r="M355" s="174" t="s">
        <v>87</v>
      </c>
    </row>
    <row r="356" spans="2:13" x14ac:dyDescent="0.35">
      <c r="B356" s="173" t="s">
        <v>115</v>
      </c>
      <c r="C356" s="146">
        <v>46037</v>
      </c>
      <c r="D356" s="148">
        <v>8272095</v>
      </c>
      <c r="E356" s="148">
        <v>66</v>
      </c>
      <c r="F356" s="149">
        <v>-125000</v>
      </c>
      <c r="G356" s="147" t="s">
        <v>116</v>
      </c>
      <c r="H356" s="148">
        <v>488</v>
      </c>
      <c r="I356" s="148" t="s">
        <v>123</v>
      </c>
      <c r="J356" s="147" t="s">
        <v>124</v>
      </c>
      <c r="K356" s="149">
        <f>+K355+Tabla6[[#This Row],[IMPORTE]]</f>
        <v>331529445.67000014</v>
      </c>
      <c r="L356" s="143" t="s">
        <v>649</v>
      </c>
      <c r="M356" s="174" t="s">
        <v>87</v>
      </c>
    </row>
    <row r="357" spans="2:13" x14ac:dyDescent="0.35">
      <c r="B357" s="173" t="s">
        <v>115</v>
      </c>
      <c r="C357" s="146">
        <v>46037</v>
      </c>
      <c r="D357" s="148">
        <v>8272057</v>
      </c>
      <c r="E357" s="148">
        <v>66</v>
      </c>
      <c r="F357" s="149">
        <v>-125000</v>
      </c>
      <c r="G357" s="147" t="s">
        <v>116</v>
      </c>
      <c r="H357" s="148">
        <v>488</v>
      </c>
      <c r="I357" s="148" t="s">
        <v>123</v>
      </c>
      <c r="J357" s="147" t="s">
        <v>124</v>
      </c>
      <c r="K357" s="149">
        <f>+K356+Tabla6[[#This Row],[IMPORTE]]</f>
        <v>331404445.67000014</v>
      </c>
      <c r="L357" s="143" t="s">
        <v>649</v>
      </c>
      <c r="M357" s="174" t="s">
        <v>87</v>
      </c>
    </row>
    <row r="358" spans="2:13" x14ac:dyDescent="0.35">
      <c r="B358" s="173" t="s">
        <v>115</v>
      </c>
      <c r="C358" s="146">
        <v>46037</v>
      </c>
      <c r="D358" s="148">
        <v>8272103</v>
      </c>
      <c r="E358" s="148">
        <v>66</v>
      </c>
      <c r="F358" s="149">
        <v>-125000</v>
      </c>
      <c r="G358" s="147" t="s">
        <v>116</v>
      </c>
      <c r="H358" s="148">
        <v>488</v>
      </c>
      <c r="I358" s="148" t="s">
        <v>123</v>
      </c>
      <c r="J358" s="147" t="s">
        <v>124</v>
      </c>
      <c r="K358" s="149">
        <f>+K357+Tabla6[[#This Row],[IMPORTE]]</f>
        <v>331279445.67000014</v>
      </c>
      <c r="L358" s="143" t="s">
        <v>649</v>
      </c>
      <c r="M358" s="174" t="s">
        <v>87</v>
      </c>
    </row>
    <row r="359" spans="2:13" x14ac:dyDescent="0.35">
      <c r="B359" s="173" t="s">
        <v>115</v>
      </c>
      <c r="C359" s="146">
        <v>46037</v>
      </c>
      <c r="D359" s="148">
        <v>8272063</v>
      </c>
      <c r="E359" s="148">
        <v>66</v>
      </c>
      <c r="F359" s="149">
        <v>-125000</v>
      </c>
      <c r="G359" s="147" t="s">
        <v>116</v>
      </c>
      <c r="H359" s="148">
        <v>488</v>
      </c>
      <c r="I359" s="148" t="s">
        <v>123</v>
      </c>
      <c r="J359" s="147" t="s">
        <v>124</v>
      </c>
      <c r="K359" s="149">
        <f>+K358+Tabla6[[#This Row],[IMPORTE]]</f>
        <v>331154445.67000014</v>
      </c>
      <c r="L359" s="143" t="s">
        <v>649</v>
      </c>
      <c r="M359" s="174" t="s">
        <v>87</v>
      </c>
    </row>
    <row r="360" spans="2:13" x14ac:dyDescent="0.35">
      <c r="B360" s="173" t="s">
        <v>115</v>
      </c>
      <c r="C360" s="146">
        <v>46037</v>
      </c>
      <c r="D360" s="148">
        <v>8272096</v>
      </c>
      <c r="E360" s="148">
        <v>66</v>
      </c>
      <c r="F360" s="149">
        <v>-125000</v>
      </c>
      <c r="G360" s="147" t="s">
        <v>116</v>
      </c>
      <c r="H360" s="148">
        <v>488</v>
      </c>
      <c r="I360" s="148" t="s">
        <v>123</v>
      </c>
      <c r="J360" s="147" t="s">
        <v>124</v>
      </c>
      <c r="K360" s="149">
        <f>+K359+Tabla6[[#This Row],[IMPORTE]]</f>
        <v>331029445.67000014</v>
      </c>
      <c r="L360" s="143" t="s">
        <v>649</v>
      </c>
      <c r="M360" s="174" t="s">
        <v>87</v>
      </c>
    </row>
    <row r="361" spans="2:13" x14ac:dyDescent="0.35">
      <c r="B361" s="173" t="s">
        <v>115</v>
      </c>
      <c r="C361" s="146">
        <v>46037</v>
      </c>
      <c r="D361" s="148">
        <v>8272059</v>
      </c>
      <c r="E361" s="148">
        <v>66</v>
      </c>
      <c r="F361" s="149">
        <v>-125000</v>
      </c>
      <c r="G361" s="147" t="s">
        <v>116</v>
      </c>
      <c r="H361" s="148">
        <v>488</v>
      </c>
      <c r="I361" s="148" t="s">
        <v>123</v>
      </c>
      <c r="J361" s="147" t="s">
        <v>124</v>
      </c>
      <c r="K361" s="149">
        <f>+K360+Tabla6[[#This Row],[IMPORTE]]</f>
        <v>330904445.67000014</v>
      </c>
      <c r="L361" s="143" t="s">
        <v>649</v>
      </c>
      <c r="M361" s="174" t="s">
        <v>87</v>
      </c>
    </row>
    <row r="362" spans="2:13" x14ac:dyDescent="0.35">
      <c r="B362" s="173" t="s">
        <v>115</v>
      </c>
      <c r="C362" s="146">
        <v>46037</v>
      </c>
      <c r="D362" s="148">
        <v>8272027</v>
      </c>
      <c r="E362" s="148">
        <v>66</v>
      </c>
      <c r="F362" s="149">
        <v>-125000</v>
      </c>
      <c r="G362" s="147" t="s">
        <v>116</v>
      </c>
      <c r="H362" s="148">
        <v>488</v>
      </c>
      <c r="I362" s="148" t="s">
        <v>123</v>
      </c>
      <c r="J362" s="147" t="s">
        <v>124</v>
      </c>
      <c r="K362" s="149">
        <f>+K361+Tabla6[[#This Row],[IMPORTE]]</f>
        <v>330779445.67000014</v>
      </c>
      <c r="L362" s="143" t="s">
        <v>649</v>
      </c>
      <c r="M362" s="174" t="s">
        <v>87</v>
      </c>
    </row>
    <row r="363" spans="2:13" x14ac:dyDescent="0.35">
      <c r="B363" s="173" t="s">
        <v>115</v>
      </c>
      <c r="C363" s="146">
        <v>46037</v>
      </c>
      <c r="D363" s="148">
        <v>8272094</v>
      </c>
      <c r="E363" s="148">
        <v>66</v>
      </c>
      <c r="F363" s="149">
        <v>-125000</v>
      </c>
      <c r="G363" s="147" t="s">
        <v>116</v>
      </c>
      <c r="H363" s="148">
        <v>488</v>
      </c>
      <c r="I363" s="148" t="s">
        <v>123</v>
      </c>
      <c r="J363" s="147" t="s">
        <v>124</v>
      </c>
      <c r="K363" s="149">
        <f>+K362+Tabla6[[#This Row],[IMPORTE]]</f>
        <v>330654445.67000014</v>
      </c>
      <c r="L363" s="143" t="s">
        <v>649</v>
      </c>
      <c r="M363" s="174" t="s">
        <v>87</v>
      </c>
    </row>
    <row r="364" spans="2:13" x14ac:dyDescent="0.35">
      <c r="B364" s="173" t="s">
        <v>115</v>
      </c>
      <c r="C364" s="146">
        <v>46037</v>
      </c>
      <c r="D364" s="148">
        <v>8272029</v>
      </c>
      <c r="E364" s="148">
        <v>66</v>
      </c>
      <c r="F364" s="149">
        <v>-125000</v>
      </c>
      <c r="G364" s="147" t="s">
        <v>116</v>
      </c>
      <c r="H364" s="148">
        <v>488</v>
      </c>
      <c r="I364" s="148" t="s">
        <v>123</v>
      </c>
      <c r="J364" s="147" t="s">
        <v>124</v>
      </c>
      <c r="K364" s="149">
        <f>+K363+Tabla6[[#This Row],[IMPORTE]]</f>
        <v>330529445.67000014</v>
      </c>
      <c r="L364" s="143" t="s">
        <v>649</v>
      </c>
      <c r="M364" s="174" t="s">
        <v>87</v>
      </c>
    </row>
    <row r="365" spans="2:13" x14ac:dyDescent="0.35">
      <c r="B365" s="173" t="s">
        <v>115</v>
      </c>
      <c r="C365" s="146">
        <v>46037</v>
      </c>
      <c r="D365" s="148">
        <v>8272018</v>
      </c>
      <c r="E365" s="148">
        <v>66</v>
      </c>
      <c r="F365" s="149">
        <v>-125000</v>
      </c>
      <c r="G365" s="147" t="s">
        <v>116</v>
      </c>
      <c r="H365" s="148">
        <v>488</v>
      </c>
      <c r="I365" s="148" t="s">
        <v>123</v>
      </c>
      <c r="J365" s="147" t="s">
        <v>124</v>
      </c>
      <c r="K365" s="149">
        <f>+K364+Tabla6[[#This Row],[IMPORTE]]</f>
        <v>330404445.67000014</v>
      </c>
      <c r="L365" s="143" t="s">
        <v>649</v>
      </c>
      <c r="M365" s="174" t="s">
        <v>87</v>
      </c>
    </row>
    <row r="366" spans="2:13" x14ac:dyDescent="0.35">
      <c r="B366" s="173" t="s">
        <v>115</v>
      </c>
      <c r="C366" s="146">
        <v>46037</v>
      </c>
      <c r="D366" s="148">
        <v>8272069</v>
      </c>
      <c r="E366" s="148">
        <v>66</v>
      </c>
      <c r="F366" s="149">
        <v>-125000</v>
      </c>
      <c r="G366" s="147" t="s">
        <v>116</v>
      </c>
      <c r="H366" s="148">
        <v>488</v>
      </c>
      <c r="I366" s="148" t="s">
        <v>123</v>
      </c>
      <c r="J366" s="147" t="s">
        <v>124</v>
      </c>
      <c r="K366" s="149">
        <f>+K365+Tabla6[[#This Row],[IMPORTE]]</f>
        <v>330279445.67000014</v>
      </c>
      <c r="L366" s="143" t="s">
        <v>649</v>
      </c>
      <c r="M366" s="174" t="s">
        <v>87</v>
      </c>
    </row>
    <row r="367" spans="2:13" x14ac:dyDescent="0.35">
      <c r="B367" s="173" t="s">
        <v>115</v>
      </c>
      <c r="C367" s="146">
        <v>46037</v>
      </c>
      <c r="D367" s="148">
        <v>8272013</v>
      </c>
      <c r="E367" s="148">
        <v>66</v>
      </c>
      <c r="F367" s="149">
        <v>-125000</v>
      </c>
      <c r="G367" s="147" t="s">
        <v>116</v>
      </c>
      <c r="H367" s="148">
        <v>488</v>
      </c>
      <c r="I367" s="148" t="s">
        <v>123</v>
      </c>
      <c r="J367" s="147" t="s">
        <v>124</v>
      </c>
      <c r="K367" s="149">
        <f>+K366+Tabla6[[#This Row],[IMPORTE]]</f>
        <v>330154445.67000014</v>
      </c>
      <c r="L367" s="143" t="s">
        <v>649</v>
      </c>
      <c r="M367" s="174" t="s">
        <v>87</v>
      </c>
    </row>
    <row r="368" spans="2:13" x14ac:dyDescent="0.35">
      <c r="B368" s="173" t="s">
        <v>115</v>
      </c>
      <c r="C368" s="146">
        <v>46037</v>
      </c>
      <c r="D368" s="148">
        <v>8272022</v>
      </c>
      <c r="E368" s="148">
        <v>66</v>
      </c>
      <c r="F368" s="149">
        <v>-125000</v>
      </c>
      <c r="G368" s="147" t="s">
        <v>116</v>
      </c>
      <c r="H368" s="148">
        <v>488</v>
      </c>
      <c r="I368" s="148" t="s">
        <v>123</v>
      </c>
      <c r="J368" s="147" t="s">
        <v>124</v>
      </c>
      <c r="K368" s="149">
        <f>+K367+Tabla6[[#This Row],[IMPORTE]]</f>
        <v>330029445.67000014</v>
      </c>
      <c r="L368" s="143" t="s">
        <v>649</v>
      </c>
      <c r="M368" s="174" t="s">
        <v>87</v>
      </c>
    </row>
    <row r="369" spans="2:13" x14ac:dyDescent="0.35">
      <c r="B369" s="173" t="s">
        <v>115</v>
      </c>
      <c r="C369" s="146">
        <v>46037</v>
      </c>
      <c r="D369" s="148">
        <v>8272055</v>
      </c>
      <c r="E369" s="148">
        <v>66</v>
      </c>
      <c r="F369" s="149">
        <v>-125000</v>
      </c>
      <c r="G369" s="147" t="s">
        <v>116</v>
      </c>
      <c r="H369" s="148">
        <v>488</v>
      </c>
      <c r="I369" s="148" t="s">
        <v>123</v>
      </c>
      <c r="J369" s="147" t="s">
        <v>124</v>
      </c>
      <c r="K369" s="149">
        <f>+K368+Tabla6[[#This Row],[IMPORTE]]</f>
        <v>329904445.67000014</v>
      </c>
      <c r="L369" s="143" t="s">
        <v>649</v>
      </c>
      <c r="M369" s="174" t="s">
        <v>87</v>
      </c>
    </row>
    <row r="370" spans="2:13" x14ac:dyDescent="0.35">
      <c r="B370" s="173" t="s">
        <v>115</v>
      </c>
      <c r="C370" s="146">
        <v>46037</v>
      </c>
      <c r="D370" s="148">
        <v>8272012</v>
      </c>
      <c r="E370" s="148">
        <v>66</v>
      </c>
      <c r="F370" s="149">
        <v>-125000</v>
      </c>
      <c r="G370" s="147" t="s">
        <v>116</v>
      </c>
      <c r="H370" s="148">
        <v>488</v>
      </c>
      <c r="I370" s="148" t="s">
        <v>123</v>
      </c>
      <c r="J370" s="147" t="s">
        <v>124</v>
      </c>
      <c r="K370" s="149">
        <f>+K369+Tabla6[[#This Row],[IMPORTE]]</f>
        <v>329779445.67000014</v>
      </c>
      <c r="L370" s="143" t="s">
        <v>649</v>
      </c>
      <c r="M370" s="174" t="s">
        <v>87</v>
      </c>
    </row>
    <row r="371" spans="2:13" x14ac:dyDescent="0.35">
      <c r="B371" s="173" t="s">
        <v>115</v>
      </c>
      <c r="C371" s="146">
        <v>46037</v>
      </c>
      <c r="D371" s="148">
        <v>8272100</v>
      </c>
      <c r="E371" s="148">
        <v>66</v>
      </c>
      <c r="F371" s="149">
        <v>-125000</v>
      </c>
      <c r="G371" s="147" t="s">
        <v>116</v>
      </c>
      <c r="H371" s="148">
        <v>488</v>
      </c>
      <c r="I371" s="148" t="s">
        <v>123</v>
      </c>
      <c r="J371" s="147" t="s">
        <v>124</v>
      </c>
      <c r="K371" s="149">
        <f>+K370+Tabla6[[#This Row],[IMPORTE]]</f>
        <v>329654445.67000014</v>
      </c>
      <c r="L371" s="143" t="s">
        <v>649</v>
      </c>
      <c r="M371" s="174" t="s">
        <v>87</v>
      </c>
    </row>
    <row r="372" spans="2:13" x14ac:dyDescent="0.35">
      <c r="B372" s="173" t="s">
        <v>115</v>
      </c>
      <c r="C372" s="146">
        <v>46037</v>
      </c>
      <c r="D372" s="148">
        <v>8272031</v>
      </c>
      <c r="E372" s="148">
        <v>66</v>
      </c>
      <c r="F372" s="149">
        <v>-125000</v>
      </c>
      <c r="G372" s="147" t="s">
        <v>116</v>
      </c>
      <c r="H372" s="148">
        <v>488</v>
      </c>
      <c r="I372" s="148" t="s">
        <v>123</v>
      </c>
      <c r="J372" s="147" t="s">
        <v>124</v>
      </c>
      <c r="K372" s="149">
        <f>+K371+Tabla6[[#This Row],[IMPORTE]]</f>
        <v>329529445.67000014</v>
      </c>
      <c r="L372" s="143" t="s">
        <v>649</v>
      </c>
      <c r="M372" s="174" t="s">
        <v>87</v>
      </c>
    </row>
    <row r="373" spans="2:13" x14ac:dyDescent="0.35">
      <c r="B373" s="173" t="s">
        <v>115</v>
      </c>
      <c r="C373" s="146">
        <v>46037</v>
      </c>
      <c r="D373" s="148">
        <v>8272036</v>
      </c>
      <c r="E373" s="148">
        <v>66</v>
      </c>
      <c r="F373" s="149">
        <v>-125000</v>
      </c>
      <c r="G373" s="147" t="s">
        <v>116</v>
      </c>
      <c r="H373" s="148">
        <v>488</v>
      </c>
      <c r="I373" s="148" t="s">
        <v>123</v>
      </c>
      <c r="J373" s="147" t="s">
        <v>124</v>
      </c>
      <c r="K373" s="149">
        <f>+K372+Tabla6[[#This Row],[IMPORTE]]</f>
        <v>329404445.67000014</v>
      </c>
      <c r="L373" s="143" t="s">
        <v>649</v>
      </c>
      <c r="M373" s="174" t="s">
        <v>87</v>
      </c>
    </row>
    <row r="374" spans="2:13" x14ac:dyDescent="0.35">
      <c r="B374" s="173" t="s">
        <v>115</v>
      </c>
      <c r="C374" s="146">
        <v>46037</v>
      </c>
      <c r="D374" s="148">
        <v>8272052</v>
      </c>
      <c r="E374" s="148">
        <v>66</v>
      </c>
      <c r="F374" s="149">
        <v>-125000</v>
      </c>
      <c r="G374" s="147" t="s">
        <v>116</v>
      </c>
      <c r="H374" s="148">
        <v>488</v>
      </c>
      <c r="I374" s="148" t="s">
        <v>123</v>
      </c>
      <c r="J374" s="147" t="s">
        <v>124</v>
      </c>
      <c r="K374" s="149">
        <f>+K373+Tabla6[[#This Row],[IMPORTE]]</f>
        <v>329279445.67000014</v>
      </c>
      <c r="L374" s="143" t="s">
        <v>649</v>
      </c>
      <c r="M374" s="174" t="s">
        <v>87</v>
      </c>
    </row>
    <row r="375" spans="2:13" x14ac:dyDescent="0.35">
      <c r="B375" s="173" t="s">
        <v>115</v>
      </c>
      <c r="C375" s="146">
        <v>46037</v>
      </c>
      <c r="D375" s="148">
        <v>8272087</v>
      </c>
      <c r="E375" s="148">
        <v>66</v>
      </c>
      <c r="F375" s="149">
        <v>-125000</v>
      </c>
      <c r="G375" s="147" t="s">
        <v>116</v>
      </c>
      <c r="H375" s="148">
        <v>488</v>
      </c>
      <c r="I375" s="148" t="s">
        <v>123</v>
      </c>
      <c r="J375" s="147" t="s">
        <v>124</v>
      </c>
      <c r="K375" s="149">
        <f>+K374+Tabla6[[#This Row],[IMPORTE]]</f>
        <v>329154445.67000014</v>
      </c>
      <c r="L375" s="143" t="s">
        <v>649</v>
      </c>
      <c r="M375" s="174" t="s">
        <v>87</v>
      </c>
    </row>
    <row r="376" spans="2:13" x14ac:dyDescent="0.35">
      <c r="B376" s="173" t="s">
        <v>115</v>
      </c>
      <c r="C376" s="146">
        <v>46037</v>
      </c>
      <c r="D376" s="148">
        <v>8272068</v>
      </c>
      <c r="E376" s="148">
        <v>66</v>
      </c>
      <c r="F376" s="149">
        <v>-125000</v>
      </c>
      <c r="G376" s="147" t="s">
        <v>116</v>
      </c>
      <c r="H376" s="148">
        <v>488</v>
      </c>
      <c r="I376" s="148" t="s">
        <v>123</v>
      </c>
      <c r="J376" s="147" t="s">
        <v>124</v>
      </c>
      <c r="K376" s="149">
        <f>+K375+Tabla6[[#This Row],[IMPORTE]]</f>
        <v>329029445.67000014</v>
      </c>
      <c r="L376" s="143" t="s">
        <v>649</v>
      </c>
      <c r="M376" s="174" t="s">
        <v>87</v>
      </c>
    </row>
    <row r="377" spans="2:13" x14ac:dyDescent="0.35">
      <c r="B377" s="173" t="s">
        <v>115</v>
      </c>
      <c r="C377" s="146">
        <v>46037</v>
      </c>
      <c r="D377" s="148">
        <v>8272017</v>
      </c>
      <c r="E377" s="148">
        <v>66</v>
      </c>
      <c r="F377" s="149">
        <v>-125000</v>
      </c>
      <c r="G377" s="147" t="s">
        <v>116</v>
      </c>
      <c r="H377" s="148">
        <v>488</v>
      </c>
      <c r="I377" s="148" t="s">
        <v>123</v>
      </c>
      <c r="J377" s="147" t="s">
        <v>124</v>
      </c>
      <c r="K377" s="149">
        <f>+K376+Tabla6[[#This Row],[IMPORTE]]</f>
        <v>328904445.67000014</v>
      </c>
      <c r="L377" s="143" t="s">
        <v>649</v>
      </c>
      <c r="M377" s="174" t="s">
        <v>87</v>
      </c>
    </row>
    <row r="378" spans="2:13" x14ac:dyDescent="0.35">
      <c r="B378" s="173" t="s">
        <v>115</v>
      </c>
      <c r="C378" s="146">
        <v>46037</v>
      </c>
      <c r="D378" s="148">
        <v>8272003</v>
      </c>
      <c r="E378" s="148">
        <v>66</v>
      </c>
      <c r="F378" s="149">
        <v>-125000</v>
      </c>
      <c r="G378" s="147" t="s">
        <v>116</v>
      </c>
      <c r="H378" s="148">
        <v>488</v>
      </c>
      <c r="I378" s="148" t="s">
        <v>123</v>
      </c>
      <c r="J378" s="147" t="s">
        <v>124</v>
      </c>
      <c r="K378" s="149">
        <f>+K377+Tabla6[[#This Row],[IMPORTE]]</f>
        <v>328779445.67000014</v>
      </c>
      <c r="L378" s="143" t="s">
        <v>649</v>
      </c>
      <c r="M378" s="174" t="s">
        <v>87</v>
      </c>
    </row>
    <row r="379" spans="2:13" x14ac:dyDescent="0.35">
      <c r="B379" s="173" t="s">
        <v>115</v>
      </c>
      <c r="C379" s="146">
        <v>46037</v>
      </c>
      <c r="D379" s="148">
        <v>8272080</v>
      </c>
      <c r="E379" s="148">
        <v>66</v>
      </c>
      <c r="F379" s="149">
        <v>-125000</v>
      </c>
      <c r="G379" s="147" t="s">
        <v>116</v>
      </c>
      <c r="H379" s="148">
        <v>488</v>
      </c>
      <c r="I379" s="148" t="s">
        <v>123</v>
      </c>
      <c r="J379" s="147" t="s">
        <v>124</v>
      </c>
      <c r="K379" s="149">
        <f>+K378+Tabla6[[#This Row],[IMPORTE]]</f>
        <v>328654445.67000014</v>
      </c>
      <c r="L379" s="143" t="s">
        <v>649</v>
      </c>
      <c r="M379" s="174" t="s">
        <v>87</v>
      </c>
    </row>
    <row r="380" spans="2:13" x14ac:dyDescent="0.35">
      <c r="B380" s="173" t="s">
        <v>115</v>
      </c>
      <c r="C380" s="146">
        <v>46037</v>
      </c>
      <c r="D380" s="148">
        <v>8272091</v>
      </c>
      <c r="E380" s="148">
        <v>66</v>
      </c>
      <c r="F380" s="149">
        <v>-125000</v>
      </c>
      <c r="G380" s="147" t="s">
        <v>116</v>
      </c>
      <c r="H380" s="148">
        <v>488</v>
      </c>
      <c r="I380" s="148" t="s">
        <v>123</v>
      </c>
      <c r="J380" s="147" t="s">
        <v>124</v>
      </c>
      <c r="K380" s="149">
        <f>+K379+Tabla6[[#This Row],[IMPORTE]]</f>
        <v>328529445.67000014</v>
      </c>
      <c r="L380" s="143" t="s">
        <v>649</v>
      </c>
      <c r="M380" s="174" t="s">
        <v>87</v>
      </c>
    </row>
    <row r="381" spans="2:13" x14ac:dyDescent="0.35">
      <c r="B381" s="173" t="s">
        <v>115</v>
      </c>
      <c r="C381" s="146">
        <v>46037</v>
      </c>
      <c r="D381" s="148">
        <v>8272092</v>
      </c>
      <c r="E381" s="148">
        <v>66</v>
      </c>
      <c r="F381" s="149">
        <v>-125000</v>
      </c>
      <c r="G381" s="147" t="s">
        <v>116</v>
      </c>
      <c r="H381" s="148">
        <v>488</v>
      </c>
      <c r="I381" s="148" t="s">
        <v>123</v>
      </c>
      <c r="J381" s="147" t="s">
        <v>124</v>
      </c>
      <c r="K381" s="149">
        <f>+K380+Tabla6[[#This Row],[IMPORTE]]</f>
        <v>328404445.67000014</v>
      </c>
      <c r="L381" s="143" t="s">
        <v>649</v>
      </c>
      <c r="M381" s="174" t="s">
        <v>87</v>
      </c>
    </row>
    <row r="382" spans="2:13" x14ac:dyDescent="0.35">
      <c r="B382" s="173" t="s">
        <v>115</v>
      </c>
      <c r="C382" s="146">
        <v>46037</v>
      </c>
      <c r="D382" s="148">
        <v>8272067</v>
      </c>
      <c r="E382" s="148">
        <v>66</v>
      </c>
      <c r="F382" s="149">
        <v>-125000</v>
      </c>
      <c r="G382" s="147" t="s">
        <v>116</v>
      </c>
      <c r="H382" s="148">
        <v>488</v>
      </c>
      <c r="I382" s="148" t="s">
        <v>123</v>
      </c>
      <c r="J382" s="147" t="s">
        <v>124</v>
      </c>
      <c r="K382" s="149">
        <f>+K381+Tabla6[[#This Row],[IMPORTE]]</f>
        <v>328279445.67000014</v>
      </c>
      <c r="L382" s="143" t="s">
        <v>649</v>
      </c>
      <c r="M382" s="174" t="s">
        <v>87</v>
      </c>
    </row>
    <row r="383" spans="2:13" x14ac:dyDescent="0.35">
      <c r="B383" s="173" t="s">
        <v>115</v>
      </c>
      <c r="C383" s="146">
        <v>46037</v>
      </c>
      <c r="D383" s="148">
        <v>8272058</v>
      </c>
      <c r="E383" s="148">
        <v>66</v>
      </c>
      <c r="F383" s="149">
        <v>-125000</v>
      </c>
      <c r="G383" s="147" t="s">
        <v>116</v>
      </c>
      <c r="H383" s="148">
        <v>488</v>
      </c>
      <c r="I383" s="148" t="s">
        <v>123</v>
      </c>
      <c r="J383" s="147" t="s">
        <v>124</v>
      </c>
      <c r="K383" s="149">
        <f>+K382+Tabla6[[#This Row],[IMPORTE]]</f>
        <v>328154445.67000014</v>
      </c>
      <c r="L383" s="143" t="s">
        <v>649</v>
      </c>
      <c r="M383" s="174" t="s">
        <v>87</v>
      </c>
    </row>
    <row r="384" spans="2:13" x14ac:dyDescent="0.35">
      <c r="B384" s="173" t="s">
        <v>115</v>
      </c>
      <c r="C384" s="146">
        <v>46037</v>
      </c>
      <c r="D384" s="148">
        <v>8272090</v>
      </c>
      <c r="E384" s="148">
        <v>66</v>
      </c>
      <c r="F384" s="149">
        <v>-125000</v>
      </c>
      <c r="G384" s="147" t="s">
        <v>116</v>
      </c>
      <c r="H384" s="148">
        <v>488</v>
      </c>
      <c r="I384" s="148" t="s">
        <v>123</v>
      </c>
      <c r="J384" s="147" t="s">
        <v>124</v>
      </c>
      <c r="K384" s="149">
        <f>+K383+Tabla6[[#This Row],[IMPORTE]]</f>
        <v>328029445.67000014</v>
      </c>
      <c r="L384" s="143" t="s">
        <v>649</v>
      </c>
      <c r="M384" s="174" t="s">
        <v>87</v>
      </c>
    </row>
    <row r="385" spans="2:13" x14ac:dyDescent="0.35">
      <c r="B385" s="173" t="s">
        <v>115</v>
      </c>
      <c r="C385" s="146">
        <v>46037</v>
      </c>
      <c r="D385" s="148">
        <v>8272065</v>
      </c>
      <c r="E385" s="148">
        <v>66</v>
      </c>
      <c r="F385" s="149">
        <v>-125000</v>
      </c>
      <c r="G385" s="147" t="s">
        <v>116</v>
      </c>
      <c r="H385" s="148">
        <v>488</v>
      </c>
      <c r="I385" s="148" t="s">
        <v>123</v>
      </c>
      <c r="J385" s="147" t="s">
        <v>124</v>
      </c>
      <c r="K385" s="149">
        <f>+K384+Tabla6[[#This Row],[IMPORTE]]</f>
        <v>327904445.67000014</v>
      </c>
      <c r="L385" s="143" t="s">
        <v>649</v>
      </c>
      <c r="M385" s="174" t="s">
        <v>87</v>
      </c>
    </row>
    <row r="386" spans="2:13" x14ac:dyDescent="0.35">
      <c r="B386" s="173" t="s">
        <v>115</v>
      </c>
      <c r="C386" s="146">
        <v>46037</v>
      </c>
      <c r="D386" s="148">
        <v>8272025</v>
      </c>
      <c r="E386" s="148">
        <v>66</v>
      </c>
      <c r="F386" s="149">
        <v>-125000</v>
      </c>
      <c r="G386" s="147" t="s">
        <v>116</v>
      </c>
      <c r="H386" s="148">
        <v>488</v>
      </c>
      <c r="I386" s="148" t="s">
        <v>123</v>
      </c>
      <c r="J386" s="147" t="s">
        <v>124</v>
      </c>
      <c r="K386" s="149">
        <f>+K385+Tabla6[[#This Row],[IMPORTE]]</f>
        <v>327779445.67000014</v>
      </c>
      <c r="L386" s="143" t="s">
        <v>649</v>
      </c>
      <c r="M386" s="174" t="s">
        <v>87</v>
      </c>
    </row>
    <row r="387" spans="2:13" x14ac:dyDescent="0.35">
      <c r="B387" s="173" t="s">
        <v>115</v>
      </c>
      <c r="C387" s="146">
        <v>46037</v>
      </c>
      <c r="D387" s="148">
        <v>8189833</v>
      </c>
      <c r="E387" s="148">
        <v>66</v>
      </c>
      <c r="F387" s="149">
        <v>-96000</v>
      </c>
      <c r="G387" s="147" t="s">
        <v>116</v>
      </c>
      <c r="H387" s="148">
        <v>488</v>
      </c>
      <c r="I387" s="148" t="s">
        <v>123</v>
      </c>
      <c r="J387" s="147" t="s">
        <v>124</v>
      </c>
      <c r="K387" s="149">
        <f>+K386+Tabla6[[#This Row],[IMPORTE]]</f>
        <v>327683445.67000014</v>
      </c>
      <c r="L387" s="143" t="s">
        <v>643</v>
      </c>
      <c r="M387" s="174" t="s">
        <v>1505</v>
      </c>
    </row>
    <row r="388" spans="2:13" x14ac:dyDescent="0.35">
      <c r="B388" s="173" t="s">
        <v>115</v>
      </c>
      <c r="C388" s="146">
        <v>46037</v>
      </c>
      <c r="D388" s="148">
        <v>8189834</v>
      </c>
      <c r="E388" s="148">
        <v>66</v>
      </c>
      <c r="F388" s="149">
        <v>-91080</v>
      </c>
      <c r="G388" s="147" t="s">
        <v>116</v>
      </c>
      <c r="H388" s="148">
        <v>488</v>
      </c>
      <c r="I388" s="148" t="s">
        <v>123</v>
      </c>
      <c r="J388" s="147" t="s">
        <v>124</v>
      </c>
      <c r="K388" s="149">
        <f>+K387+Tabla6[[#This Row],[IMPORTE]]</f>
        <v>327592365.67000014</v>
      </c>
      <c r="L388" s="143" t="s">
        <v>641</v>
      </c>
      <c r="M388" s="174" t="s">
        <v>1505</v>
      </c>
    </row>
    <row r="389" spans="2:13" x14ac:dyDescent="0.35">
      <c r="B389" s="173" t="s">
        <v>115</v>
      </c>
      <c r="C389" s="146">
        <v>46037</v>
      </c>
      <c r="D389" s="148">
        <v>8272005</v>
      </c>
      <c r="E389" s="148">
        <v>66</v>
      </c>
      <c r="F389" s="149">
        <v>-62500</v>
      </c>
      <c r="G389" s="147" t="s">
        <v>116</v>
      </c>
      <c r="H389" s="148">
        <v>488</v>
      </c>
      <c r="I389" s="148" t="s">
        <v>123</v>
      </c>
      <c r="J389" s="147" t="s">
        <v>124</v>
      </c>
      <c r="K389" s="149">
        <f>+K388+Tabla6[[#This Row],[IMPORTE]]</f>
        <v>327529865.67000014</v>
      </c>
      <c r="L389" s="143" t="s">
        <v>649</v>
      </c>
      <c r="M389" s="174" t="s">
        <v>87</v>
      </c>
    </row>
    <row r="390" spans="2:13" x14ac:dyDescent="0.35">
      <c r="B390" s="173" t="s">
        <v>115</v>
      </c>
      <c r="C390" s="146">
        <v>46037</v>
      </c>
      <c r="D390" s="148">
        <v>8272033</v>
      </c>
      <c r="E390" s="148">
        <v>66</v>
      </c>
      <c r="F390" s="149">
        <v>-62500</v>
      </c>
      <c r="G390" s="147" t="s">
        <v>116</v>
      </c>
      <c r="H390" s="148">
        <v>488</v>
      </c>
      <c r="I390" s="148" t="s">
        <v>123</v>
      </c>
      <c r="J390" s="147" t="s">
        <v>124</v>
      </c>
      <c r="K390" s="149">
        <f>+K389+Tabla6[[#This Row],[IMPORTE]]</f>
        <v>327467365.67000014</v>
      </c>
      <c r="L390" s="143" t="s">
        <v>649</v>
      </c>
      <c r="M390" s="174" t="s">
        <v>87</v>
      </c>
    </row>
    <row r="391" spans="2:13" x14ac:dyDescent="0.35">
      <c r="B391" s="173" t="s">
        <v>115</v>
      </c>
      <c r="C391" s="146">
        <v>46037</v>
      </c>
      <c r="D391" s="148">
        <v>8272046</v>
      </c>
      <c r="E391" s="148">
        <v>66</v>
      </c>
      <c r="F391" s="149">
        <v>-62500</v>
      </c>
      <c r="G391" s="147" t="s">
        <v>116</v>
      </c>
      <c r="H391" s="148">
        <v>488</v>
      </c>
      <c r="I391" s="148" t="s">
        <v>123</v>
      </c>
      <c r="J391" s="147" t="s">
        <v>124</v>
      </c>
      <c r="K391" s="149">
        <f>+K390+Tabla6[[#This Row],[IMPORTE]]</f>
        <v>327404865.67000014</v>
      </c>
      <c r="L391" s="143" t="s">
        <v>649</v>
      </c>
      <c r="M391" s="174" t="s">
        <v>87</v>
      </c>
    </row>
    <row r="392" spans="2:13" x14ac:dyDescent="0.35">
      <c r="B392" s="173" t="s">
        <v>115</v>
      </c>
      <c r="C392" s="146">
        <v>46037</v>
      </c>
      <c r="D392" s="148">
        <v>8272020</v>
      </c>
      <c r="E392" s="148">
        <v>66</v>
      </c>
      <c r="F392" s="149">
        <v>-62500</v>
      </c>
      <c r="G392" s="147" t="s">
        <v>116</v>
      </c>
      <c r="H392" s="148">
        <v>488</v>
      </c>
      <c r="I392" s="148" t="s">
        <v>123</v>
      </c>
      <c r="J392" s="147" t="s">
        <v>124</v>
      </c>
      <c r="K392" s="149">
        <f>+K391+Tabla6[[#This Row],[IMPORTE]]</f>
        <v>327342365.67000014</v>
      </c>
      <c r="L392" s="143" t="s">
        <v>649</v>
      </c>
      <c r="M392" s="174" t="s">
        <v>87</v>
      </c>
    </row>
    <row r="393" spans="2:13" x14ac:dyDescent="0.35">
      <c r="B393" s="173" t="s">
        <v>115</v>
      </c>
      <c r="C393" s="146">
        <v>46037</v>
      </c>
      <c r="D393" s="148">
        <v>8272011</v>
      </c>
      <c r="E393" s="148">
        <v>66</v>
      </c>
      <c r="F393" s="149">
        <v>-62500</v>
      </c>
      <c r="G393" s="147" t="s">
        <v>116</v>
      </c>
      <c r="H393" s="148">
        <v>488</v>
      </c>
      <c r="I393" s="148" t="s">
        <v>123</v>
      </c>
      <c r="J393" s="147" t="s">
        <v>124</v>
      </c>
      <c r="K393" s="149">
        <f>+K392+Tabla6[[#This Row],[IMPORTE]]</f>
        <v>327279865.67000014</v>
      </c>
      <c r="L393" s="143" t="s">
        <v>649</v>
      </c>
      <c r="M393" s="174" t="s">
        <v>87</v>
      </c>
    </row>
    <row r="394" spans="2:13" x14ac:dyDescent="0.35">
      <c r="B394" s="173" t="s">
        <v>115</v>
      </c>
      <c r="C394" s="146">
        <v>46037</v>
      </c>
      <c r="D394" s="148">
        <v>8272030</v>
      </c>
      <c r="E394" s="148">
        <v>66</v>
      </c>
      <c r="F394" s="149">
        <v>-62500</v>
      </c>
      <c r="G394" s="147" t="s">
        <v>116</v>
      </c>
      <c r="H394" s="148">
        <v>488</v>
      </c>
      <c r="I394" s="148" t="s">
        <v>123</v>
      </c>
      <c r="J394" s="147" t="s">
        <v>124</v>
      </c>
      <c r="K394" s="149">
        <f>+K393+Tabla6[[#This Row],[IMPORTE]]</f>
        <v>327217365.67000014</v>
      </c>
      <c r="L394" s="143" t="s">
        <v>649</v>
      </c>
      <c r="M394" s="174" t="s">
        <v>87</v>
      </c>
    </row>
    <row r="395" spans="2:13" x14ac:dyDescent="0.35">
      <c r="B395" s="173" t="s">
        <v>115</v>
      </c>
      <c r="C395" s="146">
        <v>46037</v>
      </c>
      <c r="D395" s="148">
        <v>8272048</v>
      </c>
      <c r="E395" s="148">
        <v>66</v>
      </c>
      <c r="F395" s="149">
        <v>-62500</v>
      </c>
      <c r="G395" s="147" t="s">
        <v>116</v>
      </c>
      <c r="H395" s="148">
        <v>488</v>
      </c>
      <c r="I395" s="148" t="s">
        <v>123</v>
      </c>
      <c r="J395" s="147" t="s">
        <v>124</v>
      </c>
      <c r="K395" s="149">
        <f>+K394+Tabla6[[#This Row],[IMPORTE]]</f>
        <v>327154865.67000014</v>
      </c>
      <c r="L395" s="143" t="s">
        <v>649</v>
      </c>
      <c r="M395" s="174" t="s">
        <v>87</v>
      </c>
    </row>
    <row r="396" spans="2:13" x14ac:dyDescent="0.35">
      <c r="B396" s="173" t="s">
        <v>115</v>
      </c>
      <c r="C396" s="146">
        <v>46037</v>
      </c>
      <c r="D396" s="148">
        <v>8272004</v>
      </c>
      <c r="E396" s="148">
        <v>66</v>
      </c>
      <c r="F396" s="149">
        <v>-62500</v>
      </c>
      <c r="G396" s="147" t="s">
        <v>116</v>
      </c>
      <c r="H396" s="148">
        <v>488</v>
      </c>
      <c r="I396" s="148" t="s">
        <v>123</v>
      </c>
      <c r="J396" s="147" t="s">
        <v>124</v>
      </c>
      <c r="K396" s="149">
        <f>+K395+Tabla6[[#This Row],[IMPORTE]]</f>
        <v>327092365.67000014</v>
      </c>
      <c r="L396" s="143" t="s">
        <v>649</v>
      </c>
      <c r="M396" s="174" t="s">
        <v>87</v>
      </c>
    </row>
    <row r="397" spans="2:13" x14ac:dyDescent="0.35">
      <c r="B397" s="173" t="s">
        <v>115</v>
      </c>
      <c r="C397" s="146">
        <v>46037</v>
      </c>
      <c r="D397" s="148">
        <v>8272044</v>
      </c>
      <c r="E397" s="148">
        <v>66</v>
      </c>
      <c r="F397" s="149">
        <v>-62500</v>
      </c>
      <c r="G397" s="147" t="s">
        <v>116</v>
      </c>
      <c r="H397" s="148">
        <v>488</v>
      </c>
      <c r="I397" s="148" t="s">
        <v>123</v>
      </c>
      <c r="J397" s="147" t="s">
        <v>124</v>
      </c>
      <c r="K397" s="149">
        <f>+K396+Tabla6[[#This Row],[IMPORTE]]</f>
        <v>327029865.67000014</v>
      </c>
      <c r="L397" s="143" t="s">
        <v>649</v>
      </c>
      <c r="M397" s="174" t="s">
        <v>87</v>
      </c>
    </row>
    <row r="398" spans="2:13" x14ac:dyDescent="0.35">
      <c r="B398" s="173" t="s">
        <v>115</v>
      </c>
      <c r="C398" s="146">
        <v>46037</v>
      </c>
      <c r="D398" s="148">
        <v>8272070</v>
      </c>
      <c r="E398" s="148">
        <v>66</v>
      </c>
      <c r="F398" s="149">
        <v>-62500</v>
      </c>
      <c r="G398" s="147" t="s">
        <v>116</v>
      </c>
      <c r="H398" s="148">
        <v>488</v>
      </c>
      <c r="I398" s="148" t="s">
        <v>123</v>
      </c>
      <c r="J398" s="147" t="s">
        <v>124</v>
      </c>
      <c r="K398" s="149">
        <f>+K397+Tabla6[[#This Row],[IMPORTE]]</f>
        <v>326967365.67000014</v>
      </c>
      <c r="L398" s="143" t="s">
        <v>649</v>
      </c>
      <c r="M398" s="174" t="s">
        <v>87</v>
      </c>
    </row>
    <row r="399" spans="2:13" x14ac:dyDescent="0.35">
      <c r="B399" s="173" t="s">
        <v>115</v>
      </c>
      <c r="C399" s="146">
        <v>46037</v>
      </c>
      <c r="D399" s="148">
        <v>8272009</v>
      </c>
      <c r="E399" s="148">
        <v>66</v>
      </c>
      <c r="F399" s="149">
        <v>-62500</v>
      </c>
      <c r="G399" s="147" t="s">
        <v>116</v>
      </c>
      <c r="H399" s="148">
        <v>488</v>
      </c>
      <c r="I399" s="148" t="s">
        <v>123</v>
      </c>
      <c r="J399" s="147" t="s">
        <v>124</v>
      </c>
      <c r="K399" s="149">
        <f>+K398+Tabla6[[#This Row],[IMPORTE]]</f>
        <v>326904865.67000014</v>
      </c>
      <c r="L399" s="143" t="s">
        <v>649</v>
      </c>
      <c r="M399" s="174" t="s">
        <v>87</v>
      </c>
    </row>
    <row r="400" spans="2:13" x14ac:dyDescent="0.35">
      <c r="B400" s="173" t="s">
        <v>115</v>
      </c>
      <c r="C400" s="146">
        <v>46037</v>
      </c>
      <c r="D400" s="148">
        <v>8272084</v>
      </c>
      <c r="E400" s="148">
        <v>66</v>
      </c>
      <c r="F400" s="149">
        <v>-62500</v>
      </c>
      <c r="G400" s="147" t="s">
        <v>116</v>
      </c>
      <c r="H400" s="148">
        <v>488</v>
      </c>
      <c r="I400" s="148" t="s">
        <v>123</v>
      </c>
      <c r="J400" s="147" t="s">
        <v>124</v>
      </c>
      <c r="K400" s="149">
        <f>+K399+Tabla6[[#This Row],[IMPORTE]]</f>
        <v>326842365.67000014</v>
      </c>
      <c r="L400" s="143" t="s">
        <v>649</v>
      </c>
      <c r="M400" s="174" t="s">
        <v>87</v>
      </c>
    </row>
    <row r="401" spans="2:13" x14ac:dyDescent="0.35">
      <c r="B401" s="173" t="s">
        <v>115</v>
      </c>
      <c r="C401" s="146">
        <v>46037</v>
      </c>
      <c r="D401" s="148">
        <v>8272040</v>
      </c>
      <c r="E401" s="148">
        <v>66</v>
      </c>
      <c r="F401" s="149">
        <v>-62500</v>
      </c>
      <c r="G401" s="147" t="s">
        <v>116</v>
      </c>
      <c r="H401" s="148">
        <v>488</v>
      </c>
      <c r="I401" s="148" t="s">
        <v>123</v>
      </c>
      <c r="J401" s="147" t="s">
        <v>124</v>
      </c>
      <c r="K401" s="149">
        <f>+K400+Tabla6[[#This Row],[IMPORTE]]</f>
        <v>326779865.67000014</v>
      </c>
      <c r="L401" s="143" t="s">
        <v>649</v>
      </c>
      <c r="M401" s="174" t="s">
        <v>87</v>
      </c>
    </row>
    <row r="402" spans="2:13" x14ac:dyDescent="0.35">
      <c r="B402" s="173" t="s">
        <v>115</v>
      </c>
      <c r="C402" s="146">
        <v>46037</v>
      </c>
      <c r="D402" s="148">
        <v>8272083</v>
      </c>
      <c r="E402" s="148">
        <v>66</v>
      </c>
      <c r="F402" s="149">
        <v>-62500</v>
      </c>
      <c r="G402" s="147" t="s">
        <v>116</v>
      </c>
      <c r="H402" s="148">
        <v>488</v>
      </c>
      <c r="I402" s="148" t="s">
        <v>123</v>
      </c>
      <c r="J402" s="147" t="s">
        <v>124</v>
      </c>
      <c r="K402" s="149">
        <f>+K401+Tabla6[[#This Row],[IMPORTE]]</f>
        <v>326717365.67000014</v>
      </c>
      <c r="L402" s="143" t="s">
        <v>649</v>
      </c>
      <c r="M402" s="174" t="s">
        <v>87</v>
      </c>
    </row>
    <row r="403" spans="2:13" x14ac:dyDescent="0.35">
      <c r="B403" s="173" t="s">
        <v>115</v>
      </c>
      <c r="C403" s="146">
        <v>46037</v>
      </c>
      <c r="D403" s="148">
        <v>8272093</v>
      </c>
      <c r="E403" s="148">
        <v>66</v>
      </c>
      <c r="F403" s="149">
        <v>-62500</v>
      </c>
      <c r="G403" s="147" t="s">
        <v>116</v>
      </c>
      <c r="H403" s="148">
        <v>488</v>
      </c>
      <c r="I403" s="148" t="s">
        <v>123</v>
      </c>
      <c r="J403" s="147" t="s">
        <v>124</v>
      </c>
      <c r="K403" s="149">
        <f>+K402+Tabla6[[#This Row],[IMPORTE]]</f>
        <v>326654865.67000014</v>
      </c>
      <c r="L403" s="143" t="s">
        <v>649</v>
      </c>
      <c r="M403" s="174" t="s">
        <v>87</v>
      </c>
    </row>
    <row r="404" spans="2:13" x14ac:dyDescent="0.35">
      <c r="B404" s="173" t="s">
        <v>115</v>
      </c>
      <c r="C404" s="146">
        <v>46037</v>
      </c>
      <c r="D404" s="148">
        <v>8272010</v>
      </c>
      <c r="E404" s="148">
        <v>66</v>
      </c>
      <c r="F404" s="149">
        <v>-62500</v>
      </c>
      <c r="G404" s="147" t="s">
        <v>116</v>
      </c>
      <c r="H404" s="148">
        <v>488</v>
      </c>
      <c r="I404" s="148" t="s">
        <v>123</v>
      </c>
      <c r="J404" s="147" t="s">
        <v>124</v>
      </c>
      <c r="K404" s="149">
        <f>+K403+Tabla6[[#This Row],[IMPORTE]]</f>
        <v>326592365.67000014</v>
      </c>
      <c r="L404" s="143" t="s">
        <v>649</v>
      </c>
      <c r="M404" s="174" t="s">
        <v>87</v>
      </c>
    </row>
    <row r="405" spans="2:13" x14ac:dyDescent="0.35">
      <c r="B405" s="173" t="s">
        <v>115</v>
      </c>
      <c r="C405" s="146">
        <v>46037</v>
      </c>
      <c r="D405" s="148">
        <v>8272102</v>
      </c>
      <c r="E405" s="148">
        <v>66</v>
      </c>
      <c r="F405" s="149">
        <v>-62500</v>
      </c>
      <c r="G405" s="147" t="s">
        <v>116</v>
      </c>
      <c r="H405" s="148">
        <v>488</v>
      </c>
      <c r="I405" s="148" t="s">
        <v>123</v>
      </c>
      <c r="J405" s="147" t="s">
        <v>124</v>
      </c>
      <c r="K405" s="149">
        <f>+K404+Tabla6[[#This Row],[IMPORTE]]</f>
        <v>326529865.67000014</v>
      </c>
      <c r="L405" s="143" t="s">
        <v>649</v>
      </c>
      <c r="M405" s="174" t="s">
        <v>87</v>
      </c>
    </row>
    <row r="406" spans="2:13" x14ac:dyDescent="0.35">
      <c r="B406" s="173" t="s">
        <v>115</v>
      </c>
      <c r="C406" s="146">
        <v>46037</v>
      </c>
      <c r="D406" s="148">
        <v>8272014</v>
      </c>
      <c r="E406" s="148">
        <v>66</v>
      </c>
      <c r="F406" s="149">
        <v>-62500</v>
      </c>
      <c r="G406" s="147" t="s">
        <v>116</v>
      </c>
      <c r="H406" s="148">
        <v>488</v>
      </c>
      <c r="I406" s="148" t="s">
        <v>123</v>
      </c>
      <c r="J406" s="147" t="s">
        <v>124</v>
      </c>
      <c r="K406" s="149">
        <f>+K405+Tabla6[[#This Row],[IMPORTE]]</f>
        <v>326467365.67000014</v>
      </c>
      <c r="L406" s="143" t="s">
        <v>649</v>
      </c>
      <c r="M406" s="174" t="s">
        <v>87</v>
      </c>
    </row>
    <row r="407" spans="2:13" x14ac:dyDescent="0.35">
      <c r="B407" s="173" t="s">
        <v>115</v>
      </c>
      <c r="C407" s="146">
        <v>46037</v>
      </c>
      <c r="D407" s="148">
        <v>8272028</v>
      </c>
      <c r="E407" s="148">
        <v>66</v>
      </c>
      <c r="F407" s="149">
        <v>-62500</v>
      </c>
      <c r="G407" s="147" t="s">
        <v>116</v>
      </c>
      <c r="H407" s="148">
        <v>488</v>
      </c>
      <c r="I407" s="148" t="s">
        <v>123</v>
      </c>
      <c r="J407" s="147" t="s">
        <v>124</v>
      </c>
      <c r="K407" s="149">
        <f>+K406+Tabla6[[#This Row],[IMPORTE]]</f>
        <v>326404865.67000014</v>
      </c>
      <c r="L407" s="143" t="s">
        <v>649</v>
      </c>
      <c r="M407" s="174" t="s">
        <v>87</v>
      </c>
    </row>
    <row r="408" spans="2:13" x14ac:dyDescent="0.35">
      <c r="B408" s="173" t="s">
        <v>115</v>
      </c>
      <c r="C408" s="146">
        <v>46037</v>
      </c>
      <c r="D408" s="148">
        <v>8272097</v>
      </c>
      <c r="E408" s="148">
        <v>66</v>
      </c>
      <c r="F408" s="149">
        <v>-62500</v>
      </c>
      <c r="G408" s="147" t="s">
        <v>116</v>
      </c>
      <c r="H408" s="148">
        <v>488</v>
      </c>
      <c r="I408" s="148" t="s">
        <v>123</v>
      </c>
      <c r="J408" s="147" t="s">
        <v>124</v>
      </c>
      <c r="K408" s="149">
        <f>+K407+Tabla6[[#This Row],[IMPORTE]]</f>
        <v>326342365.67000014</v>
      </c>
      <c r="L408" s="143" t="s">
        <v>649</v>
      </c>
      <c r="M408" s="174" t="s">
        <v>87</v>
      </c>
    </row>
    <row r="409" spans="2:13" x14ac:dyDescent="0.35">
      <c r="B409" s="173" t="s">
        <v>115</v>
      </c>
      <c r="C409" s="146">
        <v>46037</v>
      </c>
      <c r="D409" s="148">
        <v>8194313</v>
      </c>
      <c r="E409" s="148">
        <v>66</v>
      </c>
      <c r="F409" s="149">
        <v>-51466</v>
      </c>
      <c r="G409" s="147" t="s">
        <v>116</v>
      </c>
      <c r="H409" s="148">
        <v>488</v>
      </c>
      <c r="I409" s="148" t="s">
        <v>123</v>
      </c>
      <c r="J409" s="177" t="s">
        <v>153</v>
      </c>
      <c r="K409" s="149">
        <f>+K408+Tabla6[[#This Row],[IMPORTE]]</f>
        <v>326290899.67000014</v>
      </c>
      <c r="L409" s="178" t="s">
        <v>765</v>
      </c>
      <c r="M409" s="174" t="s">
        <v>92</v>
      </c>
    </row>
    <row r="410" spans="2:13" x14ac:dyDescent="0.35">
      <c r="B410" s="173" t="s">
        <v>115</v>
      </c>
      <c r="C410" s="146">
        <v>46037</v>
      </c>
      <c r="D410" s="148">
        <v>8194312</v>
      </c>
      <c r="E410" s="148">
        <v>66</v>
      </c>
      <c r="F410" s="149">
        <v>-51466</v>
      </c>
      <c r="G410" s="147" t="s">
        <v>116</v>
      </c>
      <c r="H410" s="148">
        <v>488</v>
      </c>
      <c r="I410" s="148" t="s">
        <v>123</v>
      </c>
      <c r="J410" s="177" t="s">
        <v>153</v>
      </c>
      <c r="K410" s="149">
        <f>+K409+Tabla6[[#This Row],[IMPORTE]]</f>
        <v>326239433.67000014</v>
      </c>
      <c r="L410" s="178" t="s">
        <v>765</v>
      </c>
      <c r="M410" s="174" t="s">
        <v>92</v>
      </c>
    </row>
    <row r="411" spans="2:13" x14ac:dyDescent="0.35">
      <c r="B411" s="173" t="s">
        <v>115</v>
      </c>
      <c r="C411" s="146">
        <v>46037</v>
      </c>
      <c r="D411" s="148">
        <v>8194314</v>
      </c>
      <c r="E411" s="148">
        <v>66</v>
      </c>
      <c r="F411" s="149">
        <v>-33454.11</v>
      </c>
      <c r="G411" s="147" t="s">
        <v>116</v>
      </c>
      <c r="H411" s="148">
        <v>488</v>
      </c>
      <c r="I411" s="148" t="s">
        <v>123</v>
      </c>
      <c r="J411" s="177" t="s">
        <v>153</v>
      </c>
      <c r="K411" s="149">
        <f>+K410+Tabla6[[#This Row],[IMPORTE]]</f>
        <v>326205979.56000012</v>
      </c>
      <c r="L411" s="178" t="s">
        <v>765</v>
      </c>
      <c r="M411" s="174" t="s">
        <v>92</v>
      </c>
    </row>
    <row r="412" spans="2:13" x14ac:dyDescent="0.35">
      <c r="B412" s="172" t="s">
        <v>132</v>
      </c>
      <c r="C412" s="126">
        <v>46037</v>
      </c>
      <c r="D412" s="127">
        <v>746300026</v>
      </c>
      <c r="E412" s="127">
        <v>66</v>
      </c>
      <c r="F412" s="128">
        <v>-32278.080000000002</v>
      </c>
      <c r="G412" s="129" t="s">
        <v>133</v>
      </c>
      <c r="H412" s="127">
        <v>562</v>
      </c>
      <c r="I412" s="127" t="s">
        <v>123</v>
      </c>
      <c r="J412" s="129" t="s">
        <v>124</v>
      </c>
      <c r="K412" s="128">
        <f>+K411+Tabla6[[#This Row],[IMPORTE]]</f>
        <v>326173701.48000014</v>
      </c>
      <c r="L412" s="129" t="s">
        <v>182</v>
      </c>
      <c r="M412" s="130" t="s">
        <v>93</v>
      </c>
    </row>
    <row r="413" spans="2:13" x14ac:dyDescent="0.35">
      <c r="B413" s="4" t="s">
        <v>115</v>
      </c>
      <c r="C413" s="120">
        <v>46038</v>
      </c>
      <c r="D413" s="72">
        <v>8497198</v>
      </c>
      <c r="E413" s="72">
        <v>66</v>
      </c>
      <c r="F413" s="113">
        <v>255849.94</v>
      </c>
      <c r="G413" s="5" t="s">
        <v>116</v>
      </c>
      <c r="H413" s="72">
        <v>479</v>
      </c>
      <c r="I413" s="72">
        <v>30659863789</v>
      </c>
      <c r="J413" s="5" t="s">
        <v>119</v>
      </c>
      <c r="K413" s="113">
        <f>+K412+Tabla6[[#This Row],[IMPORTE]]</f>
        <v>326429551.42000014</v>
      </c>
      <c r="L413" s="5" t="s">
        <v>1684</v>
      </c>
      <c r="M413" s="119" t="s">
        <v>100</v>
      </c>
    </row>
    <row r="414" spans="2:13" x14ac:dyDescent="0.35">
      <c r="B414" s="4" t="s">
        <v>160</v>
      </c>
      <c r="C414" s="120">
        <v>46038</v>
      </c>
      <c r="D414" s="72">
        <v>11467959</v>
      </c>
      <c r="E414" s="72">
        <v>100</v>
      </c>
      <c r="F414" s="113">
        <v>267749.69</v>
      </c>
      <c r="G414" s="5" t="s">
        <v>161</v>
      </c>
      <c r="H414" s="72">
        <v>65</v>
      </c>
      <c r="I414" s="72" t="s">
        <v>123</v>
      </c>
      <c r="J414" s="5" t="s">
        <v>124</v>
      </c>
      <c r="K414" s="113">
        <f>+K413+Tabla6[[#This Row],[IMPORTE]]</f>
        <v>326697301.11000013</v>
      </c>
      <c r="L414" s="5" t="s">
        <v>1631</v>
      </c>
      <c r="M414" s="119" t="s">
        <v>100</v>
      </c>
    </row>
    <row r="415" spans="2:13" x14ac:dyDescent="0.35">
      <c r="B415" s="4" t="s">
        <v>115</v>
      </c>
      <c r="C415" s="120">
        <v>46038</v>
      </c>
      <c r="D415" s="72">
        <v>8500144</v>
      </c>
      <c r="E415" s="72">
        <v>66</v>
      </c>
      <c r="F415" s="113">
        <v>436705.96</v>
      </c>
      <c r="G415" s="5" t="s">
        <v>116</v>
      </c>
      <c r="H415" s="72">
        <v>480</v>
      </c>
      <c r="I415" s="72">
        <v>30643990632</v>
      </c>
      <c r="J415" s="5" t="s">
        <v>118</v>
      </c>
      <c r="K415" s="113">
        <f>+K414+Tabla6[[#This Row],[IMPORTE]]</f>
        <v>327134007.07000011</v>
      </c>
      <c r="L415" s="5" t="s">
        <v>1685</v>
      </c>
      <c r="M415" s="119" t="s">
        <v>100</v>
      </c>
    </row>
    <row r="416" spans="2:13" x14ac:dyDescent="0.35">
      <c r="B416" s="4" t="s">
        <v>115</v>
      </c>
      <c r="C416" s="120">
        <v>46038</v>
      </c>
      <c r="D416" s="72">
        <v>8497196</v>
      </c>
      <c r="E416" s="72">
        <v>66</v>
      </c>
      <c r="F416" s="113">
        <v>521076.26</v>
      </c>
      <c r="G416" s="5" t="s">
        <v>116</v>
      </c>
      <c r="H416" s="72">
        <v>479</v>
      </c>
      <c r="I416" s="72">
        <v>30659863789</v>
      </c>
      <c r="J416" s="5" t="s">
        <v>119</v>
      </c>
      <c r="K416" s="113">
        <f>+K415+Tabla6[[#This Row],[IMPORTE]]</f>
        <v>327655083.3300001</v>
      </c>
      <c r="L416" s="5" t="s">
        <v>1684</v>
      </c>
      <c r="M416" s="119" t="s">
        <v>100</v>
      </c>
    </row>
    <row r="417" spans="2:13" x14ac:dyDescent="0.35">
      <c r="B417" s="4" t="s">
        <v>128</v>
      </c>
      <c r="C417" s="120">
        <v>46038</v>
      </c>
      <c r="D417" s="72">
        <v>666301034</v>
      </c>
      <c r="E417" s="72">
        <v>66</v>
      </c>
      <c r="F417" s="113">
        <v>1133336.21</v>
      </c>
      <c r="G417" s="5" t="s">
        <v>129</v>
      </c>
      <c r="H417" s="72">
        <v>93</v>
      </c>
      <c r="I417" s="72" t="s">
        <v>123</v>
      </c>
      <c r="J417" s="5" t="s">
        <v>124</v>
      </c>
      <c r="K417" s="113">
        <f>+K416+Tabla6[[#This Row],[IMPORTE]]</f>
        <v>328788419.54000008</v>
      </c>
      <c r="L417" s="5" t="s">
        <v>1685</v>
      </c>
      <c r="M417" s="119" t="s">
        <v>100</v>
      </c>
    </row>
    <row r="418" spans="2:13" x14ac:dyDescent="0.35">
      <c r="B418" s="4" t="s">
        <v>115</v>
      </c>
      <c r="C418" s="120">
        <v>46038</v>
      </c>
      <c r="D418" s="72">
        <v>8511427</v>
      </c>
      <c r="E418" s="72">
        <v>66</v>
      </c>
      <c r="F418" s="113">
        <v>1758877.28</v>
      </c>
      <c r="G418" s="5" t="s">
        <v>116</v>
      </c>
      <c r="H418" s="72">
        <v>479</v>
      </c>
      <c r="I418" s="72">
        <v>30643990632</v>
      </c>
      <c r="J418" s="5" t="s">
        <v>127</v>
      </c>
      <c r="K418" s="113">
        <f>+K417+Tabla6[[#This Row],[IMPORTE]]</f>
        <v>330547296.82000005</v>
      </c>
      <c r="L418" s="5" t="s">
        <v>1685</v>
      </c>
      <c r="M418" s="119" t="s">
        <v>100</v>
      </c>
    </row>
    <row r="419" spans="2:13" x14ac:dyDescent="0.35">
      <c r="B419" s="4" t="s">
        <v>115</v>
      </c>
      <c r="C419" s="120">
        <v>46038</v>
      </c>
      <c r="D419" s="72">
        <v>8497199</v>
      </c>
      <c r="E419" s="72">
        <v>66</v>
      </c>
      <c r="F419" s="113">
        <v>3934290.4</v>
      </c>
      <c r="G419" s="5" t="s">
        <v>116</v>
      </c>
      <c r="H419" s="72">
        <v>479</v>
      </c>
      <c r="I419" s="72">
        <v>30659863789</v>
      </c>
      <c r="J419" s="5" t="s">
        <v>119</v>
      </c>
      <c r="K419" s="113">
        <f>+K418+Tabla6[[#This Row],[IMPORTE]]</f>
        <v>334481587.22000003</v>
      </c>
      <c r="L419" s="5" t="s">
        <v>1684</v>
      </c>
      <c r="M419" s="119" t="s">
        <v>100</v>
      </c>
    </row>
    <row r="420" spans="2:13" x14ac:dyDescent="0.35">
      <c r="B420" s="4" t="s">
        <v>125</v>
      </c>
      <c r="C420" s="120">
        <v>46038</v>
      </c>
      <c r="D420" s="72">
        <v>746000024</v>
      </c>
      <c r="E420" s="72">
        <v>66</v>
      </c>
      <c r="F420" s="113">
        <v>12691058.960000001</v>
      </c>
      <c r="G420" s="5" t="s">
        <v>126</v>
      </c>
      <c r="H420" s="72">
        <v>558</v>
      </c>
      <c r="I420" s="72" t="s">
        <v>123</v>
      </c>
      <c r="J420" s="5" t="s">
        <v>124</v>
      </c>
      <c r="K420" s="113">
        <f>+K419+Tabla6[[#This Row],[IMPORTE]]</f>
        <v>347172646.18000001</v>
      </c>
      <c r="L420" s="5" t="s">
        <v>1686</v>
      </c>
      <c r="M420" s="119" t="s">
        <v>100</v>
      </c>
    </row>
    <row r="421" spans="2:13" x14ac:dyDescent="0.35">
      <c r="B421" s="173" t="s">
        <v>130</v>
      </c>
      <c r="C421" s="146">
        <v>46038</v>
      </c>
      <c r="D421" s="148">
        <v>4001990234</v>
      </c>
      <c r="E421" s="148">
        <v>66</v>
      </c>
      <c r="F421" s="149">
        <v>-300000000</v>
      </c>
      <c r="G421" s="147" t="s">
        <v>131</v>
      </c>
      <c r="H421" s="148">
        <v>530</v>
      </c>
      <c r="I421" s="148" t="s">
        <v>123</v>
      </c>
      <c r="J421" s="147" t="s">
        <v>1466</v>
      </c>
      <c r="K421" s="149">
        <f>+K420+Tabla6[[#This Row],[IMPORTE]]</f>
        <v>47172646.180000007</v>
      </c>
      <c r="L421" s="143" t="s">
        <v>668</v>
      </c>
      <c r="M421" s="174" t="s">
        <v>83</v>
      </c>
    </row>
    <row r="422" spans="2:13" x14ac:dyDescent="0.35">
      <c r="B422" s="172" t="s">
        <v>132</v>
      </c>
      <c r="C422" s="126">
        <v>46038</v>
      </c>
      <c r="D422" s="127">
        <v>746300025</v>
      </c>
      <c r="E422" s="127">
        <v>66</v>
      </c>
      <c r="F422" s="128">
        <v>-254420.08</v>
      </c>
      <c r="G422" s="129" t="s">
        <v>133</v>
      </c>
      <c r="H422" s="127">
        <v>562</v>
      </c>
      <c r="I422" s="127" t="s">
        <v>123</v>
      </c>
      <c r="J422" s="129" t="s">
        <v>124</v>
      </c>
      <c r="K422" s="128">
        <f>+K421+Tabla6[[#This Row],[IMPORTE]]</f>
        <v>46918226.100000009</v>
      </c>
      <c r="L422" s="129" t="s">
        <v>182</v>
      </c>
      <c r="M422" s="130" t="s">
        <v>93</v>
      </c>
    </row>
    <row r="423" spans="2:13" x14ac:dyDescent="0.35">
      <c r="B423" s="4" t="s">
        <v>121</v>
      </c>
      <c r="C423" s="120">
        <v>46041</v>
      </c>
      <c r="D423" s="72">
        <v>2664006306</v>
      </c>
      <c r="E423" s="72">
        <v>66</v>
      </c>
      <c r="F423" s="113">
        <v>77244.960000000006</v>
      </c>
      <c r="G423" s="5" t="s">
        <v>122</v>
      </c>
      <c r="H423" s="72">
        <v>694</v>
      </c>
      <c r="I423" s="72" t="s">
        <v>123</v>
      </c>
      <c r="J423" s="5" t="s">
        <v>124</v>
      </c>
      <c r="K423" s="113">
        <f>+K422+Tabla6[[#This Row],[IMPORTE]]</f>
        <v>46995471.06000001</v>
      </c>
      <c r="L423" s="5" t="s">
        <v>1488</v>
      </c>
      <c r="M423" s="119" t="s">
        <v>100</v>
      </c>
    </row>
    <row r="424" spans="2:13" x14ac:dyDescent="0.35">
      <c r="B424" s="4" t="s">
        <v>128</v>
      </c>
      <c r="C424" s="120">
        <v>46041</v>
      </c>
      <c r="D424" s="72">
        <v>666309274</v>
      </c>
      <c r="E424" s="72">
        <v>66</v>
      </c>
      <c r="F424" s="113">
        <v>111716.92</v>
      </c>
      <c r="G424" s="5" t="s">
        <v>129</v>
      </c>
      <c r="H424" s="72">
        <v>93</v>
      </c>
      <c r="I424" s="72" t="s">
        <v>123</v>
      </c>
      <c r="J424" s="5" t="s">
        <v>124</v>
      </c>
      <c r="K424" s="113">
        <f>+K423+Tabla6[[#This Row],[IMPORTE]]</f>
        <v>47107187.980000012</v>
      </c>
      <c r="L424" s="5" t="s">
        <v>1489</v>
      </c>
      <c r="M424" s="119" t="s">
        <v>100</v>
      </c>
    </row>
    <row r="425" spans="2:13" x14ac:dyDescent="0.35">
      <c r="B425" s="4" t="s">
        <v>115</v>
      </c>
      <c r="C425" s="120">
        <v>46041</v>
      </c>
      <c r="D425" s="72">
        <v>8597730</v>
      </c>
      <c r="E425" s="72">
        <v>66</v>
      </c>
      <c r="F425" s="113">
        <v>189548.39</v>
      </c>
      <c r="G425" s="5" t="s">
        <v>116</v>
      </c>
      <c r="H425" s="72">
        <v>480</v>
      </c>
      <c r="I425" s="72">
        <v>33621364559</v>
      </c>
      <c r="J425" s="5" t="s">
        <v>144</v>
      </c>
      <c r="K425" s="113">
        <f>+K424+Tabla6[[#This Row],[IMPORTE]]</f>
        <v>47296736.370000012</v>
      </c>
      <c r="L425" s="5" t="s">
        <v>1632</v>
      </c>
      <c r="M425" s="119" t="s">
        <v>100</v>
      </c>
    </row>
    <row r="426" spans="2:13" x14ac:dyDescent="0.35">
      <c r="B426" s="4" t="s">
        <v>115</v>
      </c>
      <c r="C426" s="120">
        <v>46041</v>
      </c>
      <c r="D426" s="72">
        <v>8657036</v>
      </c>
      <c r="E426" s="72">
        <v>66</v>
      </c>
      <c r="F426" s="113">
        <v>359255.83</v>
      </c>
      <c r="G426" s="5" t="s">
        <v>116</v>
      </c>
      <c r="H426" s="72">
        <v>479</v>
      </c>
      <c r="I426" s="72">
        <v>30659863789</v>
      </c>
      <c r="J426" s="5" t="s">
        <v>119</v>
      </c>
      <c r="K426" s="113">
        <f>+K425+Tabla6[[#This Row],[IMPORTE]]</f>
        <v>47655992.20000001</v>
      </c>
      <c r="L426" s="5" t="s">
        <v>1688</v>
      </c>
      <c r="M426" s="119" t="s">
        <v>100</v>
      </c>
    </row>
    <row r="427" spans="2:13" x14ac:dyDescent="0.35">
      <c r="B427" s="4" t="s">
        <v>115</v>
      </c>
      <c r="C427" s="120">
        <v>46041</v>
      </c>
      <c r="D427" s="72">
        <v>8657037</v>
      </c>
      <c r="E427" s="72">
        <v>66</v>
      </c>
      <c r="F427" s="113">
        <v>600638.02</v>
      </c>
      <c r="G427" s="5" t="s">
        <v>116</v>
      </c>
      <c r="H427" s="72">
        <v>479</v>
      </c>
      <c r="I427" s="72">
        <v>30659863789</v>
      </c>
      <c r="J427" s="5" t="s">
        <v>119</v>
      </c>
      <c r="K427" s="113">
        <f>+K426+Tabla6[[#This Row],[IMPORTE]]</f>
        <v>48256630.220000014</v>
      </c>
      <c r="L427" s="5" t="s">
        <v>1688</v>
      </c>
      <c r="M427" s="119" t="s">
        <v>100</v>
      </c>
    </row>
    <row r="428" spans="2:13" x14ac:dyDescent="0.35">
      <c r="B428" s="4" t="s">
        <v>115</v>
      </c>
      <c r="C428" s="120">
        <v>46041</v>
      </c>
      <c r="D428" s="72">
        <v>8663202</v>
      </c>
      <c r="E428" s="72">
        <v>66</v>
      </c>
      <c r="F428" s="113">
        <v>1791821.56</v>
      </c>
      <c r="G428" s="5" t="s">
        <v>116</v>
      </c>
      <c r="H428" s="72">
        <v>480</v>
      </c>
      <c r="I428" s="72">
        <v>30643990632</v>
      </c>
      <c r="J428" s="5" t="s">
        <v>118</v>
      </c>
      <c r="K428" s="113">
        <f>+K427+Tabla6[[#This Row],[IMPORTE]]</f>
        <v>50048451.780000016</v>
      </c>
      <c r="L428" s="5" t="s">
        <v>1689</v>
      </c>
      <c r="M428" s="119" t="s">
        <v>100</v>
      </c>
    </row>
    <row r="429" spans="2:13" x14ac:dyDescent="0.35">
      <c r="B429" s="4" t="s">
        <v>125</v>
      </c>
      <c r="C429" s="120">
        <v>46041</v>
      </c>
      <c r="D429" s="72">
        <v>746000024</v>
      </c>
      <c r="E429" s="72">
        <v>66</v>
      </c>
      <c r="F429" s="113">
        <v>1874667.78</v>
      </c>
      <c r="G429" s="5" t="s">
        <v>126</v>
      </c>
      <c r="H429" s="72">
        <v>558</v>
      </c>
      <c r="I429" s="72" t="s">
        <v>123</v>
      </c>
      <c r="J429" s="5" t="s">
        <v>124</v>
      </c>
      <c r="K429" s="113">
        <f>+K428+Tabla6[[#This Row],[IMPORTE]]</f>
        <v>51923119.560000017</v>
      </c>
      <c r="L429" s="5" t="s">
        <v>1687</v>
      </c>
      <c r="M429" s="119" t="s">
        <v>100</v>
      </c>
    </row>
    <row r="430" spans="2:13" x14ac:dyDescent="0.35">
      <c r="B430" s="4" t="s">
        <v>115</v>
      </c>
      <c r="C430" s="120">
        <v>46041</v>
      </c>
      <c r="D430" s="72">
        <v>8657035</v>
      </c>
      <c r="E430" s="72">
        <v>66</v>
      </c>
      <c r="F430" s="113">
        <v>3206991</v>
      </c>
      <c r="G430" s="5" t="s">
        <v>116</v>
      </c>
      <c r="H430" s="72">
        <v>479</v>
      </c>
      <c r="I430" s="72">
        <v>30659863789</v>
      </c>
      <c r="J430" s="5" t="s">
        <v>119</v>
      </c>
      <c r="K430" s="113">
        <f>+K429+Tabla6[[#This Row],[IMPORTE]]</f>
        <v>55130110.560000017</v>
      </c>
      <c r="L430" s="5" t="s">
        <v>1688</v>
      </c>
      <c r="M430" s="119" t="s">
        <v>100</v>
      </c>
    </row>
    <row r="431" spans="2:13" x14ac:dyDescent="0.35">
      <c r="B431" s="4" t="s">
        <v>128</v>
      </c>
      <c r="C431" s="120">
        <v>46041</v>
      </c>
      <c r="D431" s="72">
        <v>666306251</v>
      </c>
      <c r="E431" s="72">
        <v>66</v>
      </c>
      <c r="F431" s="113">
        <v>4190477.63</v>
      </c>
      <c r="G431" s="5" t="s">
        <v>129</v>
      </c>
      <c r="H431" s="72">
        <v>93</v>
      </c>
      <c r="I431" s="72" t="s">
        <v>123</v>
      </c>
      <c r="J431" s="5" t="s">
        <v>124</v>
      </c>
      <c r="K431" s="113">
        <f>+K430+Tabla6[[#This Row],[IMPORTE]]</f>
        <v>59320588.19000002</v>
      </c>
      <c r="L431" s="5" t="s">
        <v>1689</v>
      </c>
      <c r="M431" s="119" t="s">
        <v>100</v>
      </c>
    </row>
    <row r="432" spans="2:13" x14ac:dyDescent="0.35">
      <c r="B432" s="4" t="s">
        <v>115</v>
      </c>
      <c r="C432" s="120">
        <v>46041</v>
      </c>
      <c r="D432" s="72">
        <v>8660724</v>
      </c>
      <c r="E432" s="72">
        <v>66</v>
      </c>
      <c r="F432" s="113">
        <v>5064343.25</v>
      </c>
      <c r="G432" s="5" t="s">
        <v>116</v>
      </c>
      <c r="H432" s="72">
        <v>479</v>
      </c>
      <c r="I432" s="72">
        <v>30643990632</v>
      </c>
      <c r="J432" s="5" t="s">
        <v>127</v>
      </c>
      <c r="K432" s="113">
        <f>+K431+Tabla6[[#This Row],[IMPORTE]]</f>
        <v>64384931.44000002</v>
      </c>
      <c r="L432" s="5" t="s">
        <v>1689</v>
      </c>
      <c r="M432" s="119" t="s">
        <v>100</v>
      </c>
    </row>
    <row r="433" spans="2:13" x14ac:dyDescent="0.35">
      <c r="B433" s="4" t="s">
        <v>121</v>
      </c>
      <c r="C433" s="120">
        <v>46041</v>
      </c>
      <c r="D433" s="72">
        <v>2663207070</v>
      </c>
      <c r="E433" s="72">
        <v>66</v>
      </c>
      <c r="F433" s="113">
        <v>13452587.859999999</v>
      </c>
      <c r="G433" s="5" t="s">
        <v>122</v>
      </c>
      <c r="H433" s="72">
        <v>694</v>
      </c>
      <c r="I433" s="72" t="s">
        <v>123</v>
      </c>
      <c r="J433" s="5" t="s">
        <v>1690</v>
      </c>
      <c r="K433" s="113">
        <f>+K432+Tabla6[[#This Row],[IMPORTE]]</f>
        <v>77837519.300000012</v>
      </c>
      <c r="L433" s="5" t="s">
        <v>1730</v>
      </c>
      <c r="M433" s="119" t="s">
        <v>100</v>
      </c>
    </row>
    <row r="434" spans="2:13" x14ac:dyDescent="0.35">
      <c r="B434" s="173" t="s">
        <v>115</v>
      </c>
      <c r="C434" s="146">
        <v>46041</v>
      </c>
      <c r="D434" s="148">
        <v>8637654</v>
      </c>
      <c r="E434" s="148">
        <v>66</v>
      </c>
      <c r="F434" s="149">
        <v>-4188202.9</v>
      </c>
      <c r="G434" s="147" t="s">
        <v>116</v>
      </c>
      <c r="H434" s="148">
        <v>488</v>
      </c>
      <c r="I434" s="148" t="s">
        <v>123</v>
      </c>
      <c r="J434" s="147" t="s">
        <v>124</v>
      </c>
      <c r="K434" s="149">
        <f>+K433+Tabla6[[#This Row],[IMPORTE]]</f>
        <v>73649316.400000006</v>
      </c>
      <c r="L434" s="143" t="s">
        <v>660</v>
      </c>
      <c r="M434" s="174" t="s">
        <v>1505</v>
      </c>
    </row>
    <row r="435" spans="2:13" x14ac:dyDescent="0.35">
      <c r="B435" s="173" t="s">
        <v>115</v>
      </c>
      <c r="C435" s="146">
        <v>46041</v>
      </c>
      <c r="D435" s="148">
        <v>8641219</v>
      </c>
      <c r="E435" s="148">
        <v>66</v>
      </c>
      <c r="F435" s="149">
        <v>-1530143.4</v>
      </c>
      <c r="G435" s="147" t="s">
        <v>116</v>
      </c>
      <c r="H435" s="148">
        <v>488</v>
      </c>
      <c r="I435" s="148" t="s">
        <v>123</v>
      </c>
      <c r="J435" s="147" t="s">
        <v>124</v>
      </c>
      <c r="K435" s="149">
        <f>+K434+Tabla6[[#This Row],[IMPORTE]]</f>
        <v>72119173</v>
      </c>
      <c r="L435" s="143" t="s">
        <v>666</v>
      </c>
      <c r="M435" s="174" t="s">
        <v>1505</v>
      </c>
    </row>
    <row r="436" spans="2:13" x14ac:dyDescent="0.35">
      <c r="B436" s="173" t="s">
        <v>115</v>
      </c>
      <c r="C436" s="146">
        <v>46041</v>
      </c>
      <c r="D436" s="148">
        <v>8637646</v>
      </c>
      <c r="E436" s="148">
        <v>66</v>
      </c>
      <c r="F436" s="149">
        <v>-1122224.6000000001</v>
      </c>
      <c r="G436" s="147" t="s">
        <v>116</v>
      </c>
      <c r="H436" s="148">
        <v>488</v>
      </c>
      <c r="I436" s="148" t="s">
        <v>123</v>
      </c>
      <c r="J436" s="147" t="s">
        <v>124</v>
      </c>
      <c r="K436" s="149">
        <f>+K435+Tabla6[[#This Row],[IMPORTE]]</f>
        <v>70996948.400000006</v>
      </c>
      <c r="L436" s="143" t="s">
        <v>659</v>
      </c>
      <c r="M436" s="174" t="s">
        <v>1505</v>
      </c>
    </row>
    <row r="437" spans="2:13" x14ac:dyDescent="0.35">
      <c r="B437" s="173" t="s">
        <v>115</v>
      </c>
      <c r="C437" s="146">
        <v>46041</v>
      </c>
      <c r="D437" s="148">
        <v>8637648</v>
      </c>
      <c r="E437" s="148">
        <v>66</v>
      </c>
      <c r="F437" s="149">
        <v>-740910.26</v>
      </c>
      <c r="G437" s="147" t="s">
        <v>116</v>
      </c>
      <c r="H437" s="148">
        <v>488</v>
      </c>
      <c r="I437" s="148" t="s">
        <v>123</v>
      </c>
      <c r="J437" s="147" t="s">
        <v>124</v>
      </c>
      <c r="K437" s="149">
        <f>+K436+Tabla6[[#This Row],[IMPORTE]]</f>
        <v>70256038.140000001</v>
      </c>
      <c r="L437" s="143" t="s">
        <v>657</v>
      </c>
      <c r="M437" s="174" t="s">
        <v>1505</v>
      </c>
    </row>
    <row r="438" spans="2:13" x14ac:dyDescent="0.35">
      <c r="B438" s="173" t="s">
        <v>115</v>
      </c>
      <c r="C438" s="146">
        <v>46041</v>
      </c>
      <c r="D438" s="148">
        <v>8637651</v>
      </c>
      <c r="E438" s="148">
        <v>66</v>
      </c>
      <c r="F438" s="149">
        <v>-716821.8</v>
      </c>
      <c r="G438" s="147" t="s">
        <v>116</v>
      </c>
      <c r="H438" s="148">
        <v>488</v>
      </c>
      <c r="I438" s="148" t="s">
        <v>123</v>
      </c>
      <c r="J438" s="147" t="s">
        <v>124</v>
      </c>
      <c r="K438" s="149">
        <f>+K437+Tabla6[[#This Row],[IMPORTE]]</f>
        <v>69539216.340000004</v>
      </c>
      <c r="L438" s="143" t="s">
        <v>655</v>
      </c>
      <c r="M438" s="174" t="s">
        <v>1505</v>
      </c>
    </row>
    <row r="439" spans="2:13" x14ac:dyDescent="0.35">
      <c r="B439" s="173" t="s">
        <v>115</v>
      </c>
      <c r="C439" s="146">
        <v>46041</v>
      </c>
      <c r="D439" s="148">
        <v>8637647</v>
      </c>
      <c r="E439" s="148">
        <v>66</v>
      </c>
      <c r="F439" s="149">
        <v>-432000</v>
      </c>
      <c r="G439" s="147" t="s">
        <v>116</v>
      </c>
      <c r="H439" s="148">
        <v>488</v>
      </c>
      <c r="I439" s="148" t="s">
        <v>123</v>
      </c>
      <c r="J439" s="147" t="s">
        <v>124</v>
      </c>
      <c r="K439" s="149">
        <f>+K438+Tabla6[[#This Row],[IMPORTE]]</f>
        <v>69107216.340000004</v>
      </c>
      <c r="L439" s="143" t="s">
        <v>654</v>
      </c>
      <c r="M439" s="174" t="s">
        <v>1505</v>
      </c>
    </row>
    <row r="440" spans="2:13" x14ac:dyDescent="0.35">
      <c r="B440" s="4" t="s">
        <v>115</v>
      </c>
      <c r="C440" s="120">
        <v>46041</v>
      </c>
      <c r="D440" s="72">
        <v>8630641</v>
      </c>
      <c r="E440" s="72">
        <v>66</v>
      </c>
      <c r="F440" s="113">
        <v>-357683</v>
      </c>
      <c r="G440" s="5" t="s">
        <v>116</v>
      </c>
      <c r="H440" s="72">
        <v>488</v>
      </c>
      <c r="I440" s="72" t="s">
        <v>123</v>
      </c>
      <c r="J440" s="5" t="s">
        <v>153</v>
      </c>
      <c r="K440" s="113">
        <f>+K439+Tabla6[[#This Row],[IMPORTE]]</f>
        <v>68749533.340000004</v>
      </c>
      <c r="L440" s="189" t="s">
        <v>1691</v>
      </c>
      <c r="M440" s="119" t="s">
        <v>100</v>
      </c>
    </row>
    <row r="441" spans="2:13" x14ac:dyDescent="0.35">
      <c r="B441" s="4" t="s">
        <v>115</v>
      </c>
      <c r="C441" s="120">
        <v>46041</v>
      </c>
      <c r="D441" s="72">
        <v>8630647</v>
      </c>
      <c r="E441" s="72">
        <v>66</v>
      </c>
      <c r="F441" s="113">
        <v>-214391</v>
      </c>
      <c r="G441" s="5" t="s">
        <v>116</v>
      </c>
      <c r="H441" s="72">
        <v>488</v>
      </c>
      <c r="I441" s="72" t="s">
        <v>123</v>
      </c>
      <c r="J441" s="5" t="s">
        <v>153</v>
      </c>
      <c r="K441" s="113">
        <f>+K440+Tabla6[[#This Row],[IMPORTE]]</f>
        <v>68535142.340000004</v>
      </c>
      <c r="L441" s="189" t="s">
        <v>1691</v>
      </c>
      <c r="M441" s="119" t="s">
        <v>100</v>
      </c>
    </row>
    <row r="442" spans="2:13" x14ac:dyDescent="0.35">
      <c r="B442" s="4" t="s">
        <v>115</v>
      </c>
      <c r="C442" s="120">
        <v>46041</v>
      </c>
      <c r="D442" s="72">
        <v>8630646</v>
      </c>
      <c r="E442" s="72">
        <v>66</v>
      </c>
      <c r="F442" s="113">
        <v>-214391</v>
      </c>
      <c r="G442" s="5" t="s">
        <v>116</v>
      </c>
      <c r="H442" s="72">
        <v>488</v>
      </c>
      <c r="I442" s="72" t="s">
        <v>123</v>
      </c>
      <c r="J442" s="5" t="s">
        <v>153</v>
      </c>
      <c r="K442" s="113">
        <f>+K441+Tabla6[[#This Row],[IMPORTE]]</f>
        <v>68320751.340000004</v>
      </c>
      <c r="L442" s="189" t="s">
        <v>1691</v>
      </c>
      <c r="M442" s="119" t="s">
        <v>100</v>
      </c>
    </row>
    <row r="443" spans="2:13" x14ac:dyDescent="0.35">
      <c r="B443" s="173" t="s">
        <v>115</v>
      </c>
      <c r="C443" s="146">
        <v>46041</v>
      </c>
      <c r="D443" s="148">
        <v>8637649</v>
      </c>
      <c r="E443" s="148">
        <v>66</v>
      </c>
      <c r="F443" s="149">
        <v>-180000</v>
      </c>
      <c r="G443" s="147" t="s">
        <v>116</v>
      </c>
      <c r="H443" s="148">
        <v>488</v>
      </c>
      <c r="I443" s="148" t="s">
        <v>123</v>
      </c>
      <c r="J443" s="147" t="s">
        <v>124</v>
      </c>
      <c r="K443" s="149">
        <f>+K442+Tabla6[[#This Row],[IMPORTE]]</f>
        <v>68140751.340000004</v>
      </c>
      <c r="L443" s="143" t="s">
        <v>658</v>
      </c>
      <c r="M443" s="174" t="s">
        <v>1505</v>
      </c>
    </row>
    <row r="444" spans="2:13" x14ac:dyDescent="0.35">
      <c r="B444" s="173" t="s">
        <v>115</v>
      </c>
      <c r="C444" s="146">
        <v>46041</v>
      </c>
      <c r="D444" s="148">
        <v>8641225</v>
      </c>
      <c r="E444" s="148">
        <v>66</v>
      </c>
      <c r="F444" s="149">
        <v>-177743.4</v>
      </c>
      <c r="G444" s="147" t="s">
        <v>116</v>
      </c>
      <c r="H444" s="148">
        <v>488</v>
      </c>
      <c r="I444" s="148" t="s">
        <v>123</v>
      </c>
      <c r="J444" s="147" t="s">
        <v>124</v>
      </c>
      <c r="K444" s="149">
        <f>+K443+Tabla6[[#This Row],[IMPORTE]]</f>
        <v>67963007.939999998</v>
      </c>
      <c r="L444" s="143" t="s">
        <v>664</v>
      </c>
      <c r="M444" s="174" t="s">
        <v>1505</v>
      </c>
    </row>
    <row r="445" spans="2:13" x14ac:dyDescent="0.35">
      <c r="B445" s="173" t="s">
        <v>115</v>
      </c>
      <c r="C445" s="146">
        <v>46041</v>
      </c>
      <c r="D445" s="148">
        <v>8641220</v>
      </c>
      <c r="E445" s="148">
        <v>66</v>
      </c>
      <c r="F445" s="149">
        <v>-172800</v>
      </c>
      <c r="G445" s="147" t="s">
        <v>116</v>
      </c>
      <c r="H445" s="148">
        <v>488</v>
      </c>
      <c r="I445" s="148" t="s">
        <v>123</v>
      </c>
      <c r="J445" s="147" t="s">
        <v>124</v>
      </c>
      <c r="K445" s="149">
        <f>+K444+Tabla6[[#This Row],[IMPORTE]]</f>
        <v>67790207.939999998</v>
      </c>
      <c r="L445" s="143" t="s">
        <v>662</v>
      </c>
      <c r="M445" s="174" t="s">
        <v>1505</v>
      </c>
    </row>
    <row r="446" spans="2:13" x14ac:dyDescent="0.35">
      <c r="B446" s="173" t="s">
        <v>115</v>
      </c>
      <c r="C446" s="146">
        <v>46041</v>
      </c>
      <c r="D446" s="148">
        <v>8641224</v>
      </c>
      <c r="E446" s="148">
        <v>66</v>
      </c>
      <c r="F446" s="149">
        <v>-107183.4</v>
      </c>
      <c r="G446" s="147" t="s">
        <v>116</v>
      </c>
      <c r="H446" s="148">
        <v>487</v>
      </c>
      <c r="I446" s="148" t="s">
        <v>123</v>
      </c>
      <c r="J446" s="147" t="s">
        <v>124</v>
      </c>
      <c r="K446" s="149">
        <f>+K445+Tabla6[[#This Row],[IMPORTE]]</f>
        <v>67683024.539999992</v>
      </c>
      <c r="L446" s="143" t="s">
        <v>661</v>
      </c>
      <c r="M446" s="174" t="s">
        <v>1505</v>
      </c>
    </row>
    <row r="447" spans="2:13" x14ac:dyDescent="0.35">
      <c r="B447" s="173" t="s">
        <v>115</v>
      </c>
      <c r="C447" s="146">
        <v>46041</v>
      </c>
      <c r="D447" s="148">
        <v>8637652</v>
      </c>
      <c r="E447" s="148">
        <v>66</v>
      </c>
      <c r="F447" s="149">
        <v>-96000</v>
      </c>
      <c r="G447" s="147" t="s">
        <v>116</v>
      </c>
      <c r="H447" s="148">
        <v>488</v>
      </c>
      <c r="I447" s="148" t="s">
        <v>123</v>
      </c>
      <c r="J447" s="147" t="s">
        <v>124</v>
      </c>
      <c r="K447" s="149">
        <f>+K446+Tabla6[[#This Row],[IMPORTE]]</f>
        <v>67587024.539999992</v>
      </c>
      <c r="L447" s="143" t="s">
        <v>656</v>
      </c>
      <c r="M447" s="174" t="s">
        <v>1505</v>
      </c>
    </row>
    <row r="448" spans="2:13" x14ac:dyDescent="0.35">
      <c r="B448" s="173" t="s">
        <v>115</v>
      </c>
      <c r="C448" s="146">
        <v>46041</v>
      </c>
      <c r="D448" s="148">
        <v>8641221</v>
      </c>
      <c r="E448" s="148">
        <v>66</v>
      </c>
      <c r="F448" s="149">
        <v>-75600</v>
      </c>
      <c r="G448" s="147" t="s">
        <v>116</v>
      </c>
      <c r="H448" s="148">
        <v>488</v>
      </c>
      <c r="I448" s="148" t="s">
        <v>123</v>
      </c>
      <c r="J448" s="147" t="s">
        <v>124</v>
      </c>
      <c r="K448" s="149">
        <f>+K447+Tabla6[[#This Row],[IMPORTE]]</f>
        <v>67511424.539999992</v>
      </c>
      <c r="L448" s="143" t="s">
        <v>667</v>
      </c>
      <c r="M448" s="174" t="s">
        <v>1505</v>
      </c>
    </row>
    <row r="449" spans="2:13" x14ac:dyDescent="0.35">
      <c r="B449" s="173" t="s">
        <v>115</v>
      </c>
      <c r="C449" s="146">
        <v>46041</v>
      </c>
      <c r="D449" s="148">
        <v>8641222</v>
      </c>
      <c r="E449" s="148">
        <v>66</v>
      </c>
      <c r="F449" s="149">
        <v>-49766.400000000001</v>
      </c>
      <c r="G449" s="147" t="s">
        <v>116</v>
      </c>
      <c r="H449" s="148">
        <v>488</v>
      </c>
      <c r="I449" s="148" t="s">
        <v>123</v>
      </c>
      <c r="J449" s="147" t="s">
        <v>124</v>
      </c>
      <c r="K449" s="149">
        <f>+K448+Tabla6[[#This Row],[IMPORTE]]</f>
        <v>67461658.139999986</v>
      </c>
      <c r="L449" s="143" t="s">
        <v>663</v>
      </c>
      <c r="M449" s="174" t="s">
        <v>1505</v>
      </c>
    </row>
    <row r="450" spans="2:13" x14ac:dyDescent="0.35">
      <c r="B450" s="172" t="s">
        <v>132</v>
      </c>
      <c r="C450" s="126">
        <v>46041</v>
      </c>
      <c r="D450" s="127">
        <v>746300022</v>
      </c>
      <c r="E450" s="127">
        <v>66</v>
      </c>
      <c r="F450" s="128">
        <v>-41772.97</v>
      </c>
      <c r="G450" s="129" t="s">
        <v>133</v>
      </c>
      <c r="H450" s="127">
        <v>562</v>
      </c>
      <c r="I450" s="127" t="s">
        <v>123</v>
      </c>
      <c r="J450" s="129" t="s">
        <v>124</v>
      </c>
      <c r="K450" s="128">
        <f>+K449+Tabla6[[#This Row],[IMPORTE]]</f>
        <v>67419885.169999987</v>
      </c>
      <c r="L450" s="129" t="s">
        <v>182</v>
      </c>
      <c r="M450" s="130" t="s">
        <v>93</v>
      </c>
    </row>
    <row r="451" spans="2:13" x14ac:dyDescent="0.35">
      <c r="B451" s="4" t="s">
        <v>115</v>
      </c>
      <c r="C451" s="120">
        <v>46041</v>
      </c>
      <c r="D451" s="72">
        <v>8579467</v>
      </c>
      <c r="E451" s="72">
        <v>66</v>
      </c>
      <c r="F451" s="113">
        <v>-35744.769999999997</v>
      </c>
      <c r="G451" s="5" t="s">
        <v>116</v>
      </c>
      <c r="H451" s="72">
        <v>488</v>
      </c>
      <c r="I451" s="72" t="s">
        <v>123</v>
      </c>
      <c r="J451" s="5" t="s">
        <v>1536</v>
      </c>
      <c r="K451" s="113">
        <f>+K450+Tabla6[[#This Row],[IMPORTE]]</f>
        <v>67384140.399999991</v>
      </c>
      <c r="L451" s="5" t="s">
        <v>1691</v>
      </c>
      <c r="M451" s="119" t="s">
        <v>100</v>
      </c>
    </row>
    <row r="452" spans="2:13" x14ac:dyDescent="0.35">
      <c r="B452" s="4" t="s">
        <v>115</v>
      </c>
      <c r="C452" s="120">
        <v>46041</v>
      </c>
      <c r="D452" s="72">
        <v>8630643</v>
      </c>
      <c r="E452" s="72">
        <v>66</v>
      </c>
      <c r="F452" s="113">
        <v>-11361</v>
      </c>
      <c r="G452" s="5" t="s">
        <v>116</v>
      </c>
      <c r="H452" s="72">
        <v>488</v>
      </c>
      <c r="I452" s="72" t="s">
        <v>123</v>
      </c>
      <c r="J452" s="5" t="s">
        <v>153</v>
      </c>
      <c r="K452" s="113">
        <f>+K451+Tabla6[[#This Row],[IMPORTE]]</f>
        <v>67372779.399999991</v>
      </c>
      <c r="L452" s="189" t="s">
        <v>1691</v>
      </c>
      <c r="M452" s="119" t="s">
        <v>100</v>
      </c>
    </row>
    <row r="453" spans="2:13" x14ac:dyDescent="0.35">
      <c r="B453" s="4" t="s">
        <v>115</v>
      </c>
      <c r="C453" s="120">
        <v>46041</v>
      </c>
      <c r="D453" s="72">
        <v>8630640</v>
      </c>
      <c r="E453" s="72">
        <v>66</v>
      </c>
      <c r="F453" s="113">
        <v>-11361</v>
      </c>
      <c r="G453" s="5" t="s">
        <v>116</v>
      </c>
      <c r="H453" s="72">
        <v>488</v>
      </c>
      <c r="I453" s="72"/>
      <c r="J453" s="5" t="s">
        <v>153</v>
      </c>
      <c r="K453" s="113">
        <f>+K452+Tabla6[[#This Row],[IMPORTE]]</f>
        <v>67361418.399999991</v>
      </c>
      <c r="L453" s="189" t="s">
        <v>1691</v>
      </c>
      <c r="M453" s="119" t="s">
        <v>100</v>
      </c>
    </row>
    <row r="454" spans="2:13" x14ac:dyDescent="0.35">
      <c r="B454" s="4" t="s">
        <v>115</v>
      </c>
      <c r="C454" s="120">
        <v>46041</v>
      </c>
      <c r="D454" s="72">
        <v>8579468</v>
      </c>
      <c r="E454" s="72">
        <v>66</v>
      </c>
      <c r="F454" s="113">
        <v>-6022.98</v>
      </c>
      <c r="G454" s="5" t="s">
        <v>116</v>
      </c>
      <c r="H454" s="72">
        <v>488</v>
      </c>
      <c r="I454" s="72" t="s">
        <v>123</v>
      </c>
      <c r="J454" s="5" t="s">
        <v>1536</v>
      </c>
      <c r="K454" s="113">
        <f>+K453+Tabla6[[#This Row],[IMPORTE]]</f>
        <v>67355395.419999987</v>
      </c>
      <c r="L454" s="5" t="s">
        <v>1691</v>
      </c>
      <c r="M454" s="119" t="s">
        <v>100</v>
      </c>
    </row>
    <row r="455" spans="2:13" x14ac:dyDescent="0.35">
      <c r="B455" s="172" t="s">
        <v>130</v>
      </c>
      <c r="C455" s="126">
        <v>46043</v>
      </c>
      <c r="D455" s="127">
        <v>1925203062</v>
      </c>
      <c r="E455" s="127">
        <v>66</v>
      </c>
      <c r="F455" s="128">
        <v>1.4</v>
      </c>
      <c r="G455" s="129" t="s">
        <v>131</v>
      </c>
      <c r="H455" s="127">
        <v>530</v>
      </c>
      <c r="I455" s="127" t="s">
        <v>123</v>
      </c>
      <c r="J455" s="129"/>
      <c r="K455" s="128">
        <f>+K454+Tabla6[[#This Row],[IMPORTE]]</f>
        <v>67355396.819999993</v>
      </c>
      <c r="L455" s="129" t="s">
        <v>1467</v>
      </c>
      <c r="M455" s="130" t="s">
        <v>93</v>
      </c>
    </row>
    <row r="456" spans="2:13" x14ac:dyDescent="0.35">
      <c r="B456" s="4" t="s">
        <v>128</v>
      </c>
      <c r="C456" s="120">
        <v>46042</v>
      </c>
      <c r="D456" s="72">
        <v>666307143</v>
      </c>
      <c r="E456" s="72">
        <v>66</v>
      </c>
      <c r="F456" s="113">
        <v>87334.99</v>
      </c>
      <c r="G456" s="5" t="s">
        <v>129</v>
      </c>
      <c r="H456" s="72">
        <v>93</v>
      </c>
      <c r="I456" s="72" t="s">
        <v>123</v>
      </c>
      <c r="J456" s="5" t="s">
        <v>124</v>
      </c>
      <c r="K456" s="113">
        <f>+K455+Tabla6[[#This Row],[IMPORTE]]</f>
        <v>67442731.809999987</v>
      </c>
      <c r="L456" s="5" t="s">
        <v>1692</v>
      </c>
      <c r="M456" s="119" t="s">
        <v>100</v>
      </c>
    </row>
    <row r="457" spans="2:13" x14ac:dyDescent="0.35">
      <c r="B457" s="4" t="s">
        <v>115</v>
      </c>
      <c r="C457" s="120">
        <v>46042</v>
      </c>
      <c r="D457" s="72">
        <v>8904926</v>
      </c>
      <c r="E457" s="72">
        <v>66</v>
      </c>
      <c r="F457" s="113">
        <v>313497.43</v>
      </c>
      <c r="G457" s="5" t="s">
        <v>116</v>
      </c>
      <c r="H457" s="72">
        <v>480</v>
      </c>
      <c r="I457" s="72">
        <v>30643990632</v>
      </c>
      <c r="J457" s="5" t="s">
        <v>118</v>
      </c>
      <c r="K457" s="113">
        <f>+K456+Tabla6[[#This Row],[IMPORTE]]</f>
        <v>67756229.239999995</v>
      </c>
      <c r="L457" s="5" t="s">
        <v>1692</v>
      </c>
      <c r="M457" s="119" t="s">
        <v>100</v>
      </c>
    </row>
    <row r="458" spans="2:13" x14ac:dyDescent="0.35">
      <c r="B458" s="4" t="s">
        <v>115</v>
      </c>
      <c r="C458" s="120">
        <v>46042</v>
      </c>
      <c r="D458" s="72">
        <v>8913689</v>
      </c>
      <c r="E458" s="72">
        <v>66</v>
      </c>
      <c r="F458" s="113">
        <v>338580.18</v>
      </c>
      <c r="G458" s="5" t="s">
        <v>116</v>
      </c>
      <c r="H458" s="72">
        <v>479</v>
      </c>
      <c r="I458" s="72">
        <v>30659863789</v>
      </c>
      <c r="J458" s="5" t="s">
        <v>119</v>
      </c>
      <c r="K458" s="113">
        <f>+K457+Tabla6[[#This Row],[IMPORTE]]</f>
        <v>68094809.420000002</v>
      </c>
      <c r="L458" s="5" t="s">
        <v>1693</v>
      </c>
      <c r="M458" s="119" t="s">
        <v>100</v>
      </c>
    </row>
    <row r="459" spans="2:13" x14ac:dyDescent="0.35">
      <c r="B459" s="4" t="s">
        <v>115</v>
      </c>
      <c r="C459" s="120">
        <v>46042</v>
      </c>
      <c r="D459" s="72">
        <v>8902773</v>
      </c>
      <c r="E459" s="72">
        <v>66</v>
      </c>
      <c r="F459" s="113">
        <v>514796.34</v>
      </c>
      <c r="G459" s="5" t="s">
        <v>116</v>
      </c>
      <c r="H459" s="72">
        <v>479</v>
      </c>
      <c r="I459" s="72">
        <v>30643990632</v>
      </c>
      <c r="J459" s="5" t="s">
        <v>127</v>
      </c>
      <c r="K459" s="113">
        <f>+K458+Tabla6[[#This Row],[IMPORTE]]</f>
        <v>68609605.760000005</v>
      </c>
      <c r="L459" s="5" t="s">
        <v>1692</v>
      </c>
      <c r="M459" s="119" t="s">
        <v>100</v>
      </c>
    </row>
    <row r="460" spans="2:13" x14ac:dyDescent="0.35">
      <c r="B460" s="4" t="s">
        <v>115</v>
      </c>
      <c r="C460" s="120">
        <v>46042</v>
      </c>
      <c r="D460" s="72">
        <v>8913688</v>
      </c>
      <c r="E460" s="72">
        <v>66</v>
      </c>
      <c r="F460" s="113">
        <v>894888.18</v>
      </c>
      <c r="G460" s="5" t="s">
        <v>116</v>
      </c>
      <c r="H460" s="72">
        <v>479</v>
      </c>
      <c r="I460" s="72">
        <v>30659863789</v>
      </c>
      <c r="J460" s="5" t="s">
        <v>119</v>
      </c>
      <c r="K460" s="113">
        <f>+K459+Tabla6[[#This Row],[IMPORTE]]</f>
        <v>69504493.940000013</v>
      </c>
      <c r="L460" s="5" t="s">
        <v>1693</v>
      </c>
      <c r="M460" s="119" t="s">
        <v>100</v>
      </c>
    </row>
    <row r="461" spans="2:13" x14ac:dyDescent="0.35">
      <c r="B461" s="4" t="s">
        <v>125</v>
      </c>
      <c r="C461" s="120">
        <v>46042</v>
      </c>
      <c r="D461" s="72">
        <v>746000025</v>
      </c>
      <c r="E461" s="72">
        <v>66</v>
      </c>
      <c r="F461" s="113">
        <v>8648295.7300000004</v>
      </c>
      <c r="G461" s="5" t="s">
        <v>126</v>
      </c>
      <c r="H461" s="72">
        <v>558</v>
      </c>
      <c r="I461" s="72" t="s">
        <v>123</v>
      </c>
      <c r="J461" s="5" t="s">
        <v>124</v>
      </c>
      <c r="K461" s="113">
        <f>+K460+Tabla6[[#This Row],[IMPORTE]]</f>
        <v>78152789.670000017</v>
      </c>
      <c r="L461" s="5" t="s">
        <v>1694</v>
      </c>
      <c r="M461" s="119" t="s">
        <v>100</v>
      </c>
    </row>
    <row r="462" spans="2:13" x14ac:dyDescent="0.35">
      <c r="B462" s="4" t="s">
        <v>160</v>
      </c>
      <c r="C462" s="120">
        <v>46042</v>
      </c>
      <c r="D462" s="72">
        <v>11472391</v>
      </c>
      <c r="E462" s="72">
        <v>100</v>
      </c>
      <c r="F462" s="113">
        <v>8952140</v>
      </c>
      <c r="G462" s="5" t="s">
        <v>161</v>
      </c>
      <c r="H462" s="72">
        <v>65</v>
      </c>
      <c r="I462" s="72" t="s">
        <v>123</v>
      </c>
      <c r="J462" s="5" t="s">
        <v>124</v>
      </c>
      <c r="K462" s="113">
        <f>+K461+Tabla6[[#This Row],[IMPORTE]]</f>
        <v>87104929.670000017</v>
      </c>
      <c r="L462" s="5" t="s">
        <v>1633</v>
      </c>
      <c r="M462" s="119" t="s">
        <v>100</v>
      </c>
    </row>
    <row r="463" spans="2:13" x14ac:dyDescent="0.35">
      <c r="B463" s="4" t="s">
        <v>115</v>
      </c>
      <c r="C463" s="120">
        <v>46042</v>
      </c>
      <c r="D463" s="72">
        <v>8913690</v>
      </c>
      <c r="E463" s="72">
        <v>66</v>
      </c>
      <c r="F463" s="113">
        <v>9323338.9499999993</v>
      </c>
      <c r="G463" s="5" t="s">
        <v>116</v>
      </c>
      <c r="H463" s="72">
        <v>479</v>
      </c>
      <c r="I463" s="72">
        <v>30659863789</v>
      </c>
      <c r="J463" s="5" t="s">
        <v>119</v>
      </c>
      <c r="K463" s="113">
        <f>+K462+Tabla6[[#This Row],[IMPORTE]]</f>
        <v>96428268.62000002</v>
      </c>
      <c r="L463" s="5" t="s">
        <v>1693</v>
      </c>
      <c r="M463" s="119" t="s">
        <v>100</v>
      </c>
    </row>
    <row r="464" spans="2:13" x14ac:dyDescent="0.35">
      <c r="B464" s="4" t="s">
        <v>162</v>
      </c>
      <c r="C464" s="120">
        <v>46042</v>
      </c>
      <c r="D464" s="72">
        <v>11472391</v>
      </c>
      <c r="E464" s="72">
        <v>100</v>
      </c>
      <c r="F464" s="113">
        <v>26536941.649999999</v>
      </c>
      <c r="G464" s="5" t="s">
        <v>163</v>
      </c>
      <c r="H464" s="72">
        <v>118</v>
      </c>
      <c r="I464" s="72" t="s">
        <v>123</v>
      </c>
      <c r="J464" s="5" t="s">
        <v>124</v>
      </c>
      <c r="K464" s="113">
        <f>+K463+Tabla6[[#This Row],[IMPORTE]]</f>
        <v>122965210.27000001</v>
      </c>
      <c r="L464" s="5" t="s">
        <v>1633</v>
      </c>
      <c r="M464" s="119" t="s">
        <v>100</v>
      </c>
    </row>
    <row r="465" spans="2:13" x14ac:dyDescent="0.35">
      <c r="B465" s="173" t="s">
        <v>115</v>
      </c>
      <c r="C465" s="146">
        <v>46042</v>
      </c>
      <c r="D465" s="148">
        <v>8912737</v>
      </c>
      <c r="E465" s="148">
        <v>66</v>
      </c>
      <c r="F465" s="149">
        <v>87699748.769999996</v>
      </c>
      <c r="G465" s="147" t="s">
        <v>116</v>
      </c>
      <c r="H465" s="148">
        <v>480</v>
      </c>
      <c r="I465" s="148">
        <v>30699542454</v>
      </c>
      <c r="J465" s="147" t="s">
        <v>153</v>
      </c>
      <c r="K465" s="149">
        <f>+K464+Tabla6[[#This Row],[IMPORTE]]</f>
        <v>210664959.04000002</v>
      </c>
      <c r="L465" s="143" t="s">
        <v>1454</v>
      </c>
      <c r="M465" s="174" t="s">
        <v>92</v>
      </c>
    </row>
    <row r="466" spans="2:13" x14ac:dyDescent="0.35">
      <c r="B466" s="173" t="s">
        <v>130</v>
      </c>
      <c r="C466" s="146">
        <v>46042</v>
      </c>
      <c r="D466" s="148">
        <v>4002000320</v>
      </c>
      <c r="E466" s="148">
        <v>66</v>
      </c>
      <c r="F466" s="149">
        <v>250000000</v>
      </c>
      <c r="G466" s="147" t="s">
        <v>131</v>
      </c>
      <c r="H466" s="148">
        <v>530</v>
      </c>
      <c r="I466" s="148" t="s">
        <v>123</v>
      </c>
      <c r="J466" s="147" t="s">
        <v>1465</v>
      </c>
      <c r="K466" s="149">
        <f>+K465+Tabla6[[#This Row],[IMPORTE]]</f>
        <v>460664959.04000002</v>
      </c>
      <c r="L466" s="143" t="s">
        <v>1455</v>
      </c>
      <c r="M466" s="174" t="s">
        <v>83</v>
      </c>
    </row>
    <row r="467" spans="2:13" x14ac:dyDescent="0.35">
      <c r="B467" s="173" t="s">
        <v>115</v>
      </c>
      <c r="C467" s="146">
        <v>46042</v>
      </c>
      <c r="D467" s="148">
        <v>8913424</v>
      </c>
      <c r="E467" s="148">
        <v>66</v>
      </c>
      <c r="F467" s="149">
        <v>-289743062.81</v>
      </c>
      <c r="G467" s="147" t="s">
        <v>116</v>
      </c>
      <c r="H467" s="148">
        <v>487</v>
      </c>
      <c r="I467" s="148" t="s">
        <v>123</v>
      </c>
      <c r="J467" s="147" t="s">
        <v>124</v>
      </c>
      <c r="K467" s="149">
        <f>+K466+Tabla6[[#This Row],[IMPORTE]]</f>
        <v>170921896.23000002</v>
      </c>
      <c r="L467" s="143" t="s">
        <v>676</v>
      </c>
      <c r="M467" s="174" t="s">
        <v>1505</v>
      </c>
    </row>
    <row r="468" spans="2:13" x14ac:dyDescent="0.35">
      <c r="B468" s="4" t="s">
        <v>164</v>
      </c>
      <c r="C468" s="120">
        <v>46042</v>
      </c>
      <c r="D468" s="72">
        <v>2633012387</v>
      </c>
      <c r="E468" s="72">
        <v>66</v>
      </c>
      <c r="F468" s="113">
        <v>-6023857</v>
      </c>
      <c r="G468" s="5" t="s">
        <v>165</v>
      </c>
      <c r="H468" s="72">
        <v>204</v>
      </c>
      <c r="I468" s="72" t="s">
        <v>123</v>
      </c>
      <c r="J468" s="5" t="s">
        <v>153</v>
      </c>
      <c r="K468" s="113">
        <f>+K467+Tabla6[[#This Row],[IMPORTE]]</f>
        <v>164898039.23000002</v>
      </c>
      <c r="L468" s="189" t="s">
        <v>1691</v>
      </c>
      <c r="M468" s="119" t="s">
        <v>100</v>
      </c>
    </row>
    <row r="469" spans="2:13" x14ac:dyDescent="0.35">
      <c r="B469" s="173" t="s">
        <v>115</v>
      </c>
      <c r="C469" s="146">
        <v>46042</v>
      </c>
      <c r="D469" s="148">
        <v>8913428</v>
      </c>
      <c r="E469" s="148">
        <v>66</v>
      </c>
      <c r="F469" s="149">
        <v>-5800475.7599999998</v>
      </c>
      <c r="G469" s="147" t="s">
        <v>116</v>
      </c>
      <c r="H469" s="148">
        <v>488</v>
      </c>
      <c r="I469" s="148" t="s">
        <v>123</v>
      </c>
      <c r="J469" s="147" t="s">
        <v>124</v>
      </c>
      <c r="K469" s="149">
        <f>+K468+Tabla6[[#This Row],[IMPORTE]]</f>
        <v>159097563.47000003</v>
      </c>
      <c r="L469" s="143" t="s">
        <v>673</v>
      </c>
      <c r="M469" s="174" t="s">
        <v>1505</v>
      </c>
    </row>
    <row r="470" spans="2:13" x14ac:dyDescent="0.35">
      <c r="B470" s="173" t="s">
        <v>115</v>
      </c>
      <c r="C470" s="146">
        <v>46042</v>
      </c>
      <c r="D470" s="148">
        <v>8913430</v>
      </c>
      <c r="E470" s="148">
        <v>66</v>
      </c>
      <c r="F470" s="149">
        <v>-3215335.72</v>
      </c>
      <c r="G470" s="147" t="s">
        <v>116</v>
      </c>
      <c r="H470" s="148">
        <v>487</v>
      </c>
      <c r="I470" s="148" t="s">
        <v>123</v>
      </c>
      <c r="J470" s="147" t="s">
        <v>124</v>
      </c>
      <c r="K470" s="149">
        <f>+K469+Tabla6[[#This Row],[IMPORTE]]</f>
        <v>155882227.75000003</v>
      </c>
      <c r="L470" s="143" t="s">
        <v>672</v>
      </c>
      <c r="M470" s="174" t="s">
        <v>1505</v>
      </c>
    </row>
    <row r="471" spans="2:13" x14ac:dyDescent="0.35">
      <c r="B471" s="184" t="s">
        <v>115</v>
      </c>
      <c r="C471" s="108">
        <v>46042</v>
      </c>
      <c r="D471" s="118">
        <v>8771783</v>
      </c>
      <c r="E471" s="118">
        <v>66</v>
      </c>
      <c r="F471" s="111">
        <v>-2666887.7000000002</v>
      </c>
      <c r="G471" s="109" t="s">
        <v>116</v>
      </c>
      <c r="H471" s="118">
        <v>487</v>
      </c>
      <c r="I471" s="118" t="s">
        <v>123</v>
      </c>
      <c r="J471" s="109" t="s">
        <v>124</v>
      </c>
      <c r="K471" s="111">
        <f>+K470+Tabla6[[#This Row],[IMPORTE]]</f>
        <v>153215340.05000004</v>
      </c>
      <c r="L471" s="109" t="s">
        <v>1642</v>
      </c>
      <c r="M471" s="110" t="s">
        <v>86</v>
      </c>
    </row>
    <row r="472" spans="2:13" x14ac:dyDescent="0.35">
      <c r="B472" s="173" t="s">
        <v>115</v>
      </c>
      <c r="C472" s="146">
        <v>46042</v>
      </c>
      <c r="D472" s="148">
        <v>8913426</v>
      </c>
      <c r="E472" s="148">
        <v>66</v>
      </c>
      <c r="F472" s="149">
        <v>-2640000</v>
      </c>
      <c r="G472" s="147" t="s">
        <v>116</v>
      </c>
      <c r="H472" s="148">
        <v>487</v>
      </c>
      <c r="I472" s="148" t="s">
        <v>123</v>
      </c>
      <c r="J472" s="147" t="s">
        <v>124</v>
      </c>
      <c r="K472" s="149">
        <f>+K471+Tabla6[[#This Row],[IMPORTE]]</f>
        <v>150575340.05000004</v>
      </c>
      <c r="L472" s="143" t="s">
        <v>674</v>
      </c>
      <c r="M472" s="174" t="s">
        <v>1505</v>
      </c>
    </row>
    <row r="473" spans="2:13" x14ac:dyDescent="0.35">
      <c r="B473" s="173" t="s">
        <v>115</v>
      </c>
      <c r="C473" s="146">
        <v>46042</v>
      </c>
      <c r="D473" s="148">
        <v>8848778</v>
      </c>
      <c r="E473" s="148">
        <v>66</v>
      </c>
      <c r="F473" s="149">
        <v>-792358.40000000002</v>
      </c>
      <c r="G473" s="147" t="s">
        <v>116</v>
      </c>
      <c r="H473" s="148">
        <v>487</v>
      </c>
      <c r="I473" s="148" t="s">
        <v>123</v>
      </c>
      <c r="J473" s="147" t="s">
        <v>124</v>
      </c>
      <c r="K473" s="149">
        <f>+K472+Tabla6[[#This Row],[IMPORTE]]</f>
        <v>149782981.65000004</v>
      </c>
      <c r="L473" s="143" t="s">
        <v>669</v>
      </c>
      <c r="M473" s="174" t="s">
        <v>1505</v>
      </c>
    </row>
    <row r="474" spans="2:13" x14ac:dyDescent="0.35">
      <c r="B474" s="173" t="s">
        <v>115</v>
      </c>
      <c r="C474" s="146">
        <v>46042</v>
      </c>
      <c r="D474" s="148">
        <v>8913432</v>
      </c>
      <c r="E474" s="148">
        <v>66</v>
      </c>
      <c r="F474" s="149">
        <v>-295343.40000000002</v>
      </c>
      <c r="G474" s="147" t="s">
        <v>116</v>
      </c>
      <c r="H474" s="148">
        <v>488</v>
      </c>
      <c r="I474" s="148" t="s">
        <v>123</v>
      </c>
      <c r="J474" s="147" t="s">
        <v>124</v>
      </c>
      <c r="K474" s="149">
        <f>+K473+Tabla6[[#This Row],[IMPORTE]]</f>
        <v>149487638.25000003</v>
      </c>
      <c r="L474" s="143" t="s">
        <v>671</v>
      </c>
      <c r="M474" s="174" t="s">
        <v>1505</v>
      </c>
    </row>
    <row r="475" spans="2:13" x14ac:dyDescent="0.35">
      <c r="B475" s="173" t="s">
        <v>115</v>
      </c>
      <c r="C475" s="146">
        <v>46042</v>
      </c>
      <c r="D475" s="148">
        <v>8913434</v>
      </c>
      <c r="E475" s="148">
        <v>66</v>
      </c>
      <c r="F475" s="149">
        <v>-189503.4</v>
      </c>
      <c r="G475" s="147" t="s">
        <v>116</v>
      </c>
      <c r="H475" s="148">
        <v>487</v>
      </c>
      <c r="I475" s="148" t="s">
        <v>123</v>
      </c>
      <c r="J475" s="147" t="s">
        <v>124</v>
      </c>
      <c r="K475" s="149">
        <f>+K474+Tabla6[[#This Row],[IMPORTE]]</f>
        <v>149298134.85000002</v>
      </c>
      <c r="L475" s="143" t="s">
        <v>675</v>
      </c>
      <c r="M475" s="174" t="s">
        <v>1505</v>
      </c>
    </row>
    <row r="476" spans="2:13" x14ac:dyDescent="0.35">
      <c r="B476" s="172" t="s">
        <v>132</v>
      </c>
      <c r="C476" s="126">
        <v>46042</v>
      </c>
      <c r="D476" s="127">
        <v>746300024</v>
      </c>
      <c r="E476" s="127">
        <v>66</v>
      </c>
      <c r="F476" s="128">
        <v>-177072.79</v>
      </c>
      <c r="G476" s="129" t="s">
        <v>133</v>
      </c>
      <c r="H476" s="127">
        <v>562</v>
      </c>
      <c r="I476" s="127" t="s">
        <v>123</v>
      </c>
      <c r="J476" s="129" t="s">
        <v>124</v>
      </c>
      <c r="K476" s="128">
        <f>+K475+Tabla6[[#This Row],[IMPORTE]]</f>
        <v>149121062.06000003</v>
      </c>
      <c r="L476" s="129" t="s">
        <v>182</v>
      </c>
      <c r="M476" s="130" t="s">
        <v>93</v>
      </c>
    </row>
    <row r="477" spans="2:13" x14ac:dyDescent="0.35">
      <c r="B477" s="173" t="s">
        <v>115</v>
      </c>
      <c r="C477" s="146">
        <v>46042</v>
      </c>
      <c r="D477" s="148">
        <v>8848779</v>
      </c>
      <c r="E477" s="148">
        <v>66</v>
      </c>
      <c r="F477" s="149">
        <v>-126000</v>
      </c>
      <c r="G477" s="147" t="s">
        <v>116</v>
      </c>
      <c r="H477" s="148">
        <v>488</v>
      </c>
      <c r="I477" s="148" t="s">
        <v>123</v>
      </c>
      <c r="J477" s="147" t="s">
        <v>124</v>
      </c>
      <c r="K477" s="149">
        <f>+K476+Tabla6[[#This Row],[IMPORTE]]</f>
        <v>148995062.06000003</v>
      </c>
      <c r="L477" s="143" t="s">
        <v>670</v>
      </c>
      <c r="M477" s="174" t="s">
        <v>1505</v>
      </c>
    </row>
    <row r="478" spans="2:13" x14ac:dyDescent="0.35">
      <c r="B478" s="173" t="s">
        <v>115</v>
      </c>
      <c r="C478" s="146">
        <v>46042</v>
      </c>
      <c r="D478" s="148">
        <v>8848777</v>
      </c>
      <c r="E478" s="148">
        <v>66</v>
      </c>
      <c r="F478" s="149">
        <v>-45000</v>
      </c>
      <c r="G478" s="147" t="s">
        <v>116</v>
      </c>
      <c r="H478" s="148">
        <v>488</v>
      </c>
      <c r="I478" s="148" t="s">
        <v>123</v>
      </c>
      <c r="J478" s="147" t="s">
        <v>124</v>
      </c>
      <c r="K478" s="149">
        <f>+K477+Tabla6[[#This Row],[IMPORTE]]</f>
        <v>148950062.06000003</v>
      </c>
      <c r="L478" s="143" t="s">
        <v>665</v>
      </c>
      <c r="M478" s="174" t="s">
        <v>1505</v>
      </c>
    </row>
    <row r="479" spans="2:13" x14ac:dyDescent="0.35">
      <c r="B479" s="4" t="s">
        <v>115</v>
      </c>
      <c r="C479" s="120">
        <v>46042</v>
      </c>
      <c r="D479" s="72">
        <v>8852845</v>
      </c>
      <c r="E479" s="72">
        <v>66</v>
      </c>
      <c r="F479" s="113">
        <v>-32517.5</v>
      </c>
      <c r="G479" s="5" t="s">
        <v>116</v>
      </c>
      <c r="H479" s="72">
        <v>488</v>
      </c>
      <c r="I479" s="72" t="s">
        <v>123</v>
      </c>
      <c r="J479" s="5" t="s">
        <v>1536</v>
      </c>
      <c r="K479" s="113">
        <f>+K478+Tabla6[[#This Row],[IMPORTE]]</f>
        <v>148917544.56000003</v>
      </c>
      <c r="L479" s="5" t="s">
        <v>1534</v>
      </c>
      <c r="M479" s="119" t="s">
        <v>100</v>
      </c>
    </row>
    <row r="480" spans="2:13" x14ac:dyDescent="0.35">
      <c r="B480" s="4" t="s">
        <v>115</v>
      </c>
      <c r="C480" s="120">
        <v>46042</v>
      </c>
      <c r="D480" s="72">
        <v>8852844</v>
      </c>
      <c r="E480" s="72">
        <v>66</v>
      </c>
      <c r="F480" s="113">
        <v>-31836.560000000001</v>
      </c>
      <c r="G480" s="5" t="s">
        <v>116</v>
      </c>
      <c r="H480" s="72">
        <v>488</v>
      </c>
      <c r="I480" s="72" t="s">
        <v>123</v>
      </c>
      <c r="J480" s="189" t="s">
        <v>1536</v>
      </c>
      <c r="K480" s="113">
        <f>+K479+Tabla6[[#This Row],[IMPORTE]]</f>
        <v>148885708.00000003</v>
      </c>
      <c r="L480" s="5" t="s">
        <v>1534</v>
      </c>
      <c r="M480" s="119" t="s">
        <v>100</v>
      </c>
    </row>
    <row r="481" spans="2:13" x14ac:dyDescent="0.35">
      <c r="B481" s="4" t="s">
        <v>115</v>
      </c>
      <c r="C481" s="120">
        <v>46042</v>
      </c>
      <c r="D481" s="72">
        <v>8771784</v>
      </c>
      <c r="E481" s="72">
        <v>66</v>
      </c>
      <c r="F481" s="113">
        <v>-18247.11</v>
      </c>
      <c r="G481" s="5" t="s">
        <v>116</v>
      </c>
      <c r="H481" s="72">
        <v>487</v>
      </c>
      <c r="I481" s="72" t="s">
        <v>123</v>
      </c>
      <c r="J481" s="5" t="s">
        <v>1696</v>
      </c>
      <c r="K481" s="113">
        <f>+K480+Tabla6[[#This Row],[IMPORTE]]</f>
        <v>148867460.89000002</v>
      </c>
      <c r="L481" s="5" t="s">
        <v>1697</v>
      </c>
      <c r="M481" s="119" t="s">
        <v>100</v>
      </c>
    </row>
    <row r="482" spans="2:13" x14ac:dyDescent="0.35">
      <c r="B482" s="4" t="s">
        <v>128</v>
      </c>
      <c r="C482" s="120">
        <v>46043</v>
      </c>
      <c r="D482" s="72">
        <v>666304710</v>
      </c>
      <c r="E482" s="72">
        <v>66</v>
      </c>
      <c r="F482" s="113">
        <v>39000</v>
      </c>
      <c r="G482" s="5" t="s">
        <v>129</v>
      </c>
      <c r="H482" s="72">
        <v>93</v>
      </c>
      <c r="I482" s="72" t="s">
        <v>123</v>
      </c>
      <c r="J482" s="5" t="s">
        <v>124</v>
      </c>
      <c r="K482" s="113">
        <f>+K481+Tabla6[[#This Row],[IMPORTE]]</f>
        <v>148906460.89000002</v>
      </c>
      <c r="L482" s="5" t="s">
        <v>1634</v>
      </c>
      <c r="M482" s="119" t="s">
        <v>100</v>
      </c>
    </row>
    <row r="483" spans="2:13" x14ac:dyDescent="0.35">
      <c r="B483" s="4" t="s">
        <v>115</v>
      </c>
      <c r="C483" s="120">
        <v>46043</v>
      </c>
      <c r="D483" s="72">
        <v>9155170</v>
      </c>
      <c r="E483" s="72">
        <v>66</v>
      </c>
      <c r="F483" s="113">
        <v>580731.71</v>
      </c>
      <c r="G483" s="5" t="s">
        <v>116</v>
      </c>
      <c r="H483" s="72">
        <v>480</v>
      </c>
      <c r="I483" s="72">
        <v>30643990632</v>
      </c>
      <c r="J483" s="5" t="s">
        <v>118</v>
      </c>
      <c r="K483" s="113">
        <f>+K482+Tabla6[[#This Row],[IMPORTE]]</f>
        <v>149487192.60000002</v>
      </c>
      <c r="L483" s="5" t="s">
        <v>1698</v>
      </c>
      <c r="M483" s="119" t="s">
        <v>100</v>
      </c>
    </row>
    <row r="484" spans="2:13" x14ac:dyDescent="0.35">
      <c r="B484" s="4" t="s">
        <v>115</v>
      </c>
      <c r="C484" s="120">
        <v>46043</v>
      </c>
      <c r="D484" s="72">
        <v>9155632</v>
      </c>
      <c r="E484" s="72">
        <v>66</v>
      </c>
      <c r="F484" s="113">
        <v>665889</v>
      </c>
      <c r="G484" s="5" t="s">
        <v>116</v>
      </c>
      <c r="H484" s="72">
        <v>479</v>
      </c>
      <c r="I484" s="72">
        <v>30659863789</v>
      </c>
      <c r="J484" s="5" t="s">
        <v>119</v>
      </c>
      <c r="K484" s="113">
        <f>+K483+Tabla6[[#This Row],[IMPORTE]]</f>
        <v>150153081.60000002</v>
      </c>
      <c r="L484" s="5" t="s">
        <v>1699</v>
      </c>
      <c r="M484" s="119" t="s">
        <v>100</v>
      </c>
    </row>
    <row r="485" spans="2:13" x14ac:dyDescent="0.35">
      <c r="B485" s="4" t="s">
        <v>115</v>
      </c>
      <c r="C485" s="120">
        <v>46043</v>
      </c>
      <c r="D485" s="72">
        <v>9164365</v>
      </c>
      <c r="E485" s="72">
        <v>66</v>
      </c>
      <c r="F485" s="113">
        <v>1371510.96</v>
      </c>
      <c r="G485" s="5" t="s">
        <v>116</v>
      </c>
      <c r="H485" s="72">
        <v>480</v>
      </c>
      <c r="I485" s="72">
        <v>30663500399</v>
      </c>
      <c r="J485" s="5" t="s">
        <v>166</v>
      </c>
      <c r="K485" s="113">
        <f>+K484+Tabla6[[#This Row],[IMPORTE]]</f>
        <v>151524592.56000003</v>
      </c>
      <c r="L485" s="5" t="s">
        <v>1635</v>
      </c>
      <c r="M485" s="119" t="s">
        <v>100</v>
      </c>
    </row>
    <row r="486" spans="2:13" x14ac:dyDescent="0.35">
      <c r="B486" s="4" t="s">
        <v>115</v>
      </c>
      <c r="C486" s="120">
        <v>46043</v>
      </c>
      <c r="D486" s="72">
        <v>9155630</v>
      </c>
      <c r="E486" s="72">
        <v>66</v>
      </c>
      <c r="F486" s="113">
        <v>2284295.12</v>
      </c>
      <c r="G486" s="5" t="s">
        <v>116</v>
      </c>
      <c r="H486" s="72">
        <v>479</v>
      </c>
      <c r="I486" s="72">
        <v>30659863789</v>
      </c>
      <c r="J486" s="5" t="s">
        <v>119</v>
      </c>
      <c r="K486" s="113">
        <f>+K485+Tabla6[[#This Row],[IMPORTE]]</f>
        <v>153808887.68000004</v>
      </c>
      <c r="L486" s="5" t="s">
        <v>1699</v>
      </c>
      <c r="M486" s="119" t="s">
        <v>100</v>
      </c>
    </row>
    <row r="487" spans="2:13" x14ac:dyDescent="0.35">
      <c r="B487" s="4" t="s">
        <v>128</v>
      </c>
      <c r="C487" s="120">
        <v>46043</v>
      </c>
      <c r="D487" s="72">
        <v>666304281</v>
      </c>
      <c r="E487" s="72">
        <v>66</v>
      </c>
      <c r="F487" s="113">
        <v>4048811.9</v>
      </c>
      <c r="G487" s="5" t="s">
        <v>129</v>
      </c>
      <c r="H487" s="72">
        <v>93</v>
      </c>
      <c r="I487" s="72" t="s">
        <v>123</v>
      </c>
      <c r="J487" s="5" t="s">
        <v>124</v>
      </c>
      <c r="K487" s="113">
        <f>+K486+Tabla6[[#This Row],[IMPORTE]]</f>
        <v>157857699.58000004</v>
      </c>
      <c r="L487" s="5" t="s">
        <v>1698</v>
      </c>
      <c r="M487" s="119" t="s">
        <v>100</v>
      </c>
    </row>
    <row r="488" spans="2:13" x14ac:dyDescent="0.35">
      <c r="B488" s="4" t="s">
        <v>115</v>
      </c>
      <c r="C488" s="120">
        <v>46043</v>
      </c>
      <c r="D488" s="72">
        <v>9127912</v>
      </c>
      <c r="E488" s="72">
        <v>66</v>
      </c>
      <c r="F488" s="113">
        <v>4166568.21</v>
      </c>
      <c r="G488" s="5" t="s">
        <v>116</v>
      </c>
      <c r="H488" s="72">
        <v>479</v>
      </c>
      <c r="I488" s="72">
        <v>30643990632</v>
      </c>
      <c r="J488" s="5" t="s">
        <v>127</v>
      </c>
      <c r="K488" s="113">
        <f>+K487+Tabla6[[#This Row],[IMPORTE]]</f>
        <v>162024267.79000005</v>
      </c>
      <c r="L488" s="5" t="s">
        <v>1698</v>
      </c>
      <c r="M488" s="119" t="s">
        <v>100</v>
      </c>
    </row>
    <row r="489" spans="2:13" x14ac:dyDescent="0.35">
      <c r="B489" s="4" t="s">
        <v>121</v>
      </c>
      <c r="C489" s="120">
        <v>46043</v>
      </c>
      <c r="D489" s="72">
        <v>2664003271</v>
      </c>
      <c r="E489" s="72">
        <v>66</v>
      </c>
      <c r="F489" s="113">
        <v>5510995.79</v>
      </c>
      <c r="G489" s="5" t="s">
        <v>122</v>
      </c>
      <c r="H489" s="72">
        <v>694</v>
      </c>
      <c r="I489" s="72" t="s">
        <v>123</v>
      </c>
      <c r="J489" s="5" t="s">
        <v>124</v>
      </c>
      <c r="K489" s="113">
        <f>+K488+Tabla6[[#This Row],[IMPORTE]]</f>
        <v>167535263.58000004</v>
      </c>
      <c r="L489" s="5" t="s">
        <v>1490</v>
      </c>
      <c r="M489" s="119" t="s">
        <v>100</v>
      </c>
    </row>
    <row r="490" spans="2:13" x14ac:dyDescent="0.35">
      <c r="B490" s="4" t="s">
        <v>125</v>
      </c>
      <c r="C490" s="120">
        <v>46043</v>
      </c>
      <c r="D490" s="72">
        <v>746000051</v>
      </c>
      <c r="E490" s="72">
        <v>66</v>
      </c>
      <c r="F490" s="113">
        <v>7100542.5899999999</v>
      </c>
      <c r="G490" s="5" t="s">
        <v>126</v>
      </c>
      <c r="H490" s="72">
        <v>558</v>
      </c>
      <c r="I490" s="72" t="s">
        <v>123</v>
      </c>
      <c r="J490" s="5" t="s">
        <v>124</v>
      </c>
      <c r="K490" s="113">
        <f>+K489+Tabla6[[#This Row],[IMPORTE]]</f>
        <v>174635806.17000005</v>
      </c>
      <c r="L490" s="5" t="s">
        <v>1700</v>
      </c>
      <c r="M490" s="119" t="s">
        <v>100</v>
      </c>
    </row>
    <row r="491" spans="2:13" x14ac:dyDescent="0.35">
      <c r="B491" s="4" t="s">
        <v>115</v>
      </c>
      <c r="C491" s="120">
        <v>46043</v>
      </c>
      <c r="D491" s="72">
        <v>9155634</v>
      </c>
      <c r="E491" s="72">
        <v>66</v>
      </c>
      <c r="F491" s="113">
        <v>18234176.289999999</v>
      </c>
      <c r="G491" s="5" t="s">
        <v>116</v>
      </c>
      <c r="H491" s="72">
        <v>479</v>
      </c>
      <c r="I491" s="72">
        <v>30659863789</v>
      </c>
      <c r="J491" s="5" t="s">
        <v>119</v>
      </c>
      <c r="K491" s="113">
        <f>+K490+Tabla6[[#This Row],[IMPORTE]]</f>
        <v>192869982.46000004</v>
      </c>
      <c r="L491" s="5" t="s">
        <v>1699</v>
      </c>
      <c r="M491" s="119" t="s">
        <v>100</v>
      </c>
    </row>
    <row r="492" spans="2:13" x14ac:dyDescent="0.35">
      <c r="B492" s="173" t="s">
        <v>130</v>
      </c>
      <c r="C492" s="146">
        <v>46043</v>
      </c>
      <c r="D492" s="148">
        <v>4001990169</v>
      </c>
      <c r="E492" s="148">
        <v>66</v>
      </c>
      <c r="F492" s="149">
        <v>-100000000</v>
      </c>
      <c r="G492" s="147" t="s">
        <v>131</v>
      </c>
      <c r="H492" s="148">
        <v>530</v>
      </c>
      <c r="I492" s="148" t="s">
        <v>123</v>
      </c>
      <c r="J492" s="147" t="s">
        <v>1466</v>
      </c>
      <c r="K492" s="149">
        <f>+K491+Tabla6[[#This Row],[IMPORTE]]</f>
        <v>92869982.460000038</v>
      </c>
      <c r="L492" s="143" t="s">
        <v>716</v>
      </c>
      <c r="M492" s="174" t="s">
        <v>83</v>
      </c>
    </row>
    <row r="493" spans="2:13" x14ac:dyDescent="0.35">
      <c r="B493" s="173" t="s">
        <v>115</v>
      </c>
      <c r="C493" s="146">
        <v>46043</v>
      </c>
      <c r="D493" s="148">
        <v>9115579</v>
      </c>
      <c r="E493" s="148">
        <v>66</v>
      </c>
      <c r="F493" s="149">
        <v>-7327004.1399999997</v>
      </c>
      <c r="G493" s="147" t="s">
        <v>116</v>
      </c>
      <c r="H493" s="148">
        <v>488</v>
      </c>
      <c r="I493" s="148" t="s">
        <v>123</v>
      </c>
      <c r="J493" s="147" t="s">
        <v>124</v>
      </c>
      <c r="K493" s="149">
        <f>+K492+Tabla6[[#This Row],[IMPORTE]]</f>
        <v>85542978.320000038</v>
      </c>
      <c r="L493" s="143" t="s">
        <v>688</v>
      </c>
      <c r="M493" s="174" t="s">
        <v>1505</v>
      </c>
    </row>
    <row r="494" spans="2:13" x14ac:dyDescent="0.35">
      <c r="B494" s="173" t="s">
        <v>115</v>
      </c>
      <c r="C494" s="146">
        <v>46043</v>
      </c>
      <c r="D494" s="148">
        <v>9115577</v>
      </c>
      <c r="E494" s="148">
        <v>66</v>
      </c>
      <c r="F494" s="149">
        <v>-6834541.8799999999</v>
      </c>
      <c r="G494" s="147" t="s">
        <v>116</v>
      </c>
      <c r="H494" s="148">
        <v>488</v>
      </c>
      <c r="I494" s="148" t="s">
        <v>123</v>
      </c>
      <c r="J494" s="147" t="s">
        <v>124</v>
      </c>
      <c r="K494" s="149">
        <f>+K493+Tabla6[[#This Row],[IMPORTE]]</f>
        <v>78708436.440000042</v>
      </c>
      <c r="L494" s="143" t="s">
        <v>680</v>
      </c>
      <c r="M494" s="174" t="s">
        <v>1505</v>
      </c>
    </row>
    <row r="495" spans="2:13" x14ac:dyDescent="0.35">
      <c r="B495" s="173" t="s">
        <v>115</v>
      </c>
      <c r="C495" s="146">
        <v>46043</v>
      </c>
      <c r="D495" s="148">
        <v>9115574</v>
      </c>
      <c r="E495" s="148">
        <v>66</v>
      </c>
      <c r="F495" s="149">
        <v>-1666000</v>
      </c>
      <c r="G495" s="147" t="s">
        <v>116</v>
      </c>
      <c r="H495" s="148">
        <v>487</v>
      </c>
      <c r="I495" s="148" t="s">
        <v>123</v>
      </c>
      <c r="J495" s="147" t="s">
        <v>124</v>
      </c>
      <c r="K495" s="149">
        <f>+K494+Tabla6[[#This Row],[IMPORTE]]</f>
        <v>77042436.440000042</v>
      </c>
      <c r="L495" s="143" t="s">
        <v>682</v>
      </c>
      <c r="M495" s="174" t="s">
        <v>1505</v>
      </c>
    </row>
    <row r="496" spans="2:13" x14ac:dyDescent="0.35">
      <c r="B496" s="173" t="s">
        <v>115</v>
      </c>
      <c r="C496" s="146">
        <v>46043</v>
      </c>
      <c r="D496" s="148">
        <v>9119168</v>
      </c>
      <c r="E496" s="148">
        <v>66</v>
      </c>
      <c r="F496" s="149">
        <v>-1440000</v>
      </c>
      <c r="G496" s="147" t="s">
        <v>116</v>
      </c>
      <c r="H496" s="148">
        <v>487</v>
      </c>
      <c r="I496" s="148" t="s">
        <v>123</v>
      </c>
      <c r="J496" s="147" t="s">
        <v>124</v>
      </c>
      <c r="K496" s="149">
        <f>+K495+Tabla6[[#This Row],[IMPORTE]]</f>
        <v>75602436.440000042</v>
      </c>
      <c r="L496" s="143" t="s">
        <v>689</v>
      </c>
      <c r="M496" s="174" t="s">
        <v>1505</v>
      </c>
    </row>
    <row r="497" spans="2:13" x14ac:dyDescent="0.35">
      <c r="B497" s="173" t="s">
        <v>115</v>
      </c>
      <c r="C497" s="146">
        <v>46043</v>
      </c>
      <c r="D497" s="148">
        <v>9115572</v>
      </c>
      <c r="E497" s="148">
        <v>66</v>
      </c>
      <c r="F497" s="149">
        <v>-1176000</v>
      </c>
      <c r="G497" s="147" t="s">
        <v>116</v>
      </c>
      <c r="H497" s="148">
        <v>487</v>
      </c>
      <c r="I497" s="148" t="s">
        <v>123</v>
      </c>
      <c r="J497" s="147" t="s">
        <v>124</v>
      </c>
      <c r="K497" s="149">
        <f>+K496+Tabla6[[#This Row],[IMPORTE]]</f>
        <v>74426436.440000042</v>
      </c>
      <c r="L497" s="143" t="s">
        <v>678</v>
      </c>
      <c r="M497" s="174" t="s">
        <v>1505</v>
      </c>
    </row>
    <row r="498" spans="2:13" x14ac:dyDescent="0.35">
      <c r="B498" s="173" t="s">
        <v>115</v>
      </c>
      <c r="C498" s="146">
        <v>46043</v>
      </c>
      <c r="D498" s="148">
        <v>9119163</v>
      </c>
      <c r="E498" s="148">
        <v>66</v>
      </c>
      <c r="F498" s="149">
        <v>-504000</v>
      </c>
      <c r="G498" s="147" t="s">
        <v>116</v>
      </c>
      <c r="H498" s="148">
        <v>487</v>
      </c>
      <c r="I498" s="148" t="s">
        <v>123</v>
      </c>
      <c r="J498" s="147" t="s">
        <v>124</v>
      </c>
      <c r="K498" s="149">
        <f>+K497+Tabla6[[#This Row],[IMPORTE]]</f>
        <v>73922436.440000042</v>
      </c>
      <c r="L498" s="143" t="s">
        <v>687</v>
      </c>
      <c r="M498" s="174" t="s">
        <v>1505</v>
      </c>
    </row>
    <row r="499" spans="2:13" x14ac:dyDescent="0.35">
      <c r="B499" s="173" t="s">
        <v>115</v>
      </c>
      <c r="C499" s="146">
        <v>46043</v>
      </c>
      <c r="D499" s="148">
        <v>9119164</v>
      </c>
      <c r="E499" s="148">
        <v>66</v>
      </c>
      <c r="F499" s="149">
        <v>-331200</v>
      </c>
      <c r="G499" s="147" t="s">
        <v>116</v>
      </c>
      <c r="H499" s="148">
        <v>488</v>
      </c>
      <c r="I499" s="148" t="s">
        <v>123</v>
      </c>
      <c r="J499" s="147" t="s">
        <v>124</v>
      </c>
      <c r="K499" s="149">
        <f>+K498+Tabla6[[#This Row],[IMPORTE]]</f>
        <v>73591236.440000042</v>
      </c>
      <c r="L499" s="143" t="s">
        <v>683</v>
      </c>
      <c r="M499" s="174" t="s">
        <v>1505</v>
      </c>
    </row>
    <row r="500" spans="2:13" x14ac:dyDescent="0.35">
      <c r="B500" s="173" t="s">
        <v>115</v>
      </c>
      <c r="C500" s="146">
        <v>46043</v>
      </c>
      <c r="D500" s="148">
        <v>9121162</v>
      </c>
      <c r="E500" s="148">
        <v>66</v>
      </c>
      <c r="F500" s="149">
        <v>-300000</v>
      </c>
      <c r="G500" s="147" t="s">
        <v>116</v>
      </c>
      <c r="H500" s="148">
        <v>488</v>
      </c>
      <c r="I500" s="148" t="s">
        <v>123</v>
      </c>
      <c r="J500" s="147" t="s">
        <v>124</v>
      </c>
      <c r="K500" s="149">
        <f>+K499+Tabla6[[#This Row],[IMPORTE]]</f>
        <v>73291236.440000042</v>
      </c>
      <c r="L500" s="143" t="s">
        <v>685</v>
      </c>
      <c r="M500" s="174" t="s">
        <v>1505</v>
      </c>
    </row>
    <row r="501" spans="2:13" x14ac:dyDescent="0.35">
      <c r="B501" s="173" t="s">
        <v>115</v>
      </c>
      <c r="C501" s="146">
        <v>46043</v>
      </c>
      <c r="D501" s="148">
        <v>9115569</v>
      </c>
      <c r="E501" s="148">
        <v>66</v>
      </c>
      <c r="F501" s="149">
        <v>-172800</v>
      </c>
      <c r="G501" s="147" t="s">
        <v>116</v>
      </c>
      <c r="H501" s="148">
        <v>488</v>
      </c>
      <c r="I501" s="148" t="s">
        <v>123</v>
      </c>
      <c r="J501" s="147" t="s">
        <v>124</v>
      </c>
      <c r="K501" s="149">
        <f>+K500+Tabla6[[#This Row],[IMPORTE]]</f>
        <v>73118436.440000042</v>
      </c>
      <c r="L501" s="143" t="s">
        <v>681</v>
      </c>
      <c r="M501" s="174" t="s">
        <v>1505</v>
      </c>
    </row>
    <row r="502" spans="2:13" x14ac:dyDescent="0.35">
      <c r="B502" s="173" t="s">
        <v>115</v>
      </c>
      <c r="C502" s="146">
        <v>46043</v>
      </c>
      <c r="D502" s="148">
        <v>9119166</v>
      </c>
      <c r="E502" s="148">
        <v>66</v>
      </c>
      <c r="F502" s="149">
        <v>-158400</v>
      </c>
      <c r="G502" s="147" t="s">
        <v>116</v>
      </c>
      <c r="H502" s="148">
        <v>488</v>
      </c>
      <c r="I502" s="148" t="s">
        <v>123</v>
      </c>
      <c r="J502" s="147" t="s">
        <v>124</v>
      </c>
      <c r="K502" s="149">
        <f>+K501+Tabla6[[#This Row],[IMPORTE]]</f>
        <v>72960036.440000042</v>
      </c>
      <c r="L502" s="143" t="s">
        <v>686</v>
      </c>
      <c r="M502" s="174" t="s">
        <v>1505</v>
      </c>
    </row>
    <row r="503" spans="2:13" x14ac:dyDescent="0.35">
      <c r="B503" s="173" t="s">
        <v>115</v>
      </c>
      <c r="C503" s="146">
        <v>46043</v>
      </c>
      <c r="D503" s="148">
        <v>9119169</v>
      </c>
      <c r="E503" s="148">
        <v>66</v>
      </c>
      <c r="F503" s="149">
        <v>-157248</v>
      </c>
      <c r="G503" s="147" t="s">
        <v>116</v>
      </c>
      <c r="H503" s="148">
        <v>488</v>
      </c>
      <c r="I503" s="148" t="s">
        <v>123</v>
      </c>
      <c r="J503" s="147" t="s">
        <v>124</v>
      </c>
      <c r="K503" s="149">
        <f>+K502+Tabla6[[#This Row],[IMPORTE]]</f>
        <v>72802788.440000042</v>
      </c>
      <c r="L503" s="143" t="s">
        <v>677</v>
      </c>
      <c r="M503" s="174" t="s">
        <v>1505</v>
      </c>
    </row>
    <row r="504" spans="2:13" x14ac:dyDescent="0.35">
      <c r="B504" s="172" t="s">
        <v>132</v>
      </c>
      <c r="C504" s="126">
        <v>46043</v>
      </c>
      <c r="D504" s="127">
        <v>746300054</v>
      </c>
      <c r="E504" s="127">
        <v>66</v>
      </c>
      <c r="F504" s="128">
        <v>-145007.26</v>
      </c>
      <c r="G504" s="129" t="s">
        <v>133</v>
      </c>
      <c r="H504" s="127">
        <v>562</v>
      </c>
      <c r="I504" s="127" t="s">
        <v>123</v>
      </c>
      <c r="J504" s="129" t="s">
        <v>124</v>
      </c>
      <c r="K504" s="128">
        <f>+K503+Tabla6[[#This Row],[IMPORTE]]</f>
        <v>72657781.180000037</v>
      </c>
      <c r="L504" s="129" t="s">
        <v>182</v>
      </c>
      <c r="M504" s="130" t="s">
        <v>93</v>
      </c>
    </row>
    <row r="505" spans="2:13" x14ac:dyDescent="0.35">
      <c r="B505" s="173" t="s">
        <v>115</v>
      </c>
      <c r="C505" s="146">
        <v>46043</v>
      </c>
      <c r="D505" s="148">
        <v>9119165</v>
      </c>
      <c r="E505" s="148">
        <v>66</v>
      </c>
      <c r="F505" s="149">
        <v>-90000</v>
      </c>
      <c r="G505" s="147" t="s">
        <v>116</v>
      </c>
      <c r="H505" s="148">
        <v>488</v>
      </c>
      <c r="I505" s="148" t="s">
        <v>123</v>
      </c>
      <c r="J505" s="147" t="s">
        <v>124</v>
      </c>
      <c r="K505" s="149">
        <f>+K504+Tabla6[[#This Row],[IMPORTE]]</f>
        <v>72567781.180000037</v>
      </c>
      <c r="L505" s="143" t="s">
        <v>684</v>
      </c>
      <c r="M505" s="174" t="s">
        <v>1505</v>
      </c>
    </row>
    <row r="506" spans="2:13" x14ac:dyDescent="0.35">
      <c r="B506" s="173" t="s">
        <v>115</v>
      </c>
      <c r="C506" s="146">
        <v>46043</v>
      </c>
      <c r="D506" s="148">
        <v>9121163</v>
      </c>
      <c r="E506" s="148">
        <v>66</v>
      </c>
      <c r="F506" s="149">
        <v>-67200</v>
      </c>
      <c r="G506" s="147" t="s">
        <v>116</v>
      </c>
      <c r="H506" s="148">
        <v>488</v>
      </c>
      <c r="I506" s="148" t="s">
        <v>123</v>
      </c>
      <c r="J506" s="147" t="s">
        <v>124</v>
      </c>
      <c r="K506" s="149">
        <f>+K505+Tabla6[[#This Row],[IMPORTE]]</f>
        <v>72500581.180000037</v>
      </c>
      <c r="L506" s="143" t="s">
        <v>690</v>
      </c>
      <c r="M506" s="174" t="s">
        <v>1505</v>
      </c>
    </row>
    <row r="507" spans="2:13" x14ac:dyDescent="0.35">
      <c r="B507" s="173" t="s">
        <v>115</v>
      </c>
      <c r="C507" s="146">
        <v>46043</v>
      </c>
      <c r="D507" s="148">
        <v>9119167</v>
      </c>
      <c r="E507" s="148">
        <v>66</v>
      </c>
      <c r="F507" s="149">
        <v>-66200</v>
      </c>
      <c r="G507" s="147" t="s">
        <v>116</v>
      </c>
      <c r="H507" s="148">
        <v>488</v>
      </c>
      <c r="I507" s="148" t="s">
        <v>123</v>
      </c>
      <c r="J507" s="147" t="s">
        <v>124</v>
      </c>
      <c r="K507" s="149">
        <f>+K506+Tabla6[[#This Row],[IMPORTE]]</f>
        <v>72434381.180000037</v>
      </c>
      <c r="L507" s="143" t="s">
        <v>679</v>
      </c>
      <c r="M507" s="174" t="s">
        <v>1505</v>
      </c>
    </row>
    <row r="508" spans="2:13" x14ac:dyDescent="0.35">
      <c r="B508" s="4" t="s">
        <v>115</v>
      </c>
      <c r="C508" s="120">
        <v>46043</v>
      </c>
      <c r="D508" s="72">
        <v>9122881</v>
      </c>
      <c r="E508" s="72">
        <v>66</v>
      </c>
      <c r="F508" s="113">
        <v>-63149.69</v>
      </c>
      <c r="G508" s="5" t="s">
        <v>116</v>
      </c>
      <c r="H508" s="72">
        <v>488</v>
      </c>
      <c r="I508" s="72" t="s">
        <v>123</v>
      </c>
      <c r="J508" s="5" t="s">
        <v>1536</v>
      </c>
      <c r="K508" s="113">
        <f>+K507+Tabla6[[#This Row],[IMPORTE]]</f>
        <v>72371231.490000039</v>
      </c>
      <c r="L508" s="5" t="s">
        <v>1691</v>
      </c>
      <c r="M508" s="119" t="s">
        <v>100</v>
      </c>
    </row>
    <row r="509" spans="2:13" x14ac:dyDescent="0.35">
      <c r="B509" s="4" t="s">
        <v>115</v>
      </c>
      <c r="C509" s="120">
        <v>46044</v>
      </c>
      <c r="D509" s="72">
        <v>9323950</v>
      </c>
      <c r="E509" s="72">
        <v>66</v>
      </c>
      <c r="F509" s="113">
        <v>103242.71</v>
      </c>
      <c r="G509" s="5" t="s">
        <v>116</v>
      </c>
      <c r="H509" s="72">
        <v>479</v>
      </c>
      <c r="I509" s="72">
        <v>30659863789</v>
      </c>
      <c r="J509" s="5" t="s">
        <v>119</v>
      </c>
      <c r="K509" s="113">
        <f>+K508+Tabla6[[#This Row],[IMPORTE]]</f>
        <v>72474474.200000033</v>
      </c>
      <c r="L509" s="5" t="s">
        <v>1701</v>
      </c>
      <c r="M509" s="119" t="s">
        <v>100</v>
      </c>
    </row>
    <row r="510" spans="2:13" x14ac:dyDescent="0.35">
      <c r="B510" s="4" t="s">
        <v>115</v>
      </c>
      <c r="C510" s="120">
        <v>46044</v>
      </c>
      <c r="D510" s="72">
        <v>9325934</v>
      </c>
      <c r="E510" s="72">
        <v>66</v>
      </c>
      <c r="F510" s="113">
        <v>147149.51999999999</v>
      </c>
      <c r="G510" s="5" t="s">
        <v>116</v>
      </c>
      <c r="H510" s="72">
        <v>480</v>
      </c>
      <c r="I510" s="72">
        <v>30643990632</v>
      </c>
      <c r="J510" s="5" t="s">
        <v>118</v>
      </c>
      <c r="K510" s="113">
        <f>+K509+Tabla6[[#This Row],[IMPORTE]]</f>
        <v>72621623.720000029</v>
      </c>
      <c r="L510" s="5" t="s">
        <v>1702</v>
      </c>
      <c r="M510" s="119" t="s">
        <v>100</v>
      </c>
    </row>
    <row r="511" spans="2:13" x14ac:dyDescent="0.35">
      <c r="B511" s="4" t="s">
        <v>115</v>
      </c>
      <c r="C511" s="120">
        <v>46044</v>
      </c>
      <c r="D511" s="72">
        <v>9323951</v>
      </c>
      <c r="E511" s="72">
        <v>66</v>
      </c>
      <c r="F511" s="113">
        <v>442173.35</v>
      </c>
      <c r="G511" s="5" t="s">
        <v>116</v>
      </c>
      <c r="H511" s="72">
        <v>479</v>
      </c>
      <c r="I511" s="72">
        <v>30659863789</v>
      </c>
      <c r="J511" s="5" t="s">
        <v>119</v>
      </c>
      <c r="K511" s="113">
        <f>+K510+Tabla6[[#This Row],[IMPORTE]]</f>
        <v>73063797.070000023</v>
      </c>
      <c r="L511" s="5" t="s">
        <v>1701</v>
      </c>
      <c r="M511" s="119" t="s">
        <v>100</v>
      </c>
    </row>
    <row r="512" spans="2:13" x14ac:dyDescent="0.35">
      <c r="B512" s="4" t="s">
        <v>115</v>
      </c>
      <c r="C512" s="120">
        <v>46044</v>
      </c>
      <c r="D512" s="72">
        <v>9319755</v>
      </c>
      <c r="E512" s="72">
        <v>66</v>
      </c>
      <c r="F512" s="113">
        <v>2750435.73</v>
      </c>
      <c r="G512" s="5" t="s">
        <v>116</v>
      </c>
      <c r="H512" s="72">
        <v>479</v>
      </c>
      <c r="I512" s="72">
        <v>30643990632</v>
      </c>
      <c r="J512" s="5" t="s">
        <v>127</v>
      </c>
      <c r="K512" s="113">
        <f>+K511+Tabla6[[#This Row],[IMPORTE]]</f>
        <v>75814232.800000027</v>
      </c>
      <c r="L512" s="5" t="s">
        <v>1702</v>
      </c>
      <c r="M512" s="119" t="s">
        <v>100</v>
      </c>
    </row>
    <row r="513" spans="2:13" x14ac:dyDescent="0.35">
      <c r="B513" s="4" t="s">
        <v>125</v>
      </c>
      <c r="C513" s="120">
        <v>46044</v>
      </c>
      <c r="D513" s="72">
        <v>746000023</v>
      </c>
      <c r="E513" s="72">
        <v>66</v>
      </c>
      <c r="F513" s="113">
        <v>2972276.13</v>
      </c>
      <c r="G513" s="5" t="s">
        <v>126</v>
      </c>
      <c r="H513" s="72">
        <v>558</v>
      </c>
      <c r="I513" s="72" t="s">
        <v>123</v>
      </c>
      <c r="J513" s="5" t="s">
        <v>124</v>
      </c>
      <c r="K513" s="113">
        <f>+K512+Tabla6[[#This Row],[IMPORTE]]</f>
        <v>78786508.930000022</v>
      </c>
      <c r="L513" s="5" t="s">
        <v>1703</v>
      </c>
      <c r="M513" s="119" t="s">
        <v>100</v>
      </c>
    </row>
    <row r="514" spans="2:13" x14ac:dyDescent="0.35">
      <c r="B514" s="4" t="s">
        <v>128</v>
      </c>
      <c r="C514" s="120">
        <v>46044</v>
      </c>
      <c r="D514" s="72">
        <v>666301942</v>
      </c>
      <c r="E514" s="72">
        <v>66</v>
      </c>
      <c r="F514" s="113">
        <v>3391778.6</v>
      </c>
      <c r="G514" s="5" t="s">
        <v>129</v>
      </c>
      <c r="H514" s="72">
        <v>93</v>
      </c>
      <c r="I514" s="72" t="s">
        <v>123</v>
      </c>
      <c r="J514" s="5" t="s">
        <v>124</v>
      </c>
      <c r="K514" s="113">
        <f>+K513+Tabla6[[#This Row],[IMPORTE]]</f>
        <v>82178287.530000016</v>
      </c>
      <c r="L514" s="5" t="s">
        <v>1702</v>
      </c>
      <c r="M514" s="119" t="s">
        <v>100</v>
      </c>
    </row>
    <row r="515" spans="2:13" x14ac:dyDescent="0.35">
      <c r="B515" s="4" t="s">
        <v>121</v>
      </c>
      <c r="C515" s="120">
        <v>46044</v>
      </c>
      <c r="D515" s="72">
        <v>2664002463</v>
      </c>
      <c r="E515" s="72">
        <v>66</v>
      </c>
      <c r="F515" s="113">
        <v>3700924.58</v>
      </c>
      <c r="G515" s="5" t="s">
        <v>122</v>
      </c>
      <c r="H515" s="72">
        <v>694</v>
      </c>
      <c r="I515" s="72" t="s">
        <v>123</v>
      </c>
      <c r="J515" s="5" t="s">
        <v>124</v>
      </c>
      <c r="K515" s="113">
        <f>+K514+Tabla6[[#This Row],[IMPORTE]]</f>
        <v>85879212.110000014</v>
      </c>
      <c r="L515" s="5" t="s">
        <v>1491</v>
      </c>
      <c r="M515" s="119" t="s">
        <v>100</v>
      </c>
    </row>
    <row r="516" spans="2:13" x14ac:dyDescent="0.35">
      <c r="B516" s="4" t="s">
        <v>115</v>
      </c>
      <c r="C516" s="120">
        <v>46044</v>
      </c>
      <c r="D516" s="72">
        <v>9323952</v>
      </c>
      <c r="E516" s="72">
        <v>66</v>
      </c>
      <c r="F516" s="113">
        <v>4673806.17</v>
      </c>
      <c r="G516" s="5" t="s">
        <v>116</v>
      </c>
      <c r="H516" s="72">
        <v>479</v>
      </c>
      <c r="I516" s="72">
        <v>30659863789</v>
      </c>
      <c r="J516" s="5" t="s">
        <v>119</v>
      </c>
      <c r="K516" s="113">
        <f>+K515+Tabla6[[#This Row],[IMPORTE]]</f>
        <v>90553018.280000016</v>
      </c>
      <c r="L516" s="5" t="s">
        <v>1701</v>
      </c>
      <c r="M516" s="119" t="s">
        <v>100</v>
      </c>
    </row>
    <row r="517" spans="2:13" x14ac:dyDescent="0.35">
      <c r="B517" s="173" t="s">
        <v>115</v>
      </c>
      <c r="C517" s="146">
        <v>46044</v>
      </c>
      <c r="D517" s="148">
        <v>9273029</v>
      </c>
      <c r="E517" s="148">
        <v>66</v>
      </c>
      <c r="F517" s="149">
        <v>48000000</v>
      </c>
      <c r="G517" s="147" t="s">
        <v>116</v>
      </c>
      <c r="H517" s="148">
        <v>482</v>
      </c>
      <c r="I517" s="148">
        <v>30999147077</v>
      </c>
      <c r="J517" s="147" t="s">
        <v>167</v>
      </c>
      <c r="K517" s="149">
        <f>+K516+Tabla6[[#This Row],[IMPORTE]]</f>
        <v>138553018.28000003</v>
      </c>
      <c r="L517" s="143" t="s">
        <v>715</v>
      </c>
      <c r="M517" s="174" t="s">
        <v>101</v>
      </c>
    </row>
    <row r="518" spans="2:13" x14ac:dyDescent="0.35">
      <c r="B518" s="173" t="s">
        <v>130</v>
      </c>
      <c r="C518" s="146">
        <v>46044</v>
      </c>
      <c r="D518" s="148">
        <v>4002000238</v>
      </c>
      <c r="E518" s="148">
        <v>66</v>
      </c>
      <c r="F518" s="149">
        <v>160000000</v>
      </c>
      <c r="G518" s="147" t="s">
        <v>131</v>
      </c>
      <c r="H518" s="148">
        <v>530</v>
      </c>
      <c r="I518" s="148" t="s">
        <v>123</v>
      </c>
      <c r="J518" s="147" t="s">
        <v>1465</v>
      </c>
      <c r="K518" s="149">
        <f>+K517+Tabla6[[#This Row],[IMPORTE]]</f>
        <v>298553018.28000003</v>
      </c>
      <c r="L518" s="143" t="s">
        <v>761</v>
      </c>
      <c r="M518" s="174" t="s">
        <v>83</v>
      </c>
    </row>
    <row r="519" spans="2:13" x14ac:dyDescent="0.35">
      <c r="B519" s="173" t="s">
        <v>130</v>
      </c>
      <c r="C519" s="146">
        <v>46044</v>
      </c>
      <c r="D519" s="148">
        <v>4002000316</v>
      </c>
      <c r="E519" s="148">
        <v>66</v>
      </c>
      <c r="F519" s="149">
        <v>200000000</v>
      </c>
      <c r="G519" s="147" t="s">
        <v>131</v>
      </c>
      <c r="H519" s="148">
        <v>530</v>
      </c>
      <c r="I519" s="148" t="s">
        <v>123</v>
      </c>
      <c r="J519" s="147" t="s">
        <v>1465</v>
      </c>
      <c r="K519" s="149">
        <f>+K518+Tabla6[[#This Row],[IMPORTE]]</f>
        <v>498553018.28000003</v>
      </c>
      <c r="L519" s="143" t="s">
        <v>760</v>
      </c>
      <c r="M519" s="174" t="s">
        <v>83</v>
      </c>
    </row>
    <row r="520" spans="2:13" x14ac:dyDescent="0.35">
      <c r="B520" s="173" t="s">
        <v>115</v>
      </c>
      <c r="C520" s="146">
        <v>46044</v>
      </c>
      <c r="D520" s="148">
        <v>9282990</v>
      </c>
      <c r="E520" s="148">
        <v>66</v>
      </c>
      <c r="F520" s="149">
        <v>-140793685.87</v>
      </c>
      <c r="G520" s="147" t="s">
        <v>116</v>
      </c>
      <c r="H520" s="148">
        <v>488</v>
      </c>
      <c r="I520" s="148" t="s">
        <v>123</v>
      </c>
      <c r="J520" s="147" t="s">
        <v>124</v>
      </c>
      <c r="K520" s="149">
        <f>+K519+Tabla6[[#This Row],[IMPORTE]]</f>
        <v>357759332.41000003</v>
      </c>
      <c r="L520" s="143" t="s">
        <v>696</v>
      </c>
      <c r="M520" s="179" t="s">
        <v>1505</v>
      </c>
    </row>
    <row r="521" spans="2:13" x14ac:dyDescent="0.35">
      <c r="B521" s="173" t="s">
        <v>115</v>
      </c>
      <c r="C521" s="146">
        <v>46044</v>
      </c>
      <c r="D521" s="148">
        <v>9282992</v>
      </c>
      <c r="E521" s="148">
        <v>66</v>
      </c>
      <c r="F521" s="149">
        <v>-47141594.039999999</v>
      </c>
      <c r="G521" s="147" t="s">
        <v>116</v>
      </c>
      <c r="H521" s="148">
        <v>488</v>
      </c>
      <c r="I521" s="148" t="s">
        <v>123</v>
      </c>
      <c r="J521" s="147" t="s">
        <v>124</v>
      </c>
      <c r="K521" s="149">
        <f>+K520+Tabla6[[#This Row],[IMPORTE]]</f>
        <v>310617738.37</v>
      </c>
      <c r="L521" s="143" t="s">
        <v>706</v>
      </c>
      <c r="M521" s="179" t="s">
        <v>1505</v>
      </c>
    </row>
    <row r="522" spans="2:13" x14ac:dyDescent="0.35">
      <c r="B522" s="173" t="s">
        <v>115</v>
      </c>
      <c r="C522" s="146">
        <v>46044</v>
      </c>
      <c r="D522" s="148">
        <v>9239762</v>
      </c>
      <c r="E522" s="148">
        <v>66</v>
      </c>
      <c r="F522" s="149">
        <v>-8206520.5</v>
      </c>
      <c r="G522" s="147" t="s">
        <v>116</v>
      </c>
      <c r="H522" s="148">
        <v>488</v>
      </c>
      <c r="I522" s="148" t="s">
        <v>123</v>
      </c>
      <c r="J522" s="147" t="s">
        <v>124</v>
      </c>
      <c r="K522" s="149">
        <f>+K521+Tabla6[[#This Row],[IMPORTE]]</f>
        <v>302411217.87</v>
      </c>
      <c r="L522" s="143" t="s">
        <v>697</v>
      </c>
      <c r="M522" s="179" t="s">
        <v>1505</v>
      </c>
    </row>
    <row r="523" spans="2:13" x14ac:dyDescent="0.35">
      <c r="B523" s="173" t="s">
        <v>115</v>
      </c>
      <c r="C523" s="146">
        <v>46044</v>
      </c>
      <c r="D523" s="148">
        <v>9246383</v>
      </c>
      <c r="E523" s="148">
        <v>66</v>
      </c>
      <c r="F523" s="149">
        <v>-5694128.9199999999</v>
      </c>
      <c r="G523" s="147" t="s">
        <v>116</v>
      </c>
      <c r="H523" s="148">
        <v>488</v>
      </c>
      <c r="I523" s="148" t="s">
        <v>123</v>
      </c>
      <c r="J523" s="147" t="s">
        <v>124</v>
      </c>
      <c r="K523" s="149">
        <f>+K522+Tabla6[[#This Row],[IMPORTE]]</f>
        <v>296717088.94999999</v>
      </c>
      <c r="L523" s="143" t="s">
        <v>711</v>
      </c>
      <c r="M523" s="174" t="s">
        <v>1505</v>
      </c>
    </row>
    <row r="524" spans="2:13" x14ac:dyDescent="0.35">
      <c r="B524" s="173" t="s">
        <v>115</v>
      </c>
      <c r="C524" s="146">
        <v>46044</v>
      </c>
      <c r="D524" s="148">
        <v>9352589</v>
      </c>
      <c r="E524" s="148">
        <v>66</v>
      </c>
      <c r="F524" s="149">
        <v>-5300000</v>
      </c>
      <c r="G524" s="147" t="s">
        <v>116</v>
      </c>
      <c r="H524" s="148">
        <v>488</v>
      </c>
      <c r="I524" s="148" t="s">
        <v>123</v>
      </c>
      <c r="J524" s="147" t="s">
        <v>124</v>
      </c>
      <c r="K524" s="149">
        <f>+K523+Tabla6[[#This Row],[IMPORTE]]</f>
        <v>291417088.94999999</v>
      </c>
      <c r="L524" s="178" t="s">
        <v>714</v>
      </c>
      <c r="M524" s="174" t="s">
        <v>91</v>
      </c>
    </row>
    <row r="525" spans="2:13" x14ac:dyDescent="0.35">
      <c r="B525" s="173" t="s">
        <v>115</v>
      </c>
      <c r="C525" s="146">
        <v>46044</v>
      </c>
      <c r="D525" s="148">
        <v>9239763</v>
      </c>
      <c r="E525" s="148">
        <v>66</v>
      </c>
      <c r="F525" s="149">
        <v>-4936360</v>
      </c>
      <c r="G525" s="147" t="s">
        <v>116</v>
      </c>
      <c r="H525" s="148">
        <v>488</v>
      </c>
      <c r="I525" s="148" t="s">
        <v>123</v>
      </c>
      <c r="J525" s="147" t="s">
        <v>124</v>
      </c>
      <c r="K525" s="149">
        <f>+K524+Tabla6[[#This Row],[IMPORTE]]</f>
        <v>286480728.94999999</v>
      </c>
      <c r="L525" s="143" t="s">
        <v>699</v>
      </c>
      <c r="M525" s="174" t="s">
        <v>1505</v>
      </c>
    </row>
    <row r="526" spans="2:13" x14ac:dyDescent="0.35">
      <c r="B526" s="173" t="s">
        <v>115</v>
      </c>
      <c r="C526" s="146">
        <v>46044</v>
      </c>
      <c r="D526" s="148">
        <v>9246381</v>
      </c>
      <c r="E526" s="148">
        <v>66</v>
      </c>
      <c r="F526" s="149">
        <v>-4803343.4000000004</v>
      </c>
      <c r="G526" s="147" t="s">
        <v>116</v>
      </c>
      <c r="H526" s="148">
        <v>488</v>
      </c>
      <c r="I526" s="148" t="s">
        <v>123</v>
      </c>
      <c r="J526" s="147" t="s">
        <v>124</v>
      </c>
      <c r="K526" s="149">
        <f>+K525+Tabla6[[#This Row],[IMPORTE]]</f>
        <v>281677385.55000001</v>
      </c>
      <c r="L526" s="143" t="s">
        <v>710</v>
      </c>
      <c r="M526" s="174" t="s">
        <v>1505</v>
      </c>
    </row>
    <row r="527" spans="2:13" x14ac:dyDescent="0.35">
      <c r="B527" s="173" t="s">
        <v>115</v>
      </c>
      <c r="C527" s="146">
        <v>46044</v>
      </c>
      <c r="D527" s="148">
        <v>9243796</v>
      </c>
      <c r="E527" s="148">
        <v>66</v>
      </c>
      <c r="F527" s="149">
        <v>-3854306.78</v>
      </c>
      <c r="G527" s="147" t="s">
        <v>116</v>
      </c>
      <c r="H527" s="148">
        <v>488</v>
      </c>
      <c r="I527" s="148" t="s">
        <v>123</v>
      </c>
      <c r="J527" s="147" t="s">
        <v>124</v>
      </c>
      <c r="K527" s="149">
        <f>+K526+Tabla6[[#This Row],[IMPORTE]]</f>
        <v>277823078.77000004</v>
      </c>
      <c r="L527" s="143" t="s">
        <v>701</v>
      </c>
      <c r="M527" s="174" t="s">
        <v>1505</v>
      </c>
    </row>
    <row r="528" spans="2:13" x14ac:dyDescent="0.35">
      <c r="B528" s="173" t="s">
        <v>115</v>
      </c>
      <c r="C528" s="146">
        <v>46044</v>
      </c>
      <c r="D528" s="148">
        <v>9243797</v>
      </c>
      <c r="E528" s="148">
        <v>66</v>
      </c>
      <c r="F528" s="149">
        <v>-2218702.2999999998</v>
      </c>
      <c r="G528" s="147" t="s">
        <v>116</v>
      </c>
      <c r="H528" s="148">
        <v>488</v>
      </c>
      <c r="I528" s="148" t="s">
        <v>123</v>
      </c>
      <c r="J528" s="147" t="s">
        <v>124</v>
      </c>
      <c r="K528" s="149">
        <f>+K527+Tabla6[[#This Row],[IMPORTE]]</f>
        <v>275604376.47000003</v>
      </c>
      <c r="L528" s="143" t="s">
        <v>708</v>
      </c>
      <c r="M528" s="174" t="s">
        <v>1505</v>
      </c>
    </row>
    <row r="529" spans="2:13" x14ac:dyDescent="0.35">
      <c r="B529" s="173" t="s">
        <v>115</v>
      </c>
      <c r="C529" s="146">
        <v>46044</v>
      </c>
      <c r="D529" s="148">
        <v>9352592</v>
      </c>
      <c r="E529" s="148">
        <v>66</v>
      </c>
      <c r="F529" s="149">
        <v>-1935000</v>
      </c>
      <c r="G529" s="147" t="s">
        <v>116</v>
      </c>
      <c r="H529" s="148">
        <v>487</v>
      </c>
      <c r="I529" s="148" t="s">
        <v>123</v>
      </c>
      <c r="J529" s="147" t="s">
        <v>124</v>
      </c>
      <c r="K529" s="149">
        <f>+K528+Tabla6[[#This Row],[IMPORTE]]</f>
        <v>273669376.47000003</v>
      </c>
      <c r="L529" s="178" t="s">
        <v>714</v>
      </c>
      <c r="M529" s="174" t="s">
        <v>91</v>
      </c>
    </row>
    <row r="530" spans="2:13" x14ac:dyDescent="0.35">
      <c r="B530" s="173" t="s">
        <v>115</v>
      </c>
      <c r="C530" s="146">
        <v>46044</v>
      </c>
      <c r="D530" s="148">
        <v>9352400</v>
      </c>
      <c r="E530" s="148">
        <v>66</v>
      </c>
      <c r="F530" s="149">
        <v>-1830000</v>
      </c>
      <c r="G530" s="147" t="s">
        <v>116</v>
      </c>
      <c r="H530" s="148">
        <v>487</v>
      </c>
      <c r="I530" s="148" t="s">
        <v>123</v>
      </c>
      <c r="J530" s="147" t="s">
        <v>124</v>
      </c>
      <c r="K530" s="149">
        <f>+K529+Tabla6[[#This Row],[IMPORTE]]</f>
        <v>271839376.47000003</v>
      </c>
      <c r="L530" s="178" t="s">
        <v>714</v>
      </c>
      <c r="M530" s="174" t="s">
        <v>91</v>
      </c>
    </row>
    <row r="531" spans="2:13" x14ac:dyDescent="0.35">
      <c r="B531" s="173" t="s">
        <v>115</v>
      </c>
      <c r="C531" s="146">
        <v>46044</v>
      </c>
      <c r="D531" s="148">
        <v>9352654</v>
      </c>
      <c r="E531" s="148">
        <v>66</v>
      </c>
      <c r="F531" s="149">
        <v>-1830000</v>
      </c>
      <c r="G531" s="147" t="s">
        <v>116</v>
      </c>
      <c r="H531" s="148">
        <v>488</v>
      </c>
      <c r="I531" s="148" t="s">
        <v>123</v>
      </c>
      <c r="J531" s="147" t="s">
        <v>124</v>
      </c>
      <c r="K531" s="149">
        <f>+K530+Tabla6[[#This Row],[IMPORTE]]</f>
        <v>270009376.47000003</v>
      </c>
      <c r="L531" s="178" t="s">
        <v>714</v>
      </c>
      <c r="M531" s="174" t="s">
        <v>91</v>
      </c>
    </row>
    <row r="532" spans="2:13" x14ac:dyDescent="0.35">
      <c r="B532" s="173" t="s">
        <v>115</v>
      </c>
      <c r="C532" s="146">
        <v>46044</v>
      </c>
      <c r="D532" s="148">
        <v>9352440</v>
      </c>
      <c r="E532" s="148">
        <v>66</v>
      </c>
      <c r="F532" s="149">
        <v>-1830000</v>
      </c>
      <c r="G532" s="147" t="s">
        <v>116</v>
      </c>
      <c r="H532" s="148">
        <v>488</v>
      </c>
      <c r="I532" s="148" t="s">
        <v>123</v>
      </c>
      <c r="J532" s="147" t="s">
        <v>124</v>
      </c>
      <c r="K532" s="149">
        <f>+K531+Tabla6[[#This Row],[IMPORTE]]</f>
        <v>268179376.47000003</v>
      </c>
      <c r="L532" s="178" t="s">
        <v>714</v>
      </c>
      <c r="M532" s="174" t="s">
        <v>91</v>
      </c>
    </row>
    <row r="533" spans="2:13" x14ac:dyDescent="0.35">
      <c r="B533" s="173" t="s">
        <v>115</v>
      </c>
      <c r="C533" s="146">
        <v>46044</v>
      </c>
      <c r="D533" s="148">
        <v>9356906</v>
      </c>
      <c r="E533" s="148">
        <v>66</v>
      </c>
      <c r="F533" s="149">
        <v>-1830000</v>
      </c>
      <c r="G533" s="147" t="s">
        <v>116</v>
      </c>
      <c r="H533" s="148">
        <v>488</v>
      </c>
      <c r="I533" s="148" t="s">
        <v>123</v>
      </c>
      <c r="J533" s="147" t="s">
        <v>124</v>
      </c>
      <c r="K533" s="149">
        <f>+K532+Tabla6[[#This Row],[IMPORTE]]</f>
        <v>266349376.47000003</v>
      </c>
      <c r="L533" s="178" t="s">
        <v>714</v>
      </c>
      <c r="M533" s="174" t="s">
        <v>91</v>
      </c>
    </row>
    <row r="534" spans="2:13" x14ac:dyDescent="0.35">
      <c r="B534" s="173" t="s">
        <v>115</v>
      </c>
      <c r="C534" s="146">
        <v>46044</v>
      </c>
      <c r="D534" s="148">
        <v>9356953</v>
      </c>
      <c r="E534" s="148">
        <v>66</v>
      </c>
      <c r="F534" s="149">
        <v>-1830000</v>
      </c>
      <c r="G534" s="147" t="s">
        <v>116</v>
      </c>
      <c r="H534" s="148">
        <v>488</v>
      </c>
      <c r="I534" s="148" t="s">
        <v>123</v>
      </c>
      <c r="J534" s="147" t="s">
        <v>124</v>
      </c>
      <c r="K534" s="149">
        <f>+K533+Tabla6[[#This Row],[IMPORTE]]</f>
        <v>264519376.47000003</v>
      </c>
      <c r="L534" s="178" t="s">
        <v>714</v>
      </c>
      <c r="M534" s="174" t="s">
        <v>91</v>
      </c>
    </row>
    <row r="535" spans="2:13" x14ac:dyDescent="0.35">
      <c r="B535" s="173" t="s">
        <v>115</v>
      </c>
      <c r="C535" s="146">
        <v>46044</v>
      </c>
      <c r="D535" s="148">
        <v>9356942</v>
      </c>
      <c r="E535" s="148">
        <v>66</v>
      </c>
      <c r="F535" s="149">
        <v>-1830000</v>
      </c>
      <c r="G535" s="147" t="s">
        <v>116</v>
      </c>
      <c r="H535" s="148">
        <v>488</v>
      </c>
      <c r="I535" s="148" t="s">
        <v>123</v>
      </c>
      <c r="J535" s="147" t="s">
        <v>124</v>
      </c>
      <c r="K535" s="149">
        <f>+K534+Tabla6[[#This Row],[IMPORTE]]</f>
        <v>262689376.47000003</v>
      </c>
      <c r="L535" s="178" t="s">
        <v>714</v>
      </c>
      <c r="M535" s="174" t="s">
        <v>91</v>
      </c>
    </row>
    <row r="536" spans="2:13" x14ac:dyDescent="0.35">
      <c r="B536" s="173" t="s">
        <v>115</v>
      </c>
      <c r="C536" s="146">
        <v>46044</v>
      </c>
      <c r="D536" s="148">
        <v>9352359</v>
      </c>
      <c r="E536" s="148">
        <v>66</v>
      </c>
      <c r="F536" s="149">
        <v>-1782258.53</v>
      </c>
      <c r="G536" s="147" t="s">
        <v>116</v>
      </c>
      <c r="H536" s="148">
        <v>488</v>
      </c>
      <c r="I536" s="148" t="s">
        <v>123</v>
      </c>
      <c r="J536" s="147" t="s">
        <v>124</v>
      </c>
      <c r="K536" s="149">
        <f>+K535+Tabla6[[#This Row],[IMPORTE]]</f>
        <v>260907117.94000003</v>
      </c>
      <c r="L536" s="178" t="s">
        <v>714</v>
      </c>
      <c r="M536" s="174" t="s">
        <v>91</v>
      </c>
    </row>
    <row r="537" spans="2:13" x14ac:dyDescent="0.35">
      <c r="B537" s="173" t="s">
        <v>115</v>
      </c>
      <c r="C537" s="146">
        <v>46044</v>
      </c>
      <c r="D537" s="148">
        <v>9352364</v>
      </c>
      <c r="E537" s="148">
        <v>66</v>
      </c>
      <c r="F537" s="149">
        <v>-1700000</v>
      </c>
      <c r="G537" s="147" t="s">
        <v>116</v>
      </c>
      <c r="H537" s="148">
        <v>488</v>
      </c>
      <c r="I537" s="148" t="s">
        <v>123</v>
      </c>
      <c r="J537" s="147" t="s">
        <v>124</v>
      </c>
      <c r="K537" s="149">
        <f>+K536+Tabla6[[#This Row],[IMPORTE]]</f>
        <v>259207117.94000003</v>
      </c>
      <c r="L537" s="178" t="s">
        <v>714</v>
      </c>
      <c r="M537" s="174" t="s">
        <v>91</v>
      </c>
    </row>
    <row r="538" spans="2:13" x14ac:dyDescent="0.35">
      <c r="B538" s="173" t="s">
        <v>115</v>
      </c>
      <c r="C538" s="146">
        <v>46044</v>
      </c>
      <c r="D538" s="148">
        <v>9356950</v>
      </c>
      <c r="E538" s="148">
        <v>66</v>
      </c>
      <c r="F538" s="149">
        <v>-1700000</v>
      </c>
      <c r="G538" s="147" t="s">
        <v>116</v>
      </c>
      <c r="H538" s="148">
        <v>488</v>
      </c>
      <c r="I538" s="148" t="s">
        <v>123</v>
      </c>
      <c r="J538" s="147" t="s">
        <v>124</v>
      </c>
      <c r="K538" s="149">
        <f>+K537+Tabla6[[#This Row],[IMPORTE]]</f>
        <v>257507117.94000003</v>
      </c>
      <c r="L538" s="178" t="s">
        <v>714</v>
      </c>
      <c r="M538" s="174" t="s">
        <v>91</v>
      </c>
    </row>
    <row r="539" spans="2:13" x14ac:dyDescent="0.35">
      <c r="B539" s="173" t="s">
        <v>115</v>
      </c>
      <c r="C539" s="146">
        <v>46044</v>
      </c>
      <c r="D539" s="148">
        <v>9356908</v>
      </c>
      <c r="E539" s="148">
        <v>66</v>
      </c>
      <c r="F539" s="149">
        <v>-1620000</v>
      </c>
      <c r="G539" s="147" t="s">
        <v>116</v>
      </c>
      <c r="H539" s="148">
        <v>487</v>
      </c>
      <c r="I539" s="148" t="s">
        <v>123</v>
      </c>
      <c r="J539" s="147" t="s">
        <v>124</v>
      </c>
      <c r="K539" s="149">
        <f>+K538+Tabla6[[#This Row],[IMPORTE]]</f>
        <v>255887117.94000003</v>
      </c>
      <c r="L539" s="178" t="s">
        <v>714</v>
      </c>
      <c r="M539" s="174" t="s">
        <v>91</v>
      </c>
    </row>
    <row r="540" spans="2:13" x14ac:dyDescent="0.35">
      <c r="B540" s="173" t="s">
        <v>115</v>
      </c>
      <c r="C540" s="146">
        <v>46044</v>
      </c>
      <c r="D540" s="148">
        <v>9352574</v>
      </c>
      <c r="E540" s="148">
        <v>66</v>
      </c>
      <c r="F540" s="149">
        <v>-1559339.07</v>
      </c>
      <c r="G540" s="147" t="s">
        <v>116</v>
      </c>
      <c r="H540" s="148">
        <v>488</v>
      </c>
      <c r="I540" s="148" t="s">
        <v>123</v>
      </c>
      <c r="J540" s="147" t="s">
        <v>124</v>
      </c>
      <c r="K540" s="149">
        <f>+K539+Tabla6[[#This Row],[IMPORTE]]</f>
        <v>254327778.87000003</v>
      </c>
      <c r="L540" s="178" t="s">
        <v>714</v>
      </c>
      <c r="M540" s="174" t="s">
        <v>91</v>
      </c>
    </row>
    <row r="541" spans="2:13" x14ac:dyDescent="0.35">
      <c r="B541" s="173" t="s">
        <v>115</v>
      </c>
      <c r="C541" s="146">
        <v>46044</v>
      </c>
      <c r="D541" s="148">
        <v>9352337</v>
      </c>
      <c r="E541" s="148">
        <v>66</v>
      </c>
      <c r="F541" s="149">
        <v>-1551225</v>
      </c>
      <c r="G541" s="147" t="s">
        <v>116</v>
      </c>
      <c r="H541" s="148">
        <v>488</v>
      </c>
      <c r="I541" s="148" t="s">
        <v>123</v>
      </c>
      <c r="J541" s="147" t="s">
        <v>124</v>
      </c>
      <c r="K541" s="149">
        <f>+K540+Tabla6[[#This Row],[IMPORTE]]</f>
        <v>252776553.87000003</v>
      </c>
      <c r="L541" s="178" t="s">
        <v>714</v>
      </c>
      <c r="M541" s="174" t="s">
        <v>91</v>
      </c>
    </row>
    <row r="542" spans="2:13" x14ac:dyDescent="0.35">
      <c r="B542" s="173" t="s">
        <v>115</v>
      </c>
      <c r="C542" s="146">
        <v>46044</v>
      </c>
      <c r="D542" s="148">
        <v>9352428</v>
      </c>
      <c r="E542" s="148">
        <v>66</v>
      </c>
      <c r="F542" s="149">
        <v>-1500000</v>
      </c>
      <c r="G542" s="147" t="s">
        <v>116</v>
      </c>
      <c r="H542" s="148">
        <v>488</v>
      </c>
      <c r="I542" s="148" t="s">
        <v>123</v>
      </c>
      <c r="J542" s="147" t="s">
        <v>124</v>
      </c>
      <c r="K542" s="149">
        <f>+K541+Tabla6[[#This Row],[IMPORTE]]</f>
        <v>251276553.87000003</v>
      </c>
      <c r="L542" s="178" t="s">
        <v>714</v>
      </c>
      <c r="M542" s="174" t="s">
        <v>91</v>
      </c>
    </row>
    <row r="543" spans="2:13" x14ac:dyDescent="0.35">
      <c r="B543" s="173" t="s">
        <v>115</v>
      </c>
      <c r="C543" s="146">
        <v>46044</v>
      </c>
      <c r="D543" s="148">
        <v>9356912</v>
      </c>
      <c r="E543" s="148">
        <v>66</v>
      </c>
      <c r="F543" s="149">
        <v>-1500000</v>
      </c>
      <c r="G543" s="147" t="s">
        <v>116</v>
      </c>
      <c r="H543" s="148">
        <v>488</v>
      </c>
      <c r="I543" s="148" t="s">
        <v>123</v>
      </c>
      <c r="J543" s="147" t="s">
        <v>124</v>
      </c>
      <c r="K543" s="149">
        <f>+K542+Tabla6[[#This Row],[IMPORTE]]</f>
        <v>249776553.87000003</v>
      </c>
      <c r="L543" s="178" t="s">
        <v>714</v>
      </c>
      <c r="M543" s="174" t="s">
        <v>91</v>
      </c>
    </row>
    <row r="544" spans="2:13" x14ac:dyDescent="0.35">
      <c r="B544" s="173" t="s">
        <v>115</v>
      </c>
      <c r="C544" s="146">
        <v>46044</v>
      </c>
      <c r="D544" s="148">
        <v>9352605</v>
      </c>
      <c r="E544" s="148">
        <v>66</v>
      </c>
      <c r="F544" s="149">
        <v>-1479630</v>
      </c>
      <c r="G544" s="147" t="s">
        <v>116</v>
      </c>
      <c r="H544" s="148">
        <v>488</v>
      </c>
      <c r="I544" s="148" t="s">
        <v>123</v>
      </c>
      <c r="J544" s="147" t="s">
        <v>124</v>
      </c>
      <c r="K544" s="149">
        <f>+K543+Tabla6[[#This Row],[IMPORTE]]</f>
        <v>248296923.87000003</v>
      </c>
      <c r="L544" s="178" t="s">
        <v>714</v>
      </c>
      <c r="M544" s="174" t="s">
        <v>91</v>
      </c>
    </row>
    <row r="545" spans="2:13" x14ac:dyDescent="0.35">
      <c r="B545" s="173" t="s">
        <v>115</v>
      </c>
      <c r="C545" s="146">
        <v>46044</v>
      </c>
      <c r="D545" s="148">
        <v>9356926</v>
      </c>
      <c r="E545" s="148">
        <v>66</v>
      </c>
      <c r="F545" s="149">
        <v>-1464162.05</v>
      </c>
      <c r="G545" s="147" t="s">
        <v>116</v>
      </c>
      <c r="H545" s="148">
        <v>488</v>
      </c>
      <c r="I545" s="148" t="s">
        <v>123</v>
      </c>
      <c r="J545" s="147" t="s">
        <v>124</v>
      </c>
      <c r="K545" s="149">
        <f>+K544+Tabla6[[#This Row],[IMPORTE]]</f>
        <v>246832761.82000002</v>
      </c>
      <c r="L545" s="178" t="s">
        <v>714</v>
      </c>
      <c r="M545" s="174" t="s">
        <v>91</v>
      </c>
    </row>
    <row r="546" spans="2:13" x14ac:dyDescent="0.35">
      <c r="B546" s="173" t="s">
        <v>115</v>
      </c>
      <c r="C546" s="146">
        <v>46044</v>
      </c>
      <c r="D546" s="148">
        <v>9352292</v>
      </c>
      <c r="E546" s="148">
        <v>66</v>
      </c>
      <c r="F546" s="149">
        <v>-1458151.5</v>
      </c>
      <c r="G546" s="147" t="s">
        <v>116</v>
      </c>
      <c r="H546" s="148">
        <v>488</v>
      </c>
      <c r="I546" s="148" t="s">
        <v>123</v>
      </c>
      <c r="J546" s="147" t="s">
        <v>124</v>
      </c>
      <c r="K546" s="149">
        <f>+K545+Tabla6[[#This Row],[IMPORTE]]</f>
        <v>245374610.32000002</v>
      </c>
      <c r="L546" s="178" t="s">
        <v>714</v>
      </c>
      <c r="M546" s="174" t="s">
        <v>91</v>
      </c>
    </row>
    <row r="547" spans="2:13" x14ac:dyDescent="0.35">
      <c r="B547" s="173" t="s">
        <v>115</v>
      </c>
      <c r="C547" s="146">
        <v>46044</v>
      </c>
      <c r="D547" s="148">
        <v>9352274</v>
      </c>
      <c r="E547" s="148">
        <v>66</v>
      </c>
      <c r="F547" s="149">
        <v>-1458151</v>
      </c>
      <c r="G547" s="147" t="s">
        <v>116</v>
      </c>
      <c r="H547" s="148">
        <v>488</v>
      </c>
      <c r="I547" s="148" t="s">
        <v>123</v>
      </c>
      <c r="J547" s="147" t="s">
        <v>124</v>
      </c>
      <c r="K547" s="149">
        <f>+K546+Tabla6[[#This Row],[IMPORTE]]</f>
        <v>243916459.32000002</v>
      </c>
      <c r="L547" s="178" t="s">
        <v>714</v>
      </c>
      <c r="M547" s="174" t="s">
        <v>91</v>
      </c>
    </row>
    <row r="548" spans="2:13" x14ac:dyDescent="0.35">
      <c r="B548" s="173" t="s">
        <v>115</v>
      </c>
      <c r="C548" s="146">
        <v>46044</v>
      </c>
      <c r="D548" s="148">
        <v>9352419</v>
      </c>
      <c r="E548" s="148">
        <v>66</v>
      </c>
      <c r="F548" s="149">
        <v>-1450000</v>
      </c>
      <c r="G548" s="147" t="s">
        <v>116</v>
      </c>
      <c r="H548" s="148">
        <v>488</v>
      </c>
      <c r="I548" s="148" t="s">
        <v>123</v>
      </c>
      <c r="J548" s="147" t="s">
        <v>124</v>
      </c>
      <c r="K548" s="149">
        <f>+K547+Tabla6[[#This Row],[IMPORTE]]</f>
        <v>242466459.32000002</v>
      </c>
      <c r="L548" s="178" t="s">
        <v>714</v>
      </c>
      <c r="M548" s="174" t="s">
        <v>91</v>
      </c>
    </row>
    <row r="549" spans="2:13" x14ac:dyDescent="0.35">
      <c r="B549" s="173" t="s">
        <v>115</v>
      </c>
      <c r="C549" s="146">
        <v>46044</v>
      </c>
      <c r="D549" s="148">
        <v>9352268</v>
      </c>
      <c r="E549" s="148">
        <v>66</v>
      </c>
      <c r="F549" s="149">
        <v>-1446783.19</v>
      </c>
      <c r="G549" s="147" t="s">
        <v>116</v>
      </c>
      <c r="H549" s="148">
        <v>487</v>
      </c>
      <c r="I549" s="148" t="s">
        <v>123</v>
      </c>
      <c r="J549" s="147" t="s">
        <v>124</v>
      </c>
      <c r="K549" s="149">
        <f>+K548+Tabla6[[#This Row],[IMPORTE]]</f>
        <v>241019676.13000003</v>
      </c>
      <c r="L549" s="178" t="s">
        <v>714</v>
      </c>
      <c r="M549" s="174" t="s">
        <v>91</v>
      </c>
    </row>
    <row r="550" spans="2:13" x14ac:dyDescent="0.35">
      <c r="B550" s="173" t="s">
        <v>115</v>
      </c>
      <c r="C550" s="146">
        <v>46044</v>
      </c>
      <c r="D550" s="148">
        <v>9352562</v>
      </c>
      <c r="E550" s="148">
        <v>66</v>
      </c>
      <c r="F550" s="149">
        <v>-1446783.19</v>
      </c>
      <c r="G550" s="147" t="s">
        <v>116</v>
      </c>
      <c r="H550" s="148">
        <v>488</v>
      </c>
      <c r="I550" s="148" t="s">
        <v>123</v>
      </c>
      <c r="J550" s="147" t="s">
        <v>124</v>
      </c>
      <c r="K550" s="149">
        <f>+K549+Tabla6[[#This Row],[IMPORTE]]</f>
        <v>239572892.94000003</v>
      </c>
      <c r="L550" s="178" t="s">
        <v>714</v>
      </c>
      <c r="M550" s="174" t="s">
        <v>91</v>
      </c>
    </row>
    <row r="551" spans="2:13" x14ac:dyDescent="0.35">
      <c r="B551" s="173" t="s">
        <v>115</v>
      </c>
      <c r="C551" s="146">
        <v>46044</v>
      </c>
      <c r="D551" s="148">
        <v>9352601</v>
      </c>
      <c r="E551" s="148">
        <v>66</v>
      </c>
      <c r="F551" s="149">
        <v>-1446783.19</v>
      </c>
      <c r="G551" s="147" t="s">
        <v>116</v>
      </c>
      <c r="H551" s="148">
        <v>488</v>
      </c>
      <c r="I551" s="148" t="s">
        <v>123</v>
      </c>
      <c r="J551" s="147" t="s">
        <v>124</v>
      </c>
      <c r="K551" s="149">
        <f>+K550+Tabla6[[#This Row],[IMPORTE]]</f>
        <v>238126109.75000003</v>
      </c>
      <c r="L551" s="178" t="s">
        <v>714</v>
      </c>
      <c r="M551" s="174" t="s">
        <v>91</v>
      </c>
    </row>
    <row r="552" spans="2:13" x14ac:dyDescent="0.35">
      <c r="B552" s="173" t="s">
        <v>115</v>
      </c>
      <c r="C552" s="146">
        <v>46044</v>
      </c>
      <c r="D552" s="148">
        <v>9352599</v>
      </c>
      <c r="E552" s="148">
        <v>66</v>
      </c>
      <c r="F552" s="149">
        <v>-1446783.19</v>
      </c>
      <c r="G552" s="147" t="s">
        <v>116</v>
      </c>
      <c r="H552" s="148">
        <v>488</v>
      </c>
      <c r="I552" s="148" t="s">
        <v>123</v>
      </c>
      <c r="J552" s="147" t="s">
        <v>124</v>
      </c>
      <c r="K552" s="149">
        <f>+K551+Tabla6[[#This Row],[IMPORTE]]</f>
        <v>236679326.56000003</v>
      </c>
      <c r="L552" s="178" t="s">
        <v>714</v>
      </c>
      <c r="M552" s="174" t="s">
        <v>91</v>
      </c>
    </row>
    <row r="553" spans="2:13" x14ac:dyDescent="0.35">
      <c r="B553" s="173" t="s">
        <v>115</v>
      </c>
      <c r="C553" s="146">
        <v>46044</v>
      </c>
      <c r="D553" s="148">
        <v>9352417</v>
      </c>
      <c r="E553" s="148">
        <v>66</v>
      </c>
      <c r="F553" s="149">
        <v>-1446783.19</v>
      </c>
      <c r="G553" s="147" t="s">
        <v>116</v>
      </c>
      <c r="H553" s="148">
        <v>488</v>
      </c>
      <c r="I553" s="148" t="s">
        <v>123</v>
      </c>
      <c r="J553" s="147" t="s">
        <v>124</v>
      </c>
      <c r="K553" s="149">
        <f>+K552+Tabla6[[#This Row],[IMPORTE]]</f>
        <v>235232543.37000003</v>
      </c>
      <c r="L553" s="178" t="s">
        <v>714</v>
      </c>
      <c r="M553" s="174" t="s">
        <v>91</v>
      </c>
    </row>
    <row r="554" spans="2:13" x14ac:dyDescent="0.35">
      <c r="B554" s="173" t="s">
        <v>115</v>
      </c>
      <c r="C554" s="146">
        <v>46044</v>
      </c>
      <c r="D554" s="148">
        <v>9352586</v>
      </c>
      <c r="E554" s="148">
        <v>66</v>
      </c>
      <c r="F554" s="149">
        <v>-1446783.19</v>
      </c>
      <c r="G554" s="147" t="s">
        <v>116</v>
      </c>
      <c r="H554" s="148">
        <v>488</v>
      </c>
      <c r="I554" s="148" t="s">
        <v>123</v>
      </c>
      <c r="J554" s="147" t="s">
        <v>124</v>
      </c>
      <c r="K554" s="149">
        <f>+K553+Tabla6[[#This Row],[IMPORTE]]</f>
        <v>233785760.18000004</v>
      </c>
      <c r="L554" s="178" t="s">
        <v>714</v>
      </c>
      <c r="M554" s="174" t="s">
        <v>91</v>
      </c>
    </row>
    <row r="555" spans="2:13" x14ac:dyDescent="0.35">
      <c r="B555" s="173" t="s">
        <v>115</v>
      </c>
      <c r="C555" s="146">
        <v>46044</v>
      </c>
      <c r="D555" s="148">
        <v>9356890</v>
      </c>
      <c r="E555" s="148">
        <v>66</v>
      </c>
      <c r="F555" s="149">
        <v>-1446783.19</v>
      </c>
      <c r="G555" s="147" t="s">
        <v>116</v>
      </c>
      <c r="H555" s="148">
        <v>488</v>
      </c>
      <c r="I555" s="148" t="s">
        <v>123</v>
      </c>
      <c r="J555" s="147" t="s">
        <v>124</v>
      </c>
      <c r="K555" s="149">
        <f>+K554+Tabla6[[#This Row],[IMPORTE]]</f>
        <v>232338976.99000004</v>
      </c>
      <c r="L555" s="178" t="s">
        <v>714</v>
      </c>
      <c r="M555" s="174" t="s">
        <v>91</v>
      </c>
    </row>
    <row r="556" spans="2:13" x14ac:dyDescent="0.35">
      <c r="B556" s="173" t="s">
        <v>115</v>
      </c>
      <c r="C556" s="146">
        <v>46044</v>
      </c>
      <c r="D556" s="148">
        <v>9357130</v>
      </c>
      <c r="E556" s="148">
        <v>66</v>
      </c>
      <c r="F556" s="149">
        <v>-1331590.27</v>
      </c>
      <c r="G556" s="147" t="s">
        <v>116</v>
      </c>
      <c r="H556" s="148">
        <v>488</v>
      </c>
      <c r="I556" s="148" t="s">
        <v>123</v>
      </c>
      <c r="J556" s="147" t="s">
        <v>124</v>
      </c>
      <c r="K556" s="149">
        <f>+K555+Tabla6[[#This Row],[IMPORTE]]</f>
        <v>231007386.72000003</v>
      </c>
      <c r="L556" s="178" t="s">
        <v>714</v>
      </c>
      <c r="M556" s="174" t="s">
        <v>91</v>
      </c>
    </row>
    <row r="557" spans="2:13" x14ac:dyDescent="0.35">
      <c r="B557" s="173" t="s">
        <v>115</v>
      </c>
      <c r="C557" s="146">
        <v>46044</v>
      </c>
      <c r="D557" s="148">
        <v>9352659</v>
      </c>
      <c r="E557" s="148">
        <v>66</v>
      </c>
      <c r="F557" s="149">
        <v>-1299300</v>
      </c>
      <c r="G557" s="147" t="s">
        <v>116</v>
      </c>
      <c r="H557" s="148">
        <v>488</v>
      </c>
      <c r="I557" s="148" t="s">
        <v>123</v>
      </c>
      <c r="J557" s="147" t="s">
        <v>124</v>
      </c>
      <c r="K557" s="149">
        <f>+K556+Tabla6[[#This Row],[IMPORTE]]</f>
        <v>229708086.72000003</v>
      </c>
      <c r="L557" s="178" t="s">
        <v>714</v>
      </c>
      <c r="M557" s="174" t="s">
        <v>91</v>
      </c>
    </row>
    <row r="558" spans="2:13" x14ac:dyDescent="0.35">
      <c r="B558" s="173" t="s">
        <v>115</v>
      </c>
      <c r="C558" s="146">
        <v>46044</v>
      </c>
      <c r="D558" s="148">
        <v>9352296</v>
      </c>
      <c r="E558" s="148">
        <v>66</v>
      </c>
      <c r="F558" s="149">
        <v>-1290000</v>
      </c>
      <c r="G558" s="147" t="s">
        <v>116</v>
      </c>
      <c r="H558" s="148">
        <v>488</v>
      </c>
      <c r="I558" s="148" t="s">
        <v>123</v>
      </c>
      <c r="J558" s="147" t="s">
        <v>124</v>
      </c>
      <c r="K558" s="149">
        <f>+K557+Tabla6[[#This Row],[IMPORTE]]</f>
        <v>228418086.72000003</v>
      </c>
      <c r="L558" s="178" t="s">
        <v>714</v>
      </c>
      <c r="M558" s="174" t="s">
        <v>91</v>
      </c>
    </row>
    <row r="559" spans="2:13" x14ac:dyDescent="0.35">
      <c r="B559" s="173" t="s">
        <v>115</v>
      </c>
      <c r="C559" s="146">
        <v>46044</v>
      </c>
      <c r="D559" s="148">
        <v>9352308</v>
      </c>
      <c r="E559" s="148">
        <v>66</v>
      </c>
      <c r="F559" s="149">
        <v>-1290000</v>
      </c>
      <c r="G559" s="147" t="s">
        <v>116</v>
      </c>
      <c r="H559" s="148">
        <v>488</v>
      </c>
      <c r="I559" s="148" t="s">
        <v>123</v>
      </c>
      <c r="J559" s="147" t="s">
        <v>124</v>
      </c>
      <c r="K559" s="149">
        <f>+K558+Tabla6[[#This Row],[IMPORTE]]</f>
        <v>227128086.72000003</v>
      </c>
      <c r="L559" s="178" t="s">
        <v>714</v>
      </c>
      <c r="M559" s="174" t="s">
        <v>91</v>
      </c>
    </row>
    <row r="560" spans="2:13" x14ac:dyDescent="0.35">
      <c r="B560" s="173" t="s">
        <v>115</v>
      </c>
      <c r="C560" s="146">
        <v>46044</v>
      </c>
      <c r="D560" s="148">
        <v>9239761</v>
      </c>
      <c r="E560" s="148">
        <v>66</v>
      </c>
      <c r="F560" s="149">
        <v>-1277285.28</v>
      </c>
      <c r="G560" s="147" t="s">
        <v>116</v>
      </c>
      <c r="H560" s="148">
        <v>487</v>
      </c>
      <c r="I560" s="148" t="s">
        <v>123</v>
      </c>
      <c r="J560" s="147" t="s">
        <v>124</v>
      </c>
      <c r="K560" s="149">
        <f>+K559+Tabla6[[#This Row],[IMPORTE]]</f>
        <v>225850801.44000003</v>
      </c>
      <c r="L560" s="143" t="s">
        <v>695</v>
      </c>
      <c r="M560" s="174" t="s">
        <v>1505</v>
      </c>
    </row>
    <row r="561" spans="2:13" x14ac:dyDescent="0.35">
      <c r="B561" s="173" t="s">
        <v>115</v>
      </c>
      <c r="C561" s="146">
        <v>46044</v>
      </c>
      <c r="D561" s="148">
        <v>9243799</v>
      </c>
      <c r="E561" s="148">
        <v>66</v>
      </c>
      <c r="F561" s="149">
        <v>-1200000</v>
      </c>
      <c r="G561" s="147" t="s">
        <v>116</v>
      </c>
      <c r="H561" s="148">
        <v>488</v>
      </c>
      <c r="I561" s="148" t="s">
        <v>123</v>
      </c>
      <c r="J561" s="147" t="s">
        <v>124</v>
      </c>
      <c r="K561" s="149">
        <f>+K560+Tabla6[[#This Row],[IMPORTE]]</f>
        <v>224650801.44000003</v>
      </c>
      <c r="L561" s="143" t="s">
        <v>704</v>
      </c>
      <c r="M561" s="174" t="s">
        <v>1505</v>
      </c>
    </row>
    <row r="562" spans="2:13" x14ac:dyDescent="0.35">
      <c r="B562" s="173" t="s">
        <v>115</v>
      </c>
      <c r="C562" s="146">
        <v>46044</v>
      </c>
      <c r="D562" s="148">
        <v>9356882</v>
      </c>
      <c r="E562" s="148">
        <v>66</v>
      </c>
      <c r="F562" s="149">
        <v>-1193250</v>
      </c>
      <c r="G562" s="147" t="s">
        <v>116</v>
      </c>
      <c r="H562" s="148">
        <v>487</v>
      </c>
      <c r="I562" s="148" t="s">
        <v>123</v>
      </c>
      <c r="J562" s="147" t="s">
        <v>124</v>
      </c>
      <c r="K562" s="149">
        <f>+K561+Tabla6[[#This Row],[IMPORTE]]</f>
        <v>223457551.44000003</v>
      </c>
      <c r="L562" s="178" t="s">
        <v>714</v>
      </c>
      <c r="M562" s="174" t="s">
        <v>91</v>
      </c>
    </row>
    <row r="563" spans="2:13" x14ac:dyDescent="0.35">
      <c r="B563" s="173" t="s">
        <v>115</v>
      </c>
      <c r="C563" s="146">
        <v>46044</v>
      </c>
      <c r="D563" s="148">
        <v>9352279</v>
      </c>
      <c r="E563" s="148">
        <v>66</v>
      </c>
      <c r="F563" s="149">
        <v>-1193250</v>
      </c>
      <c r="G563" s="147" t="s">
        <v>116</v>
      </c>
      <c r="H563" s="148">
        <v>488</v>
      </c>
      <c r="I563" s="148" t="s">
        <v>123</v>
      </c>
      <c r="J563" s="147" t="s">
        <v>124</v>
      </c>
      <c r="K563" s="149">
        <f>+K562+Tabla6[[#This Row],[IMPORTE]]</f>
        <v>222264301.44000003</v>
      </c>
      <c r="L563" s="178" t="s">
        <v>714</v>
      </c>
      <c r="M563" s="174" t="s">
        <v>91</v>
      </c>
    </row>
    <row r="564" spans="2:13" x14ac:dyDescent="0.35">
      <c r="B564" s="173" t="s">
        <v>115</v>
      </c>
      <c r="C564" s="146">
        <v>46044</v>
      </c>
      <c r="D564" s="148">
        <v>9352584</v>
      </c>
      <c r="E564" s="148">
        <v>66</v>
      </c>
      <c r="F564" s="149">
        <v>-1145520</v>
      </c>
      <c r="G564" s="147" t="s">
        <v>116</v>
      </c>
      <c r="H564" s="148">
        <v>488</v>
      </c>
      <c r="I564" s="148" t="s">
        <v>123</v>
      </c>
      <c r="J564" s="147" t="s">
        <v>124</v>
      </c>
      <c r="K564" s="149">
        <f>+K563+Tabla6[[#This Row],[IMPORTE]]</f>
        <v>221118781.44000003</v>
      </c>
      <c r="L564" s="178" t="s">
        <v>714</v>
      </c>
      <c r="M564" s="174" t="s">
        <v>91</v>
      </c>
    </row>
    <row r="565" spans="2:13" x14ac:dyDescent="0.35">
      <c r="B565" s="173" t="s">
        <v>115</v>
      </c>
      <c r="C565" s="146">
        <v>46044</v>
      </c>
      <c r="D565" s="148">
        <v>9352388</v>
      </c>
      <c r="E565" s="148">
        <v>66</v>
      </c>
      <c r="F565" s="149">
        <v>-1130843.03</v>
      </c>
      <c r="G565" s="147" t="s">
        <v>116</v>
      </c>
      <c r="H565" s="148">
        <v>488</v>
      </c>
      <c r="I565" s="148" t="s">
        <v>123</v>
      </c>
      <c r="J565" s="147" t="s">
        <v>124</v>
      </c>
      <c r="K565" s="149">
        <f>+K564+Tabla6[[#This Row],[IMPORTE]]</f>
        <v>219987938.41000003</v>
      </c>
      <c r="L565" s="178" t="s">
        <v>714</v>
      </c>
      <c r="M565" s="174" t="s">
        <v>91</v>
      </c>
    </row>
    <row r="566" spans="2:13" x14ac:dyDescent="0.35">
      <c r="B566" s="173" t="s">
        <v>115</v>
      </c>
      <c r="C566" s="146">
        <v>46044</v>
      </c>
      <c r="D566" s="148">
        <v>9356959</v>
      </c>
      <c r="E566" s="148">
        <v>66</v>
      </c>
      <c r="F566" s="149">
        <v>-1100000</v>
      </c>
      <c r="G566" s="147" t="s">
        <v>116</v>
      </c>
      <c r="H566" s="148">
        <v>487</v>
      </c>
      <c r="I566" s="148" t="s">
        <v>123</v>
      </c>
      <c r="J566" s="147" t="s">
        <v>124</v>
      </c>
      <c r="K566" s="149">
        <f>+K565+Tabla6[[#This Row],[IMPORTE]]</f>
        <v>218887938.41000003</v>
      </c>
      <c r="L566" s="178" t="s">
        <v>714</v>
      </c>
      <c r="M566" s="174" t="s">
        <v>91</v>
      </c>
    </row>
    <row r="567" spans="2:13" x14ac:dyDescent="0.35">
      <c r="B567" s="173" t="s">
        <v>115</v>
      </c>
      <c r="C567" s="146">
        <v>46044</v>
      </c>
      <c r="D567" s="148">
        <v>9352363</v>
      </c>
      <c r="E567" s="148">
        <v>66</v>
      </c>
      <c r="F567" s="149">
        <v>-1073925</v>
      </c>
      <c r="G567" s="147" t="s">
        <v>116</v>
      </c>
      <c r="H567" s="148">
        <v>487</v>
      </c>
      <c r="I567" s="148" t="s">
        <v>123</v>
      </c>
      <c r="J567" s="147" t="s">
        <v>124</v>
      </c>
      <c r="K567" s="149">
        <f>+K566+Tabla6[[#This Row],[IMPORTE]]</f>
        <v>217814013.41000003</v>
      </c>
      <c r="L567" s="178" t="s">
        <v>714</v>
      </c>
      <c r="M567" s="174" t="s">
        <v>91</v>
      </c>
    </row>
    <row r="568" spans="2:13" x14ac:dyDescent="0.35">
      <c r="B568" s="173" t="s">
        <v>115</v>
      </c>
      <c r="C568" s="146">
        <v>46044</v>
      </c>
      <c r="D568" s="148">
        <v>9352606</v>
      </c>
      <c r="E568" s="148">
        <v>66</v>
      </c>
      <c r="F568" s="149">
        <v>-1073925</v>
      </c>
      <c r="G568" s="147" t="s">
        <v>116</v>
      </c>
      <c r="H568" s="148">
        <v>488</v>
      </c>
      <c r="I568" s="148" t="s">
        <v>123</v>
      </c>
      <c r="J568" s="147" t="s">
        <v>124</v>
      </c>
      <c r="K568" s="149">
        <f>+K567+Tabla6[[#This Row],[IMPORTE]]</f>
        <v>216740088.41000003</v>
      </c>
      <c r="L568" s="178" t="s">
        <v>714</v>
      </c>
      <c r="M568" s="174" t="s">
        <v>91</v>
      </c>
    </row>
    <row r="569" spans="2:13" x14ac:dyDescent="0.35">
      <c r="B569" s="173" t="s">
        <v>115</v>
      </c>
      <c r="C569" s="146">
        <v>46044</v>
      </c>
      <c r="D569" s="148">
        <v>9352556</v>
      </c>
      <c r="E569" s="148">
        <v>66</v>
      </c>
      <c r="F569" s="149">
        <v>-1073925</v>
      </c>
      <c r="G569" s="147" t="s">
        <v>116</v>
      </c>
      <c r="H569" s="148">
        <v>488</v>
      </c>
      <c r="I569" s="148" t="s">
        <v>123</v>
      </c>
      <c r="J569" s="147" t="s">
        <v>124</v>
      </c>
      <c r="K569" s="149">
        <f>+K568+Tabla6[[#This Row],[IMPORTE]]</f>
        <v>215666163.41000003</v>
      </c>
      <c r="L569" s="178" t="s">
        <v>714</v>
      </c>
      <c r="M569" s="174" t="s">
        <v>91</v>
      </c>
    </row>
    <row r="570" spans="2:13" x14ac:dyDescent="0.35">
      <c r="B570" s="173" t="s">
        <v>115</v>
      </c>
      <c r="C570" s="146">
        <v>46044</v>
      </c>
      <c r="D570" s="148">
        <v>9352554</v>
      </c>
      <c r="E570" s="148">
        <v>66</v>
      </c>
      <c r="F570" s="149">
        <v>-1073925</v>
      </c>
      <c r="G570" s="147" t="s">
        <v>116</v>
      </c>
      <c r="H570" s="148">
        <v>488</v>
      </c>
      <c r="I570" s="148" t="s">
        <v>123</v>
      </c>
      <c r="J570" s="147" t="s">
        <v>124</v>
      </c>
      <c r="K570" s="149">
        <f>+K569+Tabla6[[#This Row],[IMPORTE]]</f>
        <v>214592238.41000003</v>
      </c>
      <c r="L570" s="178" t="s">
        <v>714</v>
      </c>
      <c r="M570" s="174" t="s">
        <v>91</v>
      </c>
    </row>
    <row r="571" spans="2:13" x14ac:dyDescent="0.35">
      <c r="B571" s="173" t="s">
        <v>115</v>
      </c>
      <c r="C571" s="146">
        <v>46044</v>
      </c>
      <c r="D571" s="148">
        <v>9357131</v>
      </c>
      <c r="E571" s="148">
        <v>66</v>
      </c>
      <c r="F571" s="149">
        <v>-1073925</v>
      </c>
      <c r="G571" s="147" t="s">
        <v>116</v>
      </c>
      <c r="H571" s="148">
        <v>488</v>
      </c>
      <c r="I571" s="148" t="s">
        <v>123</v>
      </c>
      <c r="J571" s="147" t="s">
        <v>124</v>
      </c>
      <c r="K571" s="149">
        <f>+K570+Tabla6[[#This Row],[IMPORTE]]</f>
        <v>213518313.41000003</v>
      </c>
      <c r="L571" s="178" t="s">
        <v>714</v>
      </c>
      <c r="M571" s="174" t="s">
        <v>91</v>
      </c>
    </row>
    <row r="572" spans="2:13" x14ac:dyDescent="0.35">
      <c r="B572" s="173" t="s">
        <v>115</v>
      </c>
      <c r="C572" s="146">
        <v>46044</v>
      </c>
      <c r="D572" s="148">
        <v>9352690</v>
      </c>
      <c r="E572" s="148">
        <v>66</v>
      </c>
      <c r="F572" s="149">
        <v>-1050197.94</v>
      </c>
      <c r="G572" s="147" t="s">
        <v>116</v>
      </c>
      <c r="H572" s="148">
        <v>488</v>
      </c>
      <c r="I572" s="148" t="s">
        <v>123</v>
      </c>
      <c r="J572" s="147" t="s">
        <v>124</v>
      </c>
      <c r="K572" s="149">
        <f>+K571+Tabla6[[#This Row],[IMPORTE]]</f>
        <v>212468115.47000003</v>
      </c>
      <c r="L572" s="178" t="s">
        <v>714</v>
      </c>
      <c r="M572" s="174" t="s">
        <v>91</v>
      </c>
    </row>
    <row r="573" spans="2:13" x14ac:dyDescent="0.35">
      <c r="B573" s="173" t="s">
        <v>115</v>
      </c>
      <c r="C573" s="146">
        <v>46044</v>
      </c>
      <c r="D573" s="148">
        <v>9356879</v>
      </c>
      <c r="E573" s="148">
        <v>66</v>
      </c>
      <c r="F573" s="149">
        <v>-1050197.04</v>
      </c>
      <c r="G573" s="147" t="s">
        <v>116</v>
      </c>
      <c r="H573" s="148">
        <v>488</v>
      </c>
      <c r="I573" s="148" t="s">
        <v>123</v>
      </c>
      <c r="J573" s="147" t="s">
        <v>124</v>
      </c>
      <c r="K573" s="149">
        <f>+K572+Tabla6[[#This Row],[IMPORTE]]</f>
        <v>211417918.43000004</v>
      </c>
      <c r="L573" s="178" t="s">
        <v>714</v>
      </c>
      <c r="M573" s="174" t="s">
        <v>91</v>
      </c>
    </row>
    <row r="574" spans="2:13" x14ac:dyDescent="0.35">
      <c r="B574" s="173" t="s">
        <v>115</v>
      </c>
      <c r="C574" s="146">
        <v>46044</v>
      </c>
      <c r="D574" s="148">
        <v>9356892</v>
      </c>
      <c r="E574" s="148">
        <v>66</v>
      </c>
      <c r="F574" s="149">
        <v>-1040778.51</v>
      </c>
      <c r="G574" s="147" t="s">
        <v>116</v>
      </c>
      <c r="H574" s="148">
        <v>487</v>
      </c>
      <c r="I574" s="148" t="s">
        <v>123</v>
      </c>
      <c r="J574" s="147" t="s">
        <v>124</v>
      </c>
      <c r="K574" s="149">
        <f>+K573+Tabla6[[#This Row],[IMPORTE]]</f>
        <v>210377139.92000005</v>
      </c>
      <c r="L574" s="178" t="s">
        <v>714</v>
      </c>
      <c r="M574" s="174" t="s">
        <v>91</v>
      </c>
    </row>
    <row r="575" spans="2:13" x14ac:dyDescent="0.35">
      <c r="B575" s="173" t="s">
        <v>115</v>
      </c>
      <c r="C575" s="146">
        <v>46044</v>
      </c>
      <c r="D575" s="148">
        <v>9352344</v>
      </c>
      <c r="E575" s="148">
        <v>66</v>
      </c>
      <c r="F575" s="149">
        <v>-1040778.51</v>
      </c>
      <c r="G575" s="147" t="s">
        <v>116</v>
      </c>
      <c r="H575" s="148">
        <v>488</v>
      </c>
      <c r="I575" s="148" t="s">
        <v>123</v>
      </c>
      <c r="J575" s="147" t="s">
        <v>124</v>
      </c>
      <c r="K575" s="149">
        <f>+K574+Tabla6[[#This Row],[IMPORTE]]</f>
        <v>209336361.41000006</v>
      </c>
      <c r="L575" s="178" t="s">
        <v>714</v>
      </c>
      <c r="M575" s="174" t="s">
        <v>91</v>
      </c>
    </row>
    <row r="576" spans="2:13" x14ac:dyDescent="0.35">
      <c r="B576" s="173" t="s">
        <v>115</v>
      </c>
      <c r="C576" s="146">
        <v>46044</v>
      </c>
      <c r="D576" s="148">
        <v>9352312</v>
      </c>
      <c r="E576" s="148">
        <v>66</v>
      </c>
      <c r="F576" s="149">
        <v>-1032000</v>
      </c>
      <c r="G576" s="147" t="s">
        <v>116</v>
      </c>
      <c r="H576" s="148">
        <v>488</v>
      </c>
      <c r="I576" s="148" t="s">
        <v>123</v>
      </c>
      <c r="J576" s="147" t="s">
        <v>124</v>
      </c>
      <c r="K576" s="149">
        <f>+K575+Tabla6[[#This Row],[IMPORTE]]</f>
        <v>208304361.41000006</v>
      </c>
      <c r="L576" s="178" t="s">
        <v>714</v>
      </c>
      <c r="M576" s="174" t="s">
        <v>91</v>
      </c>
    </row>
    <row r="577" spans="2:13" x14ac:dyDescent="0.35">
      <c r="B577" s="173" t="s">
        <v>115</v>
      </c>
      <c r="C577" s="146">
        <v>46044</v>
      </c>
      <c r="D577" s="148">
        <v>9352627</v>
      </c>
      <c r="E577" s="148">
        <v>66</v>
      </c>
      <c r="F577" s="149">
        <v>-1032000</v>
      </c>
      <c r="G577" s="147" t="s">
        <v>116</v>
      </c>
      <c r="H577" s="148">
        <v>488</v>
      </c>
      <c r="I577" s="148" t="s">
        <v>123</v>
      </c>
      <c r="J577" s="147" t="s">
        <v>124</v>
      </c>
      <c r="K577" s="149">
        <f>+K576+Tabla6[[#This Row],[IMPORTE]]</f>
        <v>207272361.41000006</v>
      </c>
      <c r="L577" s="178" t="s">
        <v>714</v>
      </c>
      <c r="M577" s="174" t="s">
        <v>91</v>
      </c>
    </row>
    <row r="578" spans="2:13" x14ac:dyDescent="0.35">
      <c r="B578" s="173" t="s">
        <v>115</v>
      </c>
      <c r="C578" s="146">
        <v>46044</v>
      </c>
      <c r="D578" s="148">
        <v>9352465</v>
      </c>
      <c r="E578" s="148">
        <v>66</v>
      </c>
      <c r="F578" s="149">
        <v>-1017691.99</v>
      </c>
      <c r="G578" s="147" t="s">
        <v>116</v>
      </c>
      <c r="H578" s="148">
        <v>488</v>
      </c>
      <c r="I578" s="148" t="s">
        <v>123</v>
      </c>
      <c r="J578" s="147" t="s">
        <v>124</v>
      </c>
      <c r="K578" s="149">
        <f>+K577+Tabla6[[#This Row],[IMPORTE]]</f>
        <v>206254669.42000005</v>
      </c>
      <c r="L578" s="178" t="s">
        <v>714</v>
      </c>
      <c r="M578" s="174" t="s">
        <v>91</v>
      </c>
    </row>
    <row r="579" spans="2:13" x14ac:dyDescent="0.35">
      <c r="B579" s="173" t="s">
        <v>115</v>
      </c>
      <c r="C579" s="146">
        <v>46044</v>
      </c>
      <c r="D579" s="148">
        <v>9352310</v>
      </c>
      <c r="E579" s="148">
        <v>66</v>
      </c>
      <c r="F579" s="149">
        <v>-1017691.99</v>
      </c>
      <c r="G579" s="147" t="s">
        <v>116</v>
      </c>
      <c r="H579" s="148">
        <v>488</v>
      </c>
      <c r="I579" s="148" t="s">
        <v>123</v>
      </c>
      <c r="J579" s="147" t="s">
        <v>124</v>
      </c>
      <c r="K579" s="149">
        <f>+K578+Tabla6[[#This Row],[IMPORTE]]</f>
        <v>205236977.43000004</v>
      </c>
      <c r="L579" s="178" t="s">
        <v>714</v>
      </c>
      <c r="M579" s="174" t="s">
        <v>91</v>
      </c>
    </row>
    <row r="580" spans="2:13" x14ac:dyDescent="0.35">
      <c r="B580" s="173" t="s">
        <v>115</v>
      </c>
      <c r="C580" s="146">
        <v>46044</v>
      </c>
      <c r="D580" s="148">
        <v>9352305</v>
      </c>
      <c r="E580" s="148">
        <v>66</v>
      </c>
      <c r="F580" s="149">
        <v>-1017691.99</v>
      </c>
      <c r="G580" s="147" t="s">
        <v>116</v>
      </c>
      <c r="H580" s="148">
        <v>488</v>
      </c>
      <c r="I580" s="148" t="s">
        <v>123</v>
      </c>
      <c r="J580" s="147" t="s">
        <v>124</v>
      </c>
      <c r="K580" s="149">
        <f>+K579+Tabla6[[#This Row],[IMPORTE]]</f>
        <v>204219285.44000003</v>
      </c>
      <c r="L580" s="178" t="s">
        <v>714</v>
      </c>
      <c r="M580" s="174" t="s">
        <v>91</v>
      </c>
    </row>
    <row r="581" spans="2:13" x14ac:dyDescent="0.35">
      <c r="B581" s="173" t="s">
        <v>115</v>
      </c>
      <c r="C581" s="146">
        <v>46044</v>
      </c>
      <c r="D581" s="148">
        <v>9357133</v>
      </c>
      <c r="E581" s="148">
        <v>66</v>
      </c>
      <c r="F581" s="149">
        <v>-1017691.99</v>
      </c>
      <c r="G581" s="147" t="s">
        <v>116</v>
      </c>
      <c r="H581" s="148">
        <v>488</v>
      </c>
      <c r="I581" s="148" t="s">
        <v>123</v>
      </c>
      <c r="J581" s="147" t="s">
        <v>124</v>
      </c>
      <c r="K581" s="149">
        <f>+K580+Tabla6[[#This Row],[IMPORTE]]</f>
        <v>203201593.45000002</v>
      </c>
      <c r="L581" s="178" t="s">
        <v>714</v>
      </c>
      <c r="M581" s="174" t="s">
        <v>91</v>
      </c>
    </row>
    <row r="582" spans="2:13" x14ac:dyDescent="0.35">
      <c r="B582" s="173" t="s">
        <v>115</v>
      </c>
      <c r="C582" s="146">
        <v>46044</v>
      </c>
      <c r="D582" s="148">
        <v>9352482</v>
      </c>
      <c r="E582" s="148">
        <v>66</v>
      </c>
      <c r="F582" s="149">
        <v>-1000000</v>
      </c>
      <c r="G582" s="147" t="s">
        <v>116</v>
      </c>
      <c r="H582" s="148">
        <v>488</v>
      </c>
      <c r="I582" s="148" t="s">
        <v>123</v>
      </c>
      <c r="J582" s="147" t="s">
        <v>124</v>
      </c>
      <c r="K582" s="149">
        <f>+K581+Tabla6[[#This Row],[IMPORTE]]</f>
        <v>202201593.45000002</v>
      </c>
      <c r="L582" s="178" t="s">
        <v>714</v>
      </c>
      <c r="M582" s="174" t="s">
        <v>91</v>
      </c>
    </row>
    <row r="583" spans="2:13" x14ac:dyDescent="0.35">
      <c r="B583" s="173" t="s">
        <v>115</v>
      </c>
      <c r="C583" s="146">
        <v>46044</v>
      </c>
      <c r="D583" s="148">
        <v>9352624</v>
      </c>
      <c r="E583" s="148">
        <v>66</v>
      </c>
      <c r="F583" s="149">
        <v>-987186.06</v>
      </c>
      <c r="G583" s="147" t="s">
        <v>116</v>
      </c>
      <c r="H583" s="148">
        <v>487</v>
      </c>
      <c r="I583" s="148" t="s">
        <v>123</v>
      </c>
      <c r="J583" s="147" t="s">
        <v>124</v>
      </c>
      <c r="K583" s="149">
        <f>+K582+Tabla6[[#This Row],[IMPORTE]]</f>
        <v>201214407.39000002</v>
      </c>
      <c r="L583" s="178" t="s">
        <v>714</v>
      </c>
      <c r="M583" s="174" t="s">
        <v>91</v>
      </c>
    </row>
    <row r="584" spans="2:13" x14ac:dyDescent="0.35">
      <c r="B584" s="173" t="s">
        <v>115</v>
      </c>
      <c r="C584" s="146">
        <v>46044</v>
      </c>
      <c r="D584" s="148">
        <v>9352290</v>
      </c>
      <c r="E584" s="148">
        <v>66</v>
      </c>
      <c r="F584" s="149">
        <v>-954600</v>
      </c>
      <c r="G584" s="147" t="s">
        <v>116</v>
      </c>
      <c r="H584" s="148">
        <v>488</v>
      </c>
      <c r="I584" s="148" t="s">
        <v>123</v>
      </c>
      <c r="J584" s="147" t="s">
        <v>124</v>
      </c>
      <c r="K584" s="149">
        <f>+K583+Tabla6[[#This Row],[IMPORTE]]</f>
        <v>200259807.39000002</v>
      </c>
      <c r="L584" s="178" t="s">
        <v>714</v>
      </c>
      <c r="M584" s="174" t="s">
        <v>91</v>
      </c>
    </row>
    <row r="585" spans="2:13" x14ac:dyDescent="0.35">
      <c r="B585" s="173" t="s">
        <v>115</v>
      </c>
      <c r="C585" s="146">
        <v>46044</v>
      </c>
      <c r="D585" s="148">
        <v>9357127</v>
      </c>
      <c r="E585" s="148">
        <v>66</v>
      </c>
      <c r="F585" s="149">
        <v>-930735</v>
      </c>
      <c r="G585" s="147" t="s">
        <v>116</v>
      </c>
      <c r="H585" s="148">
        <v>487</v>
      </c>
      <c r="I585" s="148" t="s">
        <v>123</v>
      </c>
      <c r="J585" s="147" t="s">
        <v>124</v>
      </c>
      <c r="K585" s="149">
        <f>+K584+Tabla6[[#This Row],[IMPORTE]]</f>
        <v>199329072.39000002</v>
      </c>
      <c r="L585" s="178" t="s">
        <v>714</v>
      </c>
      <c r="M585" s="174" t="s">
        <v>91</v>
      </c>
    </row>
    <row r="586" spans="2:13" x14ac:dyDescent="0.35">
      <c r="B586" s="173" t="s">
        <v>115</v>
      </c>
      <c r="C586" s="146">
        <v>46044</v>
      </c>
      <c r="D586" s="148">
        <v>9241303</v>
      </c>
      <c r="E586" s="148">
        <v>66</v>
      </c>
      <c r="F586" s="149">
        <v>-916830</v>
      </c>
      <c r="G586" s="147" t="s">
        <v>116</v>
      </c>
      <c r="H586" s="148">
        <v>487</v>
      </c>
      <c r="I586" s="148" t="s">
        <v>123</v>
      </c>
      <c r="J586" s="147" t="s">
        <v>124</v>
      </c>
      <c r="K586" s="149">
        <f>+K585+Tabla6[[#This Row],[IMPORTE]]</f>
        <v>198412242.39000002</v>
      </c>
      <c r="L586" s="143" t="s">
        <v>698</v>
      </c>
      <c r="M586" s="174" t="s">
        <v>1505</v>
      </c>
    </row>
    <row r="587" spans="2:13" x14ac:dyDescent="0.35">
      <c r="B587" s="173" t="s">
        <v>115</v>
      </c>
      <c r="C587" s="146">
        <v>46044</v>
      </c>
      <c r="D587" s="148">
        <v>9357140</v>
      </c>
      <c r="E587" s="148">
        <v>66</v>
      </c>
      <c r="F587" s="149">
        <v>-915982.86</v>
      </c>
      <c r="G587" s="147" t="s">
        <v>116</v>
      </c>
      <c r="H587" s="148">
        <v>488</v>
      </c>
      <c r="I587" s="148" t="s">
        <v>123</v>
      </c>
      <c r="J587" s="147" t="s">
        <v>124</v>
      </c>
      <c r="K587" s="149">
        <f>+K586+Tabla6[[#This Row],[IMPORTE]]</f>
        <v>197496259.53</v>
      </c>
      <c r="L587" s="178" t="s">
        <v>714</v>
      </c>
      <c r="M587" s="174" t="s">
        <v>91</v>
      </c>
    </row>
    <row r="588" spans="2:13" x14ac:dyDescent="0.35">
      <c r="B588" s="173" t="s">
        <v>115</v>
      </c>
      <c r="C588" s="146">
        <v>46044</v>
      </c>
      <c r="D588" s="148">
        <v>9356965</v>
      </c>
      <c r="E588" s="148">
        <v>66</v>
      </c>
      <c r="F588" s="149">
        <v>-915000</v>
      </c>
      <c r="G588" s="147" t="s">
        <v>116</v>
      </c>
      <c r="H588" s="148">
        <v>487</v>
      </c>
      <c r="I588" s="148" t="s">
        <v>123</v>
      </c>
      <c r="J588" s="147" t="s">
        <v>124</v>
      </c>
      <c r="K588" s="149">
        <f>+K587+Tabla6[[#This Row],[IMPORTE]]</f>
        <v>196581259.53</v>
      </c>
      <c r="L588" s="178" t="s">
        <v>714</v>
      </c>
      <c r="M588" s="174" t="s">
        <v>91</v>
      </c>
    </row>
    <row r="589" spans="2:13" x14ac:dyDescent="0.35">
      <c r="B589" s="173" t="s">
        <v>115</v>
      </c>
      <c r="C589" s="146">
        <v>46044</v>
      </c>
      <c r="D589" s="148">
        <v>9352613</v>
      </c>
      <c r="E589" s="148">
        <v>66</v>
      </c>
      <c r="F589" s="149">
        <v>-915000</v>
      </c>
      <c r="G589" s="147" t="s">
        <v>116</v>
      </c>
      <c r="H589" s="148">
        <v>488</v>
      </c>
      <c r="I589" s="148" t="s">
        <v>123</v>
      </c>
      <c r="J589" s="147" t="s">
        <v>124</v>
      </c>
      <c r="K589" s="149">
        <f>+K588+Tabla6[[#This Row],[IMPORTE]]</f>
        <v>195666259.53</v>
      </c>
      <c r="L589" s="178" t="s">
        <v>714</v>
      </c>
      <c r="M589" s="174" t="s">
        <v>91</v>
      </c>
    </row>
    <row r="590" spans="2:13" x14ac:dyDescent="0.35">
      <c r="B590" s="173" t="s">
        <v>115</v>
      </c>
      <c r="C590" s="146">
        <v>46044</v>
      </c>
      <c r="D590" s="148">
        <v>9352656</v>
      </c>
      <c r="E590" s="148">
        <v>66</v>
      </c>
      <c r="F590" s="149">
        <v>-915000</v>
      </c>
      <c r="G590" s="147" t="s">
        <v>116</v>
      </c>
      <c r="H590" s="148">
        <v>488</v>
      </c>
      <c r="I590" s="148" t="s">
        <v>123</v>
      </c>
      <c r="J590" s="147" t="s">
        <v>124</v>
      </c>
      <c r="K590" s="149">
        <f>+K589+Tabla6[[#This Row],[IMPORTE]]</f>
        <v>194751259.53</v>
      </c>
      <c r="L590" s="178" t="s">
        <v>714</v>
      </c>
      <c r="M590" s="174" t="s">
        <v>91</v>
      </c>
    </row>
    <row r="591" spans="2:13" x14ac:dyDescent="0.35">
      <c r="B591" s="173" t="s">
        <v>115</v>
      </c>
      <c r="C591" s="146">
        <v>46044</v>
      </c>
      <c r="D591" s="148">
        <v>9352646</v>
      </c>
      <c r="E591" s="148">
        <v>66</v>
      </c>
      <c r="F591" s="149">
        <v>-915000</v>
      </c>
      <c r="G591" s="147" t="s">
        <v>116</v>
      </c>
      <c r="H591" s="148">
        <v>488</v>
      </c>
      <c r="I591" s="148" t="s">
        <v>123</v>
      </c>
      <c r="J591" s="147" t="s">
        <v>124</v>
      </c>
      <c r="K591" s="149">
        <f>+K590+Tabla6[[#This Row],[IMPORTE]]</f>
        <v>193836259.53</v>
      </c>
      <c r="L591" s="178" t="s">
        <v>714</v>
      </c>
      <c r="M591" s="174" t="s">
        <v>91</v>
      </c>
    </row>
    <row r="592" spans="2:13" x14ac:dyDescent="0.35">
      <c r="B592" s="173" t="s">
        <v>115</v>
      </c>
      <c r="C592" s="146">
        <v>46044</v>
      </c>
      <c r="D592" s="148">
        <v>9356877</v>
      </c>
      <c r="E592" s="148">
        <v>66</v>
      </c>
      <c r="F592" s="149">
        <v>-915000</v>
      </c>
      <c r="G592" s="147" t="s">
        <v>116</v>
      </c>
      <c r="H592" s="148">
        <v>488</v>
      </c>
      <c r="I592" s="148" t="s">
        <v>123</v>
      </c>
      <c r="J592" s="147" t="s">
        <v>124</v>
      </c>
      <c r="K592" s="149">
        <f>+K591+Tabla6[[#This Row],[IMPORTE]]</f>
        <v>192921259.53</v>
      </c>
      <c r="L592" s="178" t="s">
        <v>714</v>
      </c>
      <c r="M592" s="174" t="s">
        <v>91</v>
      </c>
    </row>
    <row r="593" spans="2:13" x14ac:dyDescent="0.35">
      <c r="B593" s="173" t="s">
        <v>115</v>
      </c>
      <c r="C593" s="146">
        <v>46044</v>
      </c>
      <c r="D593" s="148">
        <v>9356853</v>
      </c>
      <c r="E593" s="148">
        <v>66</v>
      </c>
      <c r="F593" s="149">
        <v>-915000</v>
      </c>
      <c r="G593" s="147" t="s">
        <v>116</v>
      </c>
      <c r="H593" s="148">
        <v>488</v>
      </c>
      <c r="I593" s="148" t="s">
        <v>123</v>
      </c>
      <c r="J593" s="147" t="s">
        <v>124</v>
      </c>
      <c r="K593" s="149">
        <f>+K592+Tabla6[[#This Row],[IMPORTE]]</f>
        <v>192006259.53</v>
      </c>
      <c r="L593" s="178" t="s">
        <v>714</v>
      </c>
      <c r="M593" s="174" t="s">
        <v>91</v>
      </c>
    </row>
    <row r="594" spans="2:13" x14ac:dyDescent="0.35">
      <c r="B594" s="173" t="s">
        <v>115</v>
      </c>
      <c r="C594" s="146">
        <v>46044</v>
      </c>
      <c r="D594" s="148">
        <v>9352577</v>
      </c>
      <c r="E594" s="148">
        <v>66</v>
      </c>
      <c r="F594" s="149">
        <v>-871072.5</v>
      </c>
      <c r="G594" s="147" t="s">
        <v>116</v>
      </c>
      <c r="H594" s="148">
        <v>487</v>
      </c>
      <c r="I594" s="148" t="s">
        <v>123</v>
      </c>
      <c r="J594" s="147" t="s">
        <v>124</v>
      </c>
      <c r="K594" s="149">
        <f>+K593+Tabla6[[#This Row],[IMPORTE]]</f>
        <v>191135187.03</v>
      </c>
      <c r="L594" s="178" t="s">
        <v>714</v>
      </c>
      <c r="M594" s="174" t="s">
        <v>91</v>
      </c>
    </row>
    <row r="595" spans="2:13" x14ac:dyDescent="0.35">
      <c r="B595" s="173" t="s">
        <v>115</v>
      </c>
      <c r="C595" s="146">
        <v>46044</v>
      </c>
      <c r="D595" s="148">
        <v>9352512</v>
      </c>
      <c r="E595" s="148">
        <v>66</v>
      </c>
      <c r="F595" s="149">
        <v>-867944.64</v>
      </c>
      <c r="G595" s="147" t="s">
        <v>116</v>
      </c>
      <c r="H595" s="148">
        <v>488</v>
      </c>
      <c r="I595" s="148" t="s">
        <v>123</v>
      </c>
      <c r="J595" s="147" t="s">
        <v>124</v>
      </c>
      <c r="K595" s="149">
        <f>+K594+Tabla6[[#This Row],[IMPORTE]]</f>
        <v>190267242.39000002</v>
      </c>
      <c r="L595" s="178" t="s">
        <v>714</v>
      </c>
      <c r="M595" s="174" t="s">
        <v>91</v>
      </c>
    </row>
    <row r="596" spans="2:13" x14ac:dyDescent="0.35">
      <c r="B596" s="173" t="s">
        <v>115</v>
      </c>
      <c r="C596" s="146">
        <v>46044</v>
      </c>
      <c r="D596" s="148">
        <v>9352683</v>
      </c>
      <c r="E596" s="148">
        <v>66</v>
      </c>
      <c r="F596" s="149">
        <v>-850000</v>
      </c>
      <c r="G596" s="147" t="s">
        <v>116</v>
      </c>
      <c r="H596" s="148">
        <v>488</v>
      </c>
      <c r="I596" s="148" t="s">
        <v>123</v>
      </c>
      <c r="J596" s="147" t="s">
        <v>124</v>
      </c>
      <c r="K596" s="149">
        <f>+K595+Tabla6[[#This Row],[IMPORTE]]</f>
        <v>189417242.39000002</v>
      </c>
      <c r="L596" s="178" t="s">
        <v>714</v>
      </c>
      <c r="M596" s="174" t="s">
        <v>91</v>
      </c>
    </row>
    <row r="597" spans="2:13" x14ac:dyDescent="0.35">
      <c r="B597" s="173" t="s">
        <v>115</v>
      </c>
      <c r="C597" s="146">
        <v>46044</v>
      </c>
      <c r="D597" s="148">
        <v>9352371</v>
      </c>
      <c r="E597" s="148">
        <v>66</v>
      </c>
      <c r="F597" s="149">
        <v>-835275</v>
      </c>
      <c r="G597" s="147" t="s">
        <v>116</v>
      </c>
      <c r="H597" s="148">
        <v>488</v>
      </c>
      <c r="I597" s="148" t="s">
        <v>123</v>
      </c>
      <c r="J597" s="147" t="s">
        <v>124</v>
      </c>
      <c r="K597" s="149">
        <f>+K596+Tabla6[[#This Row],[IMPORTE]]</f>
        <v>188581967.39000002</v>
      </c>
      <c r="L597" s="178" t="s">
        <v>714</v>
      </c>
      <c r="M597" s="174" t="s">
        <v>91</v>
      </c>
    </row>
    <row r="598" spans="2:13" x14ac:dyDescent="0.35">
      <c r="B598" s="173" t="s">
        <v>115</v>
      </c>
      <c r="C598" s="146">
        <v>46044</v>
      </c>
      <c r="D598" s="148">
        <v>9352286</v>
      </c>
      <c r="E598" s="148">
        <v>66</v>
      </c>
      <c r="F598" s="149">
        <v>-835275</v>
      </c>
      <c r="G598" s="147" t="s">
        <v>116</v>
      </c>
      <c r="H598" s="148">
        <v>488</v>
      </c>
      <c r="I598" s="148" t="s">
        <v>123</v>
      </c>
      <c r="J598" s="147" t="s">
        <v>124</v>
      </c>
      <c r="K598" s="149">
        <f>+K597+Tabla6[[#This Row],[IMPORTE]]</f>
        <v>187746692.39000002</v>
      </c>
      <c r="L598" s="178" t="s">
        <v>714</v>
      </c>
      <c r="M598" s="174" t="s">
        <v>91</v>
      </c>
    </row>
    <row r="599" spans="2:13" x14ac:dyDescent="0.35">
      <c r="B599" s="173" t="s">
        <v>115</v>
      </c>
      <c r="C599" s="146">
        <v>46044</v>
      </c>
      <c r="D599" s="148">
        <v>9357136</v>
      </c>
      <c r="E599" s="148">
        <v>66</v>
      </c>
      <c r="F599" s="149">
        <v>-835235</v>
      </c>
      <c r="G599" s="147" t="s">
        <v>116</v>
      </c>
      <c r="H599" s="148">
        <v>488</v>
      </c>
      <c r="I599" s="148" t="s">
        <v>123</v>
      </c>
      <c r="J599" s="147" t="s">
        <v>124</v>
      </c>
      <c r="K599" s="149">
        <f>+K598+Tabla6[[#This Row],[IMPORTE]]</f>
        <v>186911457.39000002</v>
      </c>
      <c r="L599" s="178" t="s">
        <v>714</v>
      </c>
      <c r="M599" s="174" t="s">
        <v>91</v>
      </c>
    </row>
    <row r="600" spans="2:13" x14ac:dyDescent="0.35">
      <c r="B600" s="173" t="s">
        <v>115</v>
      </c>
      <c r="C600" s="146">
        <v>46044</v>
      </c>
      <c r="D600" s="148">
        <v>9273104</v>
      </c>
      <c r="E600" s="148">
        <v>66</v>
      </c>
      <c r="F600" s="149">
        <v>-823343</v>
      </c>
      <c r="G600" s="147" t="s">
        <v>116</v>
      </c>
      <c r="H600" s="148">
        <v>488</v>
      </c>
      <c r="I600" s="148" t="s">
        <v>123</v>
      </c>
      <c r="J600" s="147" t="s">
        <v>124</v>
      </c>
      <c r="K600" s="149">
        <f>+K599+Tabla6[[#This Row],[IMPORTE]]</f>
        <v>186088114.39000002</v>
      </c>
      <c r="L600" s="143" t="s">
        <v>694</v>
      </c>
      <c r="M600" s="174" t="s">
        <v>1505</v>
      </c>
    </row>
    <row r="601" spans="2:13" x14ac:dyDescent="0.35">
      <c r="B601" s="173" t="s">
        <v>115</v>
      </c>
      <c r="C601" s="146">
        <v>46044</v>
      </c>
      <c r="D601" s="148">
        <v>9352347</v>
      </c>
      <c r="E601" s="148">
        <v>66</v>
      </c>
      <c r="F601" s="149">
        <v>-800202.61</v>
      </c>
      <c r="G601" s="147" t="s">
        <v>116</v>
      </c>
      <c r="H601" s="148">
        <v>488</v>
      </c>
      <c r="I601" s="148" t="s">
        <v>123</v>
      </c>
      <c r="J601" s="147" t="s">
        <v>124</v>
      </c>
      <c r="K601" s="149">
        <f>+K600+Tabla6[[#This Row],[IMPORTE]]</f>
        <v>185287911.78</v>
      </c>
      <c r="L601" s="178" t="s">
        <v>714</v>
      </c>
      <c r="M601" s="174" t="s">
        <v>91</v>
      </c>
    </row>
    <row r="602" spans="2:13" x14ac:dyDescent="0.35">
      <c r="B602" s="173" t="s">
        <v>115</v>
      </c>
      <c r="C602" s="146">
        <v>46044</v>
      </c>
      <c r="D602" s="148">
        <v>9357144</v>
      </c>
      <c r="E602" s="148">
        <v>66</v>
      </c>
      <c r="F602" s="149">
        <v>-800202.61</v>
      </c>
      <c r="G602" s="147" t="s">
        <v>116</v>
      </c>
      <c r="H602" s="148">
        <v>488</v>
      </c>
      <c r="I602" s="148" t="s">
        <v>123</v>
      </c>
      <c r="J602" s="147" t="s">
        <v>124</v>
      </c>
      <c r="K602" s="149">
        <f>+K601+Tabla6[[#This Row],[IMPORTE]]</f>
        <v>184487709.16999999</v>
      </c>
      <c r="L602" s="178" t="s">
        <v>714</v>
      </c>
      <c r="M602" s="174" t="s">
        <v>91</v>
      </c>
    </row>
    <row r="603" spans="2:13" x14ac:dyDescent="0.35">
      <c r="B603" s="173" t="s">
        <v>115</v>
      </c>
      <c r="C603" s="146">
        <v>46044</v>
      </c>
      <c r="D603" s="148">
        <v>9243800</v>
      </c>
      <c r="E603" s="148">
        <v>66</v>
      </c>
      <c r="F603" s="149">
        <v>-750000</v>
      </c>
      <c r="G603" s="147" t="s">
        <v>116</v>
      </c>
      <c r="H603" s="148">
        <v>488</v>
      </c>
      <c r="I603" s="148" t="s">
        <v>123</v>
      </c>
      <c r="J603" s="147" t="s">
        <v>124</v>
      </c>
      <c r="K603" s="149">
        <f>+K602+Tabla6[[#This Row],[IMPORTE]]</f>
        <v>183737709.16999999</v>
      </c>
      <c r="L603" s="143" t="s">
        <v>707</v>
      </c>
      <c r="M603" s="174" t="s">
        <v>1505</v>
      </c>
    </row>
    <row r="604" spans="2:13" x14ac:dyDescent="0.35">
      <c r="B604" s="173" t="s">
        <v>115</v>
      </c>
      <c r="C604" s="146">
        <v>46044</v>
      </c>
      <c r="D604" s="148">
        <v>9356875</v>
      </c>
      <c r="E604" s="148">
        <v>66</v>
      </c>
      <c r="F604" s="149">
        <v>-733098</v>
      </c>
      <c r="G604" s="147" t="s">
        <v>116</v>
      </c>
      <c r="H604" s="148">
        <v>488</v>
      </c>
      <c r="I604" s="148" t="s">
        <v>123</v>
      </c>
      <c r="J604" s="147" t="s">
        <v>124</v>
      </c>
      <c r="K604" s="149">
        <f>+K603+Tabla6[[#This Row],[IMPORTE]]</f>
        <v>183004611.16999999</v>
      </c>
      <c r="L604" s="178" t="s">
        <v>714</v>
      </c>
      <c r="M604" s="174" t="s">
        <v>91</v>
      </c>
    </row>
    <row r="605" spans="2:13" x14ac:dyDescent="0.35">
      <c r="B605" s="173" t="s">
        <v>115</v>
      </c>
      <c r="C605" s="146">
        <v>46044</v>
      </c>
      <c r="D605" s="148">
        <v>9356863</v>
      </c>
      <c r="E605" s="148">
        <v>66</v>
      </c>
      <c r="F605" s="149">
        <v>-730902</v>
      </c>
      <c r="G605" s="147" t="s">
        <v>116</v>
      </c>
      <c r="H605" s="148">
        <v>488</v>
      </c>
      <c r="I605" s="148" t="s">
        <v>123</v>
      </c>
      <c r="J605" s="147" t="s">
        <v>124</v>
      </c>
      <c r="K605" s="149">
        <f>+K604+Tabla6[[#This Row],[IMPORTE]]</f>
        <v>182273709.16999999</v>
      </c>
      <c r="L605" s="178" t="s">
        <v>714</v>
      </c>
      <c r="M605" s="174" t="s">
        <v>91</v>
      </c>
    </row>
    <row r="606" spans="2:13" x14ac:dyDescent="0.35">
      <c r="B606" s="173" t="s">
        <v>115</v>
      </c>
      <c r="C606" s="146">
        <v>46044</v>
      </c>
      <c r="D606" s="148">
        <v>9352394</v>
      </c>
      <c r="E606" s="148">
        <v>66</v>
      </c>
      <c r="F606" s="149">
        <v>-729075.75</v>
      </c>
      <c r="G606" s="147" t="s">
        <v>116</v>
      </c>
      <c r="H606" s="148">
        <v>488</v>
      </c>
      <c r="I606" s="148" t="s">
        <v>123</v>
      </c>
      <c r="J606" s="147" t="s">
        <v>124</v>
      </c>
      <c r="K606" s="149">
        <f>+K605+Tabla6[[#This Row],[IMPORTE]]</f>
        <v>181544633.41999999</v>
      </c>
      <c r="L606" s="178" t="s">
        <v>714</v>
      </c>
      <c r="M606" s="174" t="s">
        <v>91</v>
      </c>
    </row>
    <row r="607" spans="2:13" x14ac:dyDescent="0.35">
      <c r="B607" s="173" t="s">
        <v>115</v>
      </c>
      <c r="C607" s="146">
        <v>46044</v>
      </c>
      <c r="D607" s="148">
        <v>9352495</v>
      </c>
      <c r="E607" s="148">
        <v>66</v>
      </c>
      <c r="F607" s="149">
        <v>-729075.75</v>
      </c>
      <c r="G607" s="147" t="s">
        <v>116</v>
      </c>
      <c r="H607" s="148">
        <v>488</v>
      </c>
      <c r="I607" s="148" t="s">
        <v>123</v>
      </c>
      <c r="J607" s="147" t="s">
        <v>124</v>
      </c>
      <c r="K607" s="149">
        <f>+K606+Tabla6[[#This Row],[IMPORTE]]</f>
        <v>180815557.66999999</v>
      </c>
      <c r="L607" s="178" t="s">
        <v>714</v>
      </c>
      <c r="M607" s="174" t="s">
        <v>91</v>
      </c>
    </row>
    <row r="608" spans="2:13" x14ac:dyDescent="0.35">
      <c r="B608" s="173" t="s">
        <v>115</v>
      </c>
      <c r="C608" s="146">
        <v>46044</v>
      </c>
      <c r="D608" s="148">
        <v>9352446</v>
      </c>
      <c r="E608" s="148">
        <v>66</v>
      </c>
      <c r="F608" s="149">
        <v>-729075.75</v>
      </c>
      <c r="G608" s="147" t="s">
        <v>116</v>
      </c>
      <c r="H608" s="148">
        <v>488</v>
      </c>
      <c r="I608" s="148" t="s">
        <v>123</v>
      </c>
      <c r="J608" s="147" t="s">
        <v>124</v>
      </c>
      <c r="K608" s="149">
        <f>+K607+Tabla6[[#This Row],[IMPORTE]]</f>
        <v>180086481.91999999</v>
      </c>
      <c r="L608" s="178" t="s">
        <v>714</v>
      </c>
      <c r="M608" s="174" t="s">
        <v>91</v>
      </c>
    </row>
    <row r="609" spans="2:13" x14ac:dyDescent="0.35">
      <c r="B609" s="173" t="s">
        <v>115</v>
      </c>
      <c r="C609" s="146">
        <v>46044</v>
      </c>
      <c r="D609" s="148">
        <v>9352346</v>
      </c>
      <c r="E609" s="148">
        <v>66</v>
      </c>
      <c r="F609" s="149">
        <v>-729075.75</v>
      </c>
      <c r="G609" s="147" t="s">
        <v>116</v>
      </c>
      <c r="H609" s="148">
        <v>488</v>
      </c>
      <c r="I609" s="148" t="s">
        <v>123</v>
      </c>
      <c r="J609" s="147" t="s">
        <v>124</v>
      </c>
      <c r="K609" s="149">
        <f>+K608+Tabla6[[#This Row],[IMPORTE]]</f>
        <v>179357406.16999999</v>
      </c>
      <c r="L609" s="178" t="s">
        <v>714</v>
      </c>
      <c r="M609" s="174" t="s">
        <v>91</v>
      </c>
    </row>
    <row r="610" spans="2:13" x14ac:dyDescent="0.35">
      <c r="B610" s="173" t="s">
        <v>115</v>
      </c>
      <c r="C610" s="146">
        <v>46044</v>
      </c>
      <c r="D610" s="148">
        <v>9352581</v>
      </c>
      <c r="E610" s="148">
        <v>66</v>
      </c>
      <c r="F610" s="149">
        <v>-729075.75</v>
      </c>
      <c r="G610" s="147" t="s">
        <v>116</v>
      </c>
      <c r="H610" s="148">
        <v>488</v>
      </c>
      <c r="I610" s="148" t="s">
        <v>123</v>
      </c>
      <c r="J610" s="147" t="s">
        <v>124</v>
      </c>
      <c r="K610" s="149">
        <f>+K609+Tabla6[[#This Row],[IMPORTE]]</f>
        <v>178628330.41999999</v>
      </c>
      <c r="L610" s="178" t="s">
        <v>714</v>
      </c>
      <c r="M610" s="174" t="s">
        <v>91</v>
      </c>
    </row>
    <row r="611" spans="2:13" x14ac:dyDescent="0.35">
      <c r="B611" s="173" t="s">
        <v>115</v>
      </c>
      <c r="C611" s="146">
        <v>46044</v>
      </c>
      <c r="D611" s="148">
        <v>9352315</v>
      </c>
      <c r="E611" s="148">
        <v>66</v>
      </c>
      <c r="F611" s="149">
        <v>-729075.75</v>
      </c>
      <c r="G611" s="147" t="s">
        <v>116</v>
      </c>
      <c r="H611" s="148">
        <v>488</v>
      </c>
      <c r="I611" s="148" t="s">
        <v>123</v>
      </c>
      <c r="J611" s="147" t="s">
        <v>124</v>
      </c>
      <c r="K611" s="149">
        <f>+K610+Tabla6[[#This Row],[IMPORTE]]</f>
        <v>177899254.66999999</v>
      </c>
      <c r="L611" s="178" t="s">
        <v>714</v>
      </c>
      <c r="M611" s="174" t="s">
        <v>91</v>
      </c>
    </row>
    <row r="612" spans="2:13" x14ac:dyDescent="0.35">
      <c r="B612" s="173" t="s">
        <v>115</v>
      </c>
      <c r="C612" s="146">
        <v>46044</v>
      </c>
      <c r="D612" s="148">
        <v>9352423</v>
      </c>
      <c r="E612" s="148">
        <v>66</v>
      </c>
      <c r="F612" s="149">
        <v>-729075.75</v>
      </c>
      <c r="G612" s="147" t="s">
        <v>116</v>
      </c>
      <c r="H612" s="148">
        <v>488</v>
      </c>
      <c r="I612" s="148" t="s">
        <v>123</v>
      </c>
      <c r="J612" s="147" t="s">
        <v>124</v>
      </c>
      <c r="K612" s="149">
        <f>+K611+Tabla6[[#This Row],[IMPORTE]]</f>
        <v>177170178.91999999</v>
      </c>
      <c r="L612" s="178" t="s">
        <v>714</v>
      </c>
      <c r="M612" s="174" t="s">
        <v>91</v>
      </c>
    </row>
    <row r="613" spans="2:13" x14ac:dyDescent="0.35">
      <c r="B613" s="173" t="s">
        <v>115</v>
      </c>
      <c r="C613" s="146">
        <v>46044</v>
      </c>
      <c r="D613" s="148">
        <v>9352479</v>
      </c>
      <c r="E613" s="148">
        <v>66</v>
      </c>
      <c r="F613" s="149">
        <v>-729075.75</v>
      </c>
      <c r="G613" s="147" t="s">
        <v>116</v>
      </c>
      <c r="H613" s="148">
        <v>488</v>
      </c>
      <c r="I613" s="148" t="s">
        <v>123</v>
      </c>
      <c r="J613" s="147" t="s">
        <v>124</v>
      </c>
      <c r="K613" s="149">
        <f>+K612+Tabla6[[#This Row],[IMPORTE]]</f>
        <v>176441103.16999999</v>
      </c>
      <c r="L613" s="178" t="s">
        <v>714</v>
      </c>
      <c r="M613" s="174" t="s">
        <v>91</v>
      </c>
    </row>
    <row r="614" spans="2:13" x14ac:dyDescent="0.35">
      <c r="B614" s="173" t="s">
        <v>115</v>
      </c>
      <c r="C614" s="146">
        <v>46044</v>
      </c>
      <c r="D614" s="148">
        <v>9352579</v>
      </c>
      <c r="E614" s="148">
        <v>66</v>
      </c>
      <c r="F614" s="149">
        <v>-729075.75</v>
      </c>
      <c r="G614" s="147" t="s">
        <v>116</v>
      </c>
      <c r="H614" s="148">
        <v>488</v>
      </c>
      <c r="I614" s="148" t="s">
        <v>123</v>
      </c>
      <c r="J614" s="147" t="s">
        <v>124</v>
      </c>
      <c r="K614" s="149">
        <f>+K613+Tabla6[[#This Row],[IMPORTE]]</f>
        <v>175712027.41999999</v>
      </c>
      <c r="L614" s="178" t="s">
        <v>714</v>
      </c>
      <c r="M614" s="174" t="s">
        <v>91</v>
      </c>
    </row>
    <row r="615" spans="2:13" x14ac:dyDescent="0.35">
      <c r="B615" s="173" t="s">
        <v>115</v>
      </c>
      <c r="C615" s="146">
        <v>46044</v>
      </c>
      <c r="D615" s="148">
        <v>9352282</v>
      </c>
      <c r="E615" s="148">
        <v>66</v>
      </c>
      <c r="F615" s="149">
        <v>-721500</v>
      </c>
      <c r="G615" s="147" t="s">
        <v>116</v>
      </c>
      <c r="H615" s="148">
        <v>488</v>
      </c>
      <c r="I615" s="148" t="s">
        <v>123</v>
      </c>
      <c r="J615" s="147" t="s">
        <v>124</v>
      </c>
      <c r="K615" s="149">
        <f>+K614+Tabla6[[#This Row],[IMPORTE]]</f>
        <v>174990527.41999999</v>
      </c>
      <c r="L615" s="178" t="s">
        <v>714</v>
      </c>
      <c r="M615" s="174" t="s">
        <v>91</v>
      </c>
    </row>
    <row r="616" spans="2:13" x14ac:dyDescent="0.35">
      <c r="B616" s="173" t="s">
        <v>115</v>
      </c>
      <c r="C616" s="146">
        <v>46044</v>
      </c>
      <c r="D616" s="148">
        <v>9352597</v>
      </c>
      <c r="E616" s="148">
        <v>66</v>
      </c>
      <c r="F616" s="149">
        <v>-715950</v>
      </c>
      <c r="G616" s="147" t="s">
        <v>116</v>
      </c>
      <c r="H616" s="148">
        <v>487</v>
      </c>
      <c r="I616" s="148" t="s">
        <v>123</v>
      </c>
      <c r="J616" s="147" t="s">
        <v>124</v>
      </c>
      <c r="K616" s="149">
        <f>+K615+Tabla6[[#This Row],[IMPORTE]]</f>
        <v>174274577.41999999</v>
      </c>
      <c r="L616" s="178" t="s">
        <v>714</v>
      </c>
      <c r="M616" s="174" t="s">
        <v>91</v>
      </c>
    </row>
    <row r="617" spans="2:13" x14ac:dyDescent="0.35">
      <c r="B617" s="173" t="s">
        <v>115</v>
      </c>
      <c r="C617" s="146">
        <v>46044</v>
      </c>
      <c r="D617" s="148">
        <v>9352354</v>
      </c>
      <c r="E617" s="148">
        <v>66</v>
      </c>
      <c r="F617" s="149">
        <v>-715950</v>
      </c>
      <c r="G617" s="147" t="s">
        <v>116</v>
      </c>
      <c r="H617" s="148">
        <v>488</v>
      </c>
      <c r="I617" s="148" t="s">
        <v>123</v>
      </c>
      <c r="J617" s="147" t="s">
        <v>124</v>
      </c>
      <c r="K617" s="149">
        <f>+K616+Tabla6[[#This Row],[IMPORTE]]</f>
        <v>173558627.41999999</v>
      </c>
      <c r="L617" s="178" t="s">
        <v>714</v>
      </c>
      <c r="M617" s="174" t="s">
        <v>91</v>
      </c>
    </row>
    <row r="618" spans="2:13" x14ac:dyDescent="0.35">
      <c r="B618" s="173" t="s">
        <v>115</v>
      </c>
      <c r="C618" s="146">
        <v>46044</v>
      </c>
      <c r="D618" s="148">
        <v>9352563</v>
      </c>
      <c r="E618" s="148">
        <v>66</v>
      </c>
      <c r="F618" s="149">
        <v>-715950</v>
      </c>
      <c r="G618" s="147" t="s">
        <v>116</v>
      </c>
      <c r="H618" s="148">
        <v>488</v>
      </c>
      <c r="I618" s="148" t="s">
        <v>123</v>
      </c>
      <c r="J618" s="147" t="s">
        <v>124</v>
      </c>
      <c r="K618" s="149">
        <f>+K617+Tabla6[[#This Row],[IMPORTE]]</f>
        <v>172842677.41999999</v>
      </c>
      <c r="L618" s="178" t="s">
        <v>714</v>
      </c>
      <c r="M618" s="174" t="s">
        <v>91</v>
      </c>
    </row>
    <row r="619" spans="2:13" x14ac:dyDescent="0.35">
      <c r="B619" s="173" t="s">
        <v>115</v>
      </c>
      <c r="C619" s="146">
        <v>46044</v>
      </c>
      <c r="D619" s="148">
        <v>9352461</v>
      </c>
      <c r="E619" s="148">
        <v>66</v>
      </c>
      <c r="F619" s="149">
        <v>-713700</v>
      </c>
      <c r="G619" s="147" t="s">
        <v>116</v>
      </c>
      <c r="H619" s="148">
        <v>488</v>
      </c>
      <c r="I619" s="148" t="s">
        <v>123</v>
      </c>
      <c r="J619" s="147" t="s">
        <v>124</v>
      </c>
      <c r="K619" s="149">
        <f>+K618+Tabla6[[#This Row],[IMPORTE]]</f>
        <v>172128977.41999999</v>
      </c>
      <c r="L619" s="178" t="s">
        <v>714</v>
      </c>
      <c r="M619" s="174" t="s">
        <v>91</v>
      </c>
    </row>
    <row r="620" spans="2:13" x14ac:dyDescent="0.35">
      <c r="B620" s="173" t="s">
        <v>115</v>
      </c>
      <c r="C620" s="146">
        <v>46044</v>
      </c>
      <c r="D620" s="148">
        <v>9357098</v>
      </c>
      <c r="E620" s="148">
        <v>66</v>
      </c>
      <c r="F620" s="149">
        <v>-709500</v>
      </c>
      <c r="G620" s="147" t="s">
        <v>116</v>
      </c>
      <c r="H620" s="148">
        <v>488</v>
      </c>
      <c r="I620" s="148" t="s">
        <v>123</v>
      </c>
      <c r="J620" s="147" t="s">
        <v>124</v>
      </c>
      <c r="K620" s="149">
        <f>+K619+Tabla6[[#This Row],[IMPORTE]]</f>
        <v>171419477.41999999</v>
      </c>
      <c r="L620" s="178" t="s">
        <v>714</v>
      </c>
      <c r="M620" s="174" t="s">
        <v>91</v>
      </c>
    </row>
    <row r="621" spans="2:13" x14ac:dyDescent="0.35">
      <c r="B621" s="173" t="s">
        <v>115</v>
      </c>
      <c r="C621" s="146">
        <v>46044</v>
      </c>
      <c r="D621" s="148">
        <v>9356923</v>
      </c>
      <c r="E621" s="148">
        <v>66</v>
      </c>
      <c r="F621" s="149">
        <v>-670800</v>
      </c>
      <c r="G621" s="147" t="s">
        <v>116</v>
      </c>
      <c r="H621" s="148">
        <v>487</v>
      </c>
      <c r="I621" s="148" t="s">
        <v>123</v>
      </c>
      <c r="J621" s="147" t="s">
        <v>124</v>
      </c>
      <c r="K621" s="149">
        <f>+K620+Tabla6[[#This Row],[IMPORTE]]</f>
        <v>170748677.41999999</v>
      </c>
      <c r="L621" s="178" t="s">
        <v>714</v>
      </c>
      <c r="M621" s="174" t="s">
        <v>91</v>
      </c>
    </row>
    <row r="622" spans="2:13" x14ac:dyDescent="0.35">
      <c r="B622" s="173" t="s">
        <v>115</v>
      </c>
      <c r="C622" s="146">
        <v>46044</v>
      </c>
      <c r="D622" s="148">
        <v>9352619</v>
      </c>
      <c r="E622" s="148">
        <v>66</v>
      </c>
      <c r="F622" s="149">
        <v>-670800</v>
      </c>
      <c r="G622" s="147" t="s">
        <v>116</v>
      </c>
      <c r="H622" s="148">
        <v>488</v>
      </c>
      <c r="I622" s="148" t="s">
        <v>123</v>
      </c>
      <c r="J622" s="147" t="s">
        <v>124</v>
      </c>
      <c r="K622" s="149">
        <f>+K621+Tabla6[[#This Row],[IMPORTE]]</f>
        <v>170077877.41999999</v>
      </c>
      <c r="L622" s="178" t="s">
        <v>714</v>
      </c>
      <c r="M622" s="174" t="s">
        <v>91</v>
      </c>
    </row>
    <row r="623" spans="2:13" x14ac:dyDescent="0.35">
      <c r="B623" s="173" t="s">
        <v>115</v>
      </c>
      <c r="C623" s="146">
        <v>46044</v>
      </c>
      <c r="D623" s="148">
        <v>9357141</v>
      </c>
      <c r="E623" s="148">
        <v>66</v>
      </c>
      <c r="F623" s="149">
        <v>-670800</v>
      </c>
      <c r="G623" s="147" t="s">
        <v>116</v>
      </c>
      <c r="H623" s="148">
        <v>488</v>
      </c>
      <c r="I623" s="148" t="s">
        <v>123</v>
      </c>
      <c r="J623" s="147" t="s">
        <v>124</v>
      </c>
      <c r="K623" s="149">
        <f>+K622+Tabla6[[#This Row],[IMPORTE]]</f>
        <v>169407077.41999999</v>
      </c>
      <c r="L623" s="178" t="s">
        <v>714</v>
      </c>
      <c r="M623" s="174" t="s">
        <v>91</v>
      </c>
    </row>
    <row r="624" spans="2:13" x14ac:dyDescent="0.35">
      <c r="B624" s="173" t="s">
        <v>115</v>
      </c>
      <c r="C624" s="146">
        <v>46044</v>
      </c>
      <c r="D624" s="148">
        <v>9357150</v>
      </c>
      <c r="E624" s="148">
        <v>66</v>
      </c>
      <c r="F624" s="149">
        <v>-670800</v>
      </c>
      <c r="G624" s="147" t="s">
        <v>116</v>
      </c>
      <c r="H624" s="148">
        <v>488</v>
      </c>
      <c r="I624" s="148" t="s">
        <v>123</v>
      </c>
      <c r="J624" s="147" t="s">
        <v>124</v>
      </c>
      <c r="K624" s="149">
        <f>+K623+Tabla6[[#This Row],[IMPORTE]]</f>
        <v>168736277.41999999</v>
      </c>
      <c r="L624" s="178" t="s">
        <v>714</v>
      </c>
      <c r="M624" s="174" t="s">
        <v>91</v>
      </c>
    </row>
    <row r="625" spans="2:13" x14ac:dyDescent="0.35">
      <c r="B625" s="173" t="s">
        <v>115</v>
      </c>
      <c r="C625" s="146">
        <v>46044</v>
      </c>
      <c r="D625" s="148">
        <v>9352270</v>
      </c>
      <c r="E625" s="148">
        <v>66</v>
      </c>
      <c r="F625" s="149">
        <v>-650000</v>
      </c>
      <c r="G625" s="147" t="s">
        <v>116</v>
      </c>
      <c r="H625" s="148">
        <v>488</v>
      </c>
      <c r="I625" s="148" t="s">
        <v>123</v>
      </c>
      <c r="J625" s="147" t="s">
        <v>124</v>
      </c>
      <c r="K625" s="149">
        <f>+K624+Tabla6[[#This Row],[IMPORTE]]</f>
        <v>168086277.41999999</v>
      </c>
      <c r="L625" s="178" t="s">
        <v>714</v>
      </c>
      <c r="M625" s="174" t="s">
        <v>91</v>
      </c>
    </row>
    <row r="626" spans="2:13" x14ac:dyDescent="0.35">
      <c r="B626" s="173" t="s">
        <v>115</v>
      </c>
      <c r="C626" s="146">
        <v>46044</v>
      </c>
      <c r="D626" s="148">
        <v>9356885</v>
      </c>
      <c r="E626" s="148">
        <v>66</v>
      </c>
      <c r="F626" s="149">
        <v>-650000</v>
      </c>
      <c r="G626" s="147" t="s">
        <v>116</v>
      </c>
      <c r="H626" s="148">
        <v>488</v>
      </c>
      <c r="I626" s="148" t="s">
        <v>123</v>
      </c>
      <c r="J626" s="147" t="s">
        <v>124</v>
      </c>
      <c r="K626" s="149">
        <f>+K625+Tabla6[[#This Row],[IMPORTE]]</f>
        <v>167436277.41999999</v>
      </c>
      <c r="L626" s="178" t="s">
        <v>714</v>
      </c>
      <c r="M626" s="174" t="s">
        <v>91</v>
      </c>
    </row>
    <row r="627" spans="2:13" x14ac:dyDescent="0.35">
      <c r="B627" s="173" t="s">
        <v>115</v>
      </c>
      <c r="C627" s="146">
        <v>46044</v>
      </c>
      <c r="D627" s="148">
        <v>9352621</v>
      </c>
      <c r="E627" s="148">
        <v>66</v>
      </c>
      <c r="F627" s="149">
        <v>-645000</v>
      </c>
      <c r="G627" s="147" t="s">
        <v>116</v>
      </c>
      <c r="H627" s="148">
        <v>488</v>
      </c>
      <c r="I627" s="148" t="s">
        <v>123</v>
      </c>
      <c r="J627" s="147" t="s">
        <v>124</v>
      </c>
      <c r="K627" s="149">
        <f>+K626+Tabla6[[#This Row],[IMPORTE]]</f>
        <v>166791277.41999999</v>
      </c>
      <c r="L627" s="178" t="s">
        <v>714</v>
      </c>
      <c r="M627" s="174" t="s">
        <v>91</v>
      </c>
    </row>
    <row r="628" spans="2:13" x14ac:dyDescent="0.35">
      <c r="B628" s="173" t="s">
        <v>115</v>
      </c>
      <c r="C628" s="146">
        <v>46044</v>
      </c>
      <c r="D628" s="148">
        <v>9352438</v>
      </c>
      <c r="E628" s="148">
        <v>66</v>
      </c>
      <c r="F628" s="149">
        <v>-645000</v>
      </c>
      <c r="G628" s="147" t="s">
        <v>116</v>
      </c>
      <c r="H628" s="148">
        <v>488</v>
      </c>
      <c r="I628" s="148" t="s">
        <v>123</v>
      </c>
      <c r="J628" s="147" t="s">
        <v>124</v>
      </c>
      <c r="K628" s="149">
        <f>+K627+Tabla6[[#This Row],[IMPORTE]]</f>
        <v>166146277.41999999</v>
      </c>
      <c r="L628" s="178" t="s">
        <v>714</v>
      </c>
      <c r="M628" s="174" t="s">
        <v>91</v>
      </c>
    </row>
    <row r="629" spans="2:13" x14ac:dyDescent="0.35">
      <c r="B629" s="173" t="s">
        <v>115</v>
      </c>
      <c r="C629" s="146">
        <v>46044</v>
      </c>
      <c r="D629" s="148">
        <v>9356868</v>
      </c>
      <c r="E629" s="148">
        <v>66</v>
      </c>
      <c r="F629" s="149">
        <v>-620490</v>
      </c>
      <c r="G629" s="147" t="s">
        <v>116</v>
      </c>
      <c r="H629" s="148">
        <v>488</v>
      </c>
      <c r="I629" s="148" t="s">
        <v>123</v>
      </c>
      <c r="J629" s="147" t="s">
        <v>124</v>
      </c>
      <c r="K629" s="149">
        <f>+K628+Tabla6[[#This Row],[IMPORTE]]</f>
        <v>165525787.41999999</v>
      </c>
      <c r="L629" s="178" t="s">
        <v>714</v>
      </c>
      <c r="M629" s="174" t="s">
        <v>91</v>
      </c>
    </row>
    <row r="630" spans="2:13" x14ac:dyDescent="0.35">
      <c r="B630" s="173" t="s">
        <v>115</v>
      </c>
      <c r="C630" s="146">
        <v>46044</v>
      </c>
      <c r="D630" s="148">
        <v>9352272</v>
      </c>
      <c r="E630" s="148">
        <v>66</v>
      </c>
      <c r="F630" s="149">
        <v>-600000</v>
      </c>
      <c r="G630" s="147" t="s">
        <v>116</v>
      </c>
      <c r="H630" s="148">
        <v>488</v>
      </c>
      <c r="I630" s="148" t="s">
        <v>123</v>
      </c>
      <c r="J630" s="147" t="s">
        <v>124</v>
      </c>
      <c r="K630" s="149">
        <f>+K629+Tabla6[[#This Row],[IMPORTE]]</f>
        <v>164925787.41999999</v>
      </c>
      <c r="L630" s="178" t="s">
        <v>714</v>
      </c>
      <c r="M630" s="174" t="s">
        <v>91</v>
      </c>
    </row>
    <row r="631" spans="2:13" x14ac:dyDescent="0.35">
      <c r="B631" s="173" t="s">
        <v>115</v>
      </c>
      <c r="C631" s="146">
        <v>46044</v>
      </c>
      <c r="D631" s="148">
        <v>9356929</v>
      </c>
      <c r="E631" s="148">
        <v>66</v>
      </c>
      <c r="F631" s="149">
        <v>-600000</v>
      </c>
      <c r="G631" s="147" t="s">
        <v>116</v>
      </c>
      <c r="H631" s="148">
        <v>488</v>
      </c>
      <c r="I631" s="148" t="s">
        <v>123</v>
      </c>
      <c r="J631" s="147" t="s">
        <v>124</v>
      </c>
      <c r="K631" s="149">
        <f>+K630+Tabla6[[#This Row],[IMPORTE]]</f>
        <v>164325787.41999999</v>
      </c>
      <c r="L631" s="178" t="s">
        <v>714</v>
      </c>
      <c r="M631" s="174" t="s">
        <v>91</v>
      </c>
    </row>
    <row r="632" spans="2:13" x14ac:dyDescent="0.35">
      <c r="B632" s="173" t="s">
        <v>115</v>
      </c>
      <c r="C632" s="146">
        <v>46044</v>
      </c>
      <c r="D632" s="148">
        <v>9356927</v>
      </c>
      <c r="E632" s="148">
        <v>66</v>
      </c>
      <c r="F632" s="149">
        <v>-600000</v>
      </c>
      <c r="G632" s="147" t="s">
        <v>116</v>
      </c>
      <c r="H632" s="148">
        <v>488</v>
      </c>
      <c r="I632" s="148" t="s">
        <v>123</v>
      </c>
      <c r="J632" s="147" t="s">
        <v>124</v>
      </c>
      <c r="K632" s="149">
        <f>+K631+Tabla6[[#This Row],[IMPORTE]]</f>
        <v>163725787.41999999</v>
      </c>
      <c r="L632" s="178" t="s">
        <v>714</v>
      </c>
      <c r="M632" s="174" t="s">
        <v>91</v>
      </c>
    </row>
    <row r="633" spans="2:13" x14ac:dyDescent="0.35">
      <c r="B633" s="173" t="s">
        <v>115</v>
      </c>
      <c r="C633" s="146">
        <v>46044</v>
      </c>
      <c r="D633" s="148">
        <v>9357031</v>
      </c>
      <c r="E633" s="148">
        <v>66</v>
      </c>
      <c r="F633" s="149">
        <v>-600000</v>
      </c>
      <c r="G633" s="147" t="s">
        <v>116</v>
      </c>
      <c r="H633" s="148">
        <v>488</v>
      </c>
      <c r="I633" s="148" t="s">
        <v>123</v>
      </c>
      <c r="J633" s="147" t="s">
        <v>124</v>
      </c>
      <c r="K633" s="149">
        <f>+K632+Tabla6[[#This Row],[IMPORTE]]</f>
        <v>163125787.41999999</v>
      </c>
      <c r="L633" s="178" t="s">
        <v>714</v>
      </c>
      <c r="M633" s="174" t="s">
        <v>91</v>
      </c>
    </row>
    <row r="634" spans="2:13" x14ac:dyDescent="0.35">
      <c r="B634" s="173" t="s">
        <v>115</v>
      </c>
      <c r="C634" s="146">
        <v>46044</v>
      </c>
      <c r="D634" s="148">
        <v>9352617</v>
      </c>
      <c r="E634" s="148">
        <v>66</v>
      </c>
      <c r="F634" s="149">
        <v>-567915.22</v>
      </c>
      <c r="G634" s="147" t="s">
        <v>116</v>
      </c>
      <c r="H634" s="148">
        <v>488</v>
      </c>
      <c r="I634" s="148" t="s">
        <v>123</v>
      </c>
      <c r="J634" s="147" t="s">
        <v>124</v>
      </c>
      <c r="K634" s="149">
        <f>+K633+Tabla6[[#This Row],[IMPORTE]]</f>
        <v>162557872.19999999</v>
      </c>
      <c r="L634" s="178" t="s">
        <v>714</v>
      </c>
      <c r="M634" s="174" t="s">
        <v>91</v>
      </c>
    </row>
    <row r="635" spans="2:13" x14ac:dyDescent="0.35">
      <c r="B635" s="173" t="s">
        <v>115</v>
      </c>
      <c r="C635" s="146">
        <v>46044</v>
      </c>
      <c r="D635" s="148">
        <v>9352351</v>
      </c>
      <c r="E635" s="148">
        <v>66</v>
      </c>
      <c r="F635" s="149">
        <v>-565855.77</v>
      </c>
      <c r="G635" s="147" t="s">
        <v>116</v>
      </c>
      <c r="H635" s="148">
        <v>488</v>
      </c>
      <c r="I635" s="148" t="s">
        <v>123</v>
      </c>
      <c r="J635" s="147" t="s">
        <v>124</v>
      </c>
      <c r="K635" s="149">
        <f>+K634+Tabla6[[#This Row],[IMPORTE]]</f>
        <v>161992016.42999998</v>
      </c>
      <c r="L635" s="178" t="s">
        <v>714</v>
      </c>
      <c r="M635" s="174" t="s">
        <v>91</v>
      </c>
    </row>
    <row r="636" spans="2:13" x14ac:dyDescent="0.35">
      <c r="B636" s="173" t="s">
        <v>115</v>
      </c>
      <c r="C636" s="146">
        <v>46044</v>
      </c>
      <c r="D636" s="148">
        <v>9357147</v>
      </c>
      <c r="E636" s="148">
        <v>66</v>
      </c>
      <c r="F636" s="149">
        <v>-554520.19999999995</v>
      </c>
      <c r="G636" s="147" t="s">
        <v>116</v>
      </c>
      <c r="H636" s="148">
        <v>488</v>
      </c>
      <c r="I636" s="148" t="s">
        <v>123</v>
      </c>
      <c r="J636" s="147" t="s">
        <v>124</v>
      </c>
      <c r="K636" s="149">
        <f>+K635+Tabla6[[#This Row],[IMPORTE]]</f>
        <v>161437496.22999999</v>
      </c>
      <c r="L636" s="178" t="s">
        <v>714</v>
      </c>
      <c r="M636" s="174" t="s">
        <v>91</v>
      </c>
    </row>
    <row r="637" spans="2:13" x14ac:dyDescent="0.35">
      <c r="B637" s="173" t="s">
        <v>115</v>
      </c>
      <c r="C637" s="146">
        <v>46044</v>
      </c>
      <c r="D637" s="148">
        <v>9241302</v>
      </c>
      <c r="E637" s="148">
        <v>66</v>
      </c>
      <c r="F637" s="149">
        <v>-553200</v>
      </c>
      <c r="G637" s="147" t="s">
        <v>116</v>
      </c>
      <c r="H637" s="148">
        <v>488</v>
      </c>
      <c r="I637" s="148" t="s">
        <v>123</v>
      </c>
      <c r="J637" s="147" t="s">
        <v>124</v>
      </c>
      <c r="K637" s="149">
        <f>+K636+Tabla6[[#This Row],[IMPORTE]]</f>
        <v>160884296.22999999</v>
      </c>
      <c r="L637" s="143" t="s">
        <v>700</v>
      </c>
      <c r="M637" s="174" t="s">
        <v>1505</v>
      </c>
    </row>
    <row r="638" spans="2:13" x14ac:dyDescent="0.35">
      <c r="B638" s="173" t="s">
        <v>115</v>
      </c>
      <c r="C638" s="146">
        <v>46044</v>
      </c>
      <c r="D638" s="148">
        <v>9356946</v>
      </c>
      <c r="E638" s="148">
        <v>66</v>
      </c>
      <c r="F638" s="149">
        <v>-549000</v>
      </c>
      <c r="G638" s="147" t="s">
        <v>116</v>
      </c>
      <c r="H638" s="148">
        <v>487</v>
      </c>
      <c r="I638" s="148" t="s">
        <v>123</v>
      </c>
      <c r="J638" s="147" t="s">
        <v>124</v>
      </c>
      <c r="K638" s="149">
        <f>+K637+Tabla6[[#This Row],[IMPORTE]]</f>
        <v>160335296.22999999</v>
      </c>
      <c r="L638" s="178" t="s">
        <v>714</v>
      </c>
      <c r="M638" s="174" t="s">
        <v>91</v>
      </c>
    </row>
    <row r="639" spans="2:13" x14ac:dyDescent="0.35">
      <c r="B639" s="173" t="s">
        <v>115</v>
      </c>
      <c r="C639" s="146">
        <v>46044</v>
      </c>
      <c r="D639" s="148">
        <v>9352687</v>
      </c>
      <c r="E639" s="148">
        <v>66</v>
      </c>
      <c r="F639" s="149">
        <v>-544479.98</v>
      </c>
      <c r="G639" s="147" t="s">
        <v>116</v>
      </c>
      <c r="H639" s="148">
        <v>488</v>
      </c>
      <c r="I639" s="148" t="s">
        <v>123</v>
      </c>
      <c r="J639" s="147" t="s">
        <v>124</v>
      </c>
      <c r="K639" s="149">
        <f>+K638+Tabla6[[#This Row],[IMPORTE]]</f>
        <v>159790816.25</v>
      </c>
      <c r="L639" s="178" t="s">
        <v>714</v>
      </c>
      <c r="M639" s="174" t="s">
        <v>91</v>
      </c>
    </row>
    <row r="640" spans="2:13" x14ac:dyDescent="0.35">
      <c r="B640" s="173" t="s">
        <v>115</v>
      </c>
      <c r="C640" s="146">
        <v>46044</v>
      </c>
      <c r="D640" s="148">
        <v>9356955</v>
      </c>
      <c r="E640" s="148">
        <v>66</v>
      </c>
      <c r="F640" s="149">
        <v>-544479.98</v>
      </c>
      <c r="G640" s="147" t="s">
        <v>116</v>
      </c>
      <c r="H640" s="148">
        <v>488</v>
      </c>
      <c r="I640" s="148" t="s">
        <v>123</v>
      </c>
      <c r="J640" s="147" t="s">
        <v>124</v>
      </c>
      <c r="K640" s="149">
        <f>+K639+Tabla6[[#This Row],[IMPORTE]]</f>
        <v>159246336.27000001</v>
      </c>
      <c r="L640" s="178" t="s">
        <v>714</v>
      </c>
      <c r="M640" s="174" t="s">
        <v>91</v>
      </c>
    </row>
    <row r="641" spans="2:13" x14ac:dyDescent="0.35">
      <c r="B641" s="173" t="s">
        <v>115</v>
      </c>
      <c r="C641" s="146">
        <v>46044</v>
      </c>
      <c r="D641" s="148">
        <v>9356943</v>
      </c>
      <c r="E641" s="148">
        <v>66</v>
      </c>
      <c r="F641" s="149">
        <v>-544479.98</v>
      </c>
      <c r="G641" s="147" t="s">
        <v>116</v>
      </c>
      <c r="H641" s="148">
        <v>488</v>
      </c>
      <c r="I641" s="148" t="s">
        <v>123</v>
      </c>
      <c r="J641" s="147" t="s">
        <v>124</v>
      </c>
      <c r="K641" s="149">
        <f>+K640+Tabla6[[#This Row],[IMPORTE]]</f>
        <v>158701856.29000002</v>
      </c>
      <c r="L641" s="178" t="s">
        <v>714</v>
      </c>
      <c r="M641" s="174" t="s">
        <v>91</v>
      </c>
    </row>
    <row r="642" spans="2:13" x14ac:dyDescent="0.35">
      <c r="B642" s="173" t="s">
        <v>115</v>
      </c>
      <c r="C642" s="146">
        <v>46044</v>
      </c>
      <c r="D642" s="148">
        <v>9352457</v>
      </c>
      <c r="E642" s="148">
        <v>66</v>
      </c>
      <c r="F642" s="149">
        <v>-542261.85</v>
      </c>
      <c r="G642" s="147" t="s">
        <v>116</v>
      </c>
      <c r="H642" s="148">
        <v>488</v>
      </c>
      <c r="I642" s="148" t="s">
        <v>123</v>
      </c>
      <c r="J642" s="147" t="s">
        <v>124</v>
      </c>
      <c r="K642" s="149">
        <f>+K641+Tabla6[[#This Row],[IMPORTE]]</f>
        <v>158159594.44000003</v>
      </c>
      <c r="L642" s="178" t="s">
        <v>714</v>
      </c>
      <c r="M642" s="174" t="s">
        <v>91</v>
      </c>
    </row>
    <row r="643" spans="2:13" x14ac:dyDescent="0.35">
      <c r="B643" s="173" t="s">
        <v>115</v>
      </c>
      <c r="C643" s="146">
        <v>46044</v>
      </c>
      <c r="D643" s="148">
        <v>9356918</v>
      </c>
      <c r="E643" s="148">
        <v>66</v>
      </c>
      <c r="F643" s="149">
        <v>-539579.66</v>
      </c>
      <c r="G643" s="147" t="s">
        <v>116</v>
      </c>
      <c r="H643" s="148">
        <v>488</v>
      </c>
      <c r="I643" s="148" t="s">
        <v>123</v>
      </c>
      <c r="J643" s="147" t="s">
        <v>124</v>
      </c>
      <c r="K643" s="149">
        <f>+K642+Tabla6[[#This Row],[IMPORTE]]</f>
        <v>157620014.78000003</v>
      </c>
      <c r="L643" s="178" t="s">
        <v>714</v>
      </c>
      <c r="M643" s="174" t="s">
        <v>91</v>
      </c>
    </row>
    <row r="644" spans="2:13" x14ac:dyDescent="0.35">
      <c r="B644" s="173" t="s">
        <v>115</v>
      </c>
      <c r="C644" s="146">
        <v>46044</v>
      </c>
      <c r="D644" s="148">
        <v>9352330</v>
      </c>
      <c r="E644" s="148">
        <v>66</v>
      </c>
      <c r="F644" s="149">
        <v>-502596.9</v>
      </c>
      <c r="G644" s="147" t="s">
        <v>116</v>
      </c>
      <c r="H644" s="148">
        <v>488</v>
      </c>
      <c r="I644" s="148" t="s">
        <v>123</v>
      </c>
      <c r="J644" s="147" t="s">
        <v>124</v>
      </c>
      <c r="K644" s="149">
        <f>+K643+Tabla6[[#This Row],[IMPORTE]]</f>
        <v>157117417.88000003</v>
      </c>
      <c r="L644" s="178" t="s">
        <v>714</v>
      </c>
      <c r="M644" s="174" t="s">
        <v>91</v>
      </c>
    </row>
    <row r="645" spans="2:13" x14ac:dyDescent="0.35">
      <c r="B645" s="173" t="s">
        <v>115</v>
      </c>
      <c r="C645" s="146">
        <v>46044</v>
      </c>
      <c r="D645" s="148">
        <v>9356940</v>
      </c>
      <c r="E645" s="148">
        <v>66</v>
      </c>
      <c r="F645" s="149">
        <v>-502596.9</v>
      </c>
      <c r="G645" s="147" t="s">
        <v>116</v>
      </c>
      <c r="H645" s="148">
        <v>488</v>
      </c>
      <c r="I645" s="148" t="s">
        <v>123</v>
      </c>
      <c r="J645" s="147" t="s">
        <v>124</v>
      </c>
      <c r="K645" s="149">
        <f>+K644+Tabla6[[#This Row],[IMPORTE]]</f>
        <v>156614820.98000002</v>
      </c>
      <c r="L645" s="178" t="s">
        <v>714</v>
      </c>
      <c r="M645" s="174" t="s">
        <v>91</v>
      </c>
    </row>
    <row r="646" spans="2:13" x14ac:dyDescent="0.35">
      <c r="B646" s="173" t="s">
        <v>115</v>
      </c>
      <c r="C646" s="146">
        <v>46044</v>
      </c>
      <c r="D646" s="148">
        <v>9357096</v>
      </c>
      <c r="E646" s="148">
        <v>66</v>
      </c>
      <c r="F646" s="149">
        <v>-493740.04</v>
      </c>
      <c r="G646" s="147" t="s">
        <v>116</v>
      </c>
      <c r="H646" s="148">
        <v>488</v>
      </c>
      <c r="I646" s="148" t="s">
        <v>123</v>
      </c>
      <c r="J646" s="147" t="s">
        <v>124</v>
      </c>
      <c r="K646" s="149">
        <f>+K645+Tabla6[[#This Row],[IMPORTE]]</f>
        <v>156121080.94000003</v>
      </c>
      <c r="L646" s="178" t="s">
        <v>714</v>
      </c>
      <c r="M646" s="174" t="s">
        <v>91</v>
      </c>
    </row>
    <row r="647" spans="2:13" x14ac:dyDescent="0.35">
      <c r="B647" s="173" t="s">
        <v>115</v>
      </c>
      <c r="C647" s="146">
        <v>46044</v>
      </c>
      <c r="D647" s="148">
        <v>9352469</v>
      </c>
      <c r="E647" s="148">
        <v>66</v>
      </c>
      <c r="F647" s="149">
        <v>-490000</v>
      </c>
      <c r="G647" s="147" t="s">
        <v>116</v>
      </c>
      <c r="H647" s="148">
        <v>487</v>
      </c>
      <c r="I647" s="148" t="s">
        <v>123</v>
      </c>
      <c r="J647" s="147" t="s">
        <v>124</v>
      </c>
      <c r="K647" s="149">
        <f>+K646+Tabla6[[#This Row],[IMPORTE]]</f>
        <v>155631080.94000003</v>
      </c>
      <c r="L647" s="178" t="s">
        <v>714</v>
      </c>
      <c r="M647" s="174" t="s">
        <v>91</v>
      </c>
    </row>
    <row r="648" spans="2:13" x14ac:dyDescent="0.35">
      <c r="B648" s="173" t="s">
        <v>115</v>
      </c>
      <c r="C648" s="146">
        <v>46044</v>
      </c>
      <c r="D648" s="148">
        <v>9356871</v>
      </c>
      <c r="E648" s="148">
        <v>66</v>
      </c>
      <c r="F648" s="149">
        <v>-490000</v>
      </c>
      <c r="G648" s="147" t="s">
        <v>116</v>
      </c>
      <c r="H648" s="148">
        <v>487</v>
      </c>
      <c r="I648" s="148" t="s">
        <v>123</v>
      </c>
      <c r="J648" s="147" t="s">
        <v>124</v>
      </c>
      <c r="K648" s="149">
        <f>+K647+Tabla6[[#This Row],[IMPORTE]]</f>
        <v>155141080.94000003</v>
      </c>
      <c r="L648" s="178" t="s">
        <v>714</v>
      </c>
      <c r="M648" s="174" t="s">
        <v>91</v>
      </c>
    </row>
    <row r="649" spans="2:13" x14ac:dyDescent="0.35">
      <c r="B649" s="173" t="s">
        <v>115</v>
      </c>
      <c r="C649" s="146">
        <v>46044</v>
      </c>
      <c r="D649" s="148">
        <v>9352587</v>
      </c>
      <c r="E649" s="148">
        <v>66</v>
      </c>
      <c r="F649" s="149">
        <v>-490000</v>
      </c>
      <c r="G649" s="147" t="s">
        <v>116</v>
      </c>
      <c r="H649" s="148">
        <v>488</v>
      </c>
      <c r="I649" s="148" t="s">
        <v>123</v>
      </c>
      <c r="J649" s="147" t="s">
        <v>124</v>
      </c>
      <c r="K649" s="149">
        <f>+K648+Tabla6[[#This Row],[IMPORTE]]</f>
        <v>154651080.94000003</v>
      </c>
      <c r="L649" s="178" t="s">
        <v>714</v>
      </c>
      <c r="M649" s="174" t="s">
        <v>91</v>
      </c>
    </row>
    <row r="650" spans="2:13" x14ac:dyDescent="0.35">
      <c r="B650" s="173" t="s">
        <v>115</v>
      </c>
      <c r="C650" s="146">
        <v>46044</v>
      </c>
      <c r="D650" s="148">
        <v>9352450</v>
      </c>
      <c r="E650" s="148">
        <v>66</v>
      </c>
      <c r="F650" s="149">
        <v>-490000</v>
      </c>
      <c r="G650" s="147" t="s">
        <v>116</v>
      </c>
      <c r="H650" s="148">
        <v>488</v>
      </c>
      <c r="I650" s="148" t="s">
        <v>123</v>
      </c>
      <c r="J650" s="147" t="s">
        <v>124</v>
      </c>
      <c r="K650" s="149">
        <f>+K649+Tabla6[[#This Row],[IMPORTE]]</f>
        <v>154161080.94000003</v>
      </c>
      <c r="L650" s="178" t="s">
        <v>714</v>
      </c>
      <c r="M650" s="174" t="s">
        <v>91</v>
      </c>
    </row>
    <row r="651" spans="2:13" x14ac:dyDescent="0.35">
      <c r="B651" s="173" t="s">
        <v>115</v>
      </c>
      <c r="C651" s="146">
        <v>46044</v>
      </c>
      <c r="D651" s="148">
        <v>9352324</v>
      </c>
      <c r="E651" s="148">
        <v>66</v>
      </c>
      <c r="F651" s="149">
        <v>-490000</v>
      </c>
      <c r="G651" s="147" t="s">
        <v>116</v>
      </c>
      <c r="H651" s="148">
        <v>488</v>
      </c>
      <c r="I651" s="148" t="s">
        <v>123</v>
      </c>
      <c r="J651" s="147" t="s">
        <v>124</v>
      </c>
      <c r="K651" s="149">
        <f>+K650+Tabla6[[#This Row],[IMPORTE]]</f>
        <v>153671080.94000003</v>
      </c>
      <c r="L651" s="178" t="s">
        <v>714</v>
      </c>
      <c r="M651" s="174" t="s">
        <v>91</v>
      </c>
    </row>
    <row r="652" spans="2:13" x14ac:dyDescent="0.35">
      <c r="B652" s="173" t="s">
        <v>115</v>
      </c>
      <c r="C652" s="146">
        <v>46044</v>
      </c>
      <c r="D652" s="148">
        <v>9352320</v>
      </c>
      <c r="E652" s="148">
        <v>66</v>
      </c>
      <c r="F652" s="149">
        <v>-490000</v>
      </c>
      <c r="G652" s="147" t="s">
        <v>116</v>
      </c>
      <c r="H652" s="148">
        <v>488</v>
      </c>
      <c r="I652" s="148" t="s">
        <v>123</v>
      </c>
      <c r="J652" s="147" t="s">
        <v>124</v>
      </c>
      <c r="K652" s="149">
        <f>+K651+Tabla6[[#This Row],[IMPORTE]]</f>
        <v>153181080.94000003</v>
      </c>
      <c r="L652" s="178" t="s">
        <v>714</v>
      </c>
      <c r="M652" s="174" t="s">
        <v>91</v>
      </c>
    </row>
    <row r="653" spans="2:13" x14ac:dyDescent="0.35">
      <c r="B653" s="173" t="s">
        <v>115</v>
      </c>
      <c r="C653" s="146">
        <v>46044</v>
      </c>
      <c r="D653" s="148">
        <v>9352474</v>
      </c>
      <c r="E653" s="148">
        <v>66</v>
      </c>
      <c r="F653" s="149">
        <v>-490000</v>
      </c>
      <c r="G653" s="147" t="s">
        <v>116</v>
      </c>
      <c r="H653" s="148">
        <v>488</v>
      </c>
      <c r="I653" s="148" t="s">
        <v>123</v>
      </c>
      <c r="J653" s="147" t="s">
        <v>124</v>
      </c>
      <c r="K653" s="149">
        <f>+K652+Tabla6[[#This Row],[IMPORTE]]</f>
        <v>152691080.94000003</v>
      </c>
      <c r="L653" s="178" t="s">
        <v>714</v>
      </c>
      <c r="M653" s="174" t="s">
        <v>91</v>
      </c>
    </row>
    <row r="654" spans="2:13" x14ac:dyDescent="0.35">
      <c r="B654" s="173" t="s">
        <v>115</v>
      </c>
      <c r="C654" s="146">
        <v>46044</v>
      </c>
      <c r="D654" s="148">
        <v>9352442</v>
      </c>
      <c r="E654" s="148">
        <v>66</v>
      </c>
      <c r="F654" s="149">
        <v>-490000</v>
      </c>
      <c r="G654" s="147" t="s">
        <v>116</v>
      </c>
      <c r="H654" s="148">
        <v>488</v>
      </c>
      <c r="I654" s="148" t="s">
        <v>123</v>
      </c>
      <c r="J654" s="147" t="s">
        <v>124</v>
      </c>
      <c r="K654" s="149">
        <f>+K653+Tabla6[[#This Row],[IMPORTE]]</f>
        <v>152201080.94000003</v>
      </c>
      <c r="L654" s="178" t="s">
        <v>714</v>
      </c>
      <c r="M654" s="174" t="s">
        <v>91</v>
      </c>
    </row>
    <row r="655" spans="2:13" x14ac:dyDescent="0.35">
      <c r="B655" s="173" t="s">
        <v>115</v>
      </c>
      <c r="C655" s="146">
        <v>46044</v>
      </c>
      <c r="D655" s="148">
        <v>9352678</v>
      </c>
      <c r="E655" s="148">
        <v>66</v>
      </c>
      <c r="F655" s="149">
        <v>-490000</v>
      </c>
      <c r="G655" s="147" t="s">
        <v>116</v>
      </c>
      <c r="H655" s="148">
        <v>488</v>
      </c>
      <c r="I655" s="148" t="s">
        <v>123</v>
      </c>
      <c r="J655" s="147" t="s">
        <v>124</v>
      </c>
      <c r="K655" s="149">
        <f>+K654+Tabla6[[#This Row],[IMPORTE]]</f>
        <v>151711080.94000003</v>
      </c>
      <c r="L655" s="178" t="s">
        <v>714</v>
      </c>
      <c r="M655" s="174" t="s">
        <v>91</v>
      </c>
    </row>
    <row r="656" spans="2:13" x14ac:dyDescent="0.35">
      <c r="B656" s="173" t="s">
        <v>115</v>
      </c>
      <c r="C656" s="146">
        <v>46044</v>
      </c>
      <c r="D656" s="148">
        <v>9352535</v>
      </c>
      <c r="E656" s="148">
        <v>66</v>
      </c>
      <c r="F656" s="149">
        <v>-490000</v>
      </c>
      <c r="G656" s="147" t="s">
        <v>116</v>
      </c>
      <c r="H656" s="148">
        <v>488</v>
      </c>
      <c r="I656" s="148" t="s">
        <v>123</v>
      </c>
      <c r="J656" s="147" t="s">
        <v>124</v>
      </c>
      <c r="K656" s="149">
        <f>+K655+Tabla6[[#This Row],[IMPORTE]]</f>
        <v>151221080.94000003</v>
      </c>
      <c r="L656" s="178" t="s">
        <v>714</v>
      </c>
      <c r="M656" s="174" t="s">
        <v>91</v>
      </c>
    </row>
    <row r="657" spans="2:13" x14ac:dyDescent="0.35">
      <c r="B657" s="173" t="s">
        <v>115</v>
      </c>
      <c r="C657" s="146">
        <v>46044</v>
      </c>
      <c r="D657" s="148">
        <v>9352326</v>
      </c>
      <c r="E657" s="148">
        <v>66</v>
      </c>
      <c r="F657" s="149">
        <v>-490000</v>
      </c>
      <c r="G657" s="147" t="s">
        <v>116</v>
      </c>
      <c r="H657" s="148">
        <v>488</v>
      </c>
      <c r="I657" s="148" t="s">
        <v>123</v>
      </c>
      <c r="J657" s="147" t="s">
        <v>124</v>
      </c>
      <c r="K657" s="149">
        <f>+K656+Tabla6[[#This Row],[IMPORTE]]</f>
        <v>150731080.94000003</v>
      </c>
      <c r="L657" s="178" t="s">
        <v>714</v>
      </c>
      <c r="M657" s="174" t="s">
        <v>91</v>
      </c>
    </row>
    <row r="658" spans="2:13" x14ac:dyDescent="0.35">
      <c r="B658" s="173" t="s">
        <v>115</v>
      </c>
      <c r="C658" s="146">
        <v>46044</v>
      </c>
      <c r="D658" s="148">
        <v>9352602</v>
      </c>
      <c r="E658" s="148">
        <v>66</v>
      </c>
      <c r="F658" s="149">
        <v>-490000</v>
      </c>
      <c r="G658" s="147" t="s">
        <v>116</v>
      </c>
      <c r="H658" s="148">
        <v>488</v>
      </c>
      <c r="I658" s="148" t="s">
        <v>123</v>
      </c>
      <c r="J658" s="147" t="s">
        <v>124</v>
      </c>
      <c r="K658" s="149">
        <f>+K657+Tabla6[[#This Row],[IMPORTE]]</f>
        <v>150241080.94000003</v>
      </c>
      <c r="L658" s="178" t="s">
        <v>714</v>
      </c>
      <c r="M658" s="174" t="s">
        <v>91</v>
      </c>
    </row>
    <row r="659" spans="2:13" x14ac:dyDescent="0.35">
      <c r="B659" s="173" t="s">
        <v>115</v>
      </c>
      <c r="C659" s="146">
        <v>46044</v>
      </c>
      <c r="D659" s="148">
        <v>9356857</v>
      </c>
      <c r="E659" s="148">
        <v>66</v>
      </c>
      <c r="F659" s="149">
        <v>-490000</v>
      </c>
      <c r="G659" s="147" t="s">
        <v>116</v>
      </c>
      <c r="H659" s="148">
        <v>488</v>
      </c>
      <c r="I659" s="148" t="s">
        <v>123</v>
      </c>
      <c r="J659" s="147" t="s">
        <v>124</v>
      </c>
      <c r="K659" s="149">
        <f>+K658+Tabla6[[#This Row],[IMPORTE]]</f>
        <v>149751080.94000003</v>
      </c>
      <c r="L659" s="178" t="s">
        <v>714</v>
      </c>
      <c r="M659" s="174" t="s">
        <v>91</v>
      </c>
    </row>
    <row r="660" spans="2:13" x14ac:dyDescent="0.35">
      <c r="B660" s="173" t="s">
        <v>115</v>
      </c>
      <c r="C660" s="146">
        <v>46044</v>
      </c>
      <c r="D660" s="148">
        <v>9357001</v>
      </c>
      <c r="E660" s="148">
        <v>66</v>
      </c>
      <c r="F660" s="149">
        <v>-490000</v>
      </c>
      <c r="G660" s="147" t="s">
        <v>116</v>
      </c>
      <c r="H660" s="148">
        <v>488</v>
      </c>
      <c r="I660" s="148" t="s">
        <v>123</v>
      </c>
      <c r="J660" s="147" t="s">
        <v>124</v>
      </c>
      <c r="K660" s="149">
        <f>+K659+Tabla6[[#This Row],[IMPORTE]]</f>
        <v>149261080.94000003</v>
      </c>
      <c r="L660" s="178" t="s">
        <v>714</v>
      </c>
      <c r="M660" s="174" t="s">
        <v>91</v>
      </c>
    </row>
    <row r="661" spans="2:13" x14ac:dyDescent="0.35">
      <c r="B661" s="173" t="s">
        <v>115</v>
      </c>
      <c r="C661" s="146">
        <v>46044</v>
      </c>
      <c r="D661" s="148">
        <v>9356850</v>
      </c>
      <c r="E661" s="148">
        <v>66</v>
      </c>
      <c r="F661" s="149">
        <v>-490000</v>
      </c>
      <c r="G661" s="147" t="s">
        <v>116</v>
      </c>
      <c r="H661" s="148">
        <v>488</v>
      </c>
      <c r="I661" s="148" t="s">
        <v>123</v>
      </c>
      <c r="J661" s="147" t="s">
        <v>124</v>
      </c>
      <c r="K661" s="149">
        <f>+K660+Tabla6[[#This Row],[IMPORTE]]</f>
        <v>148771080.94000003</v>
      </c>
      <c r="L661" s="178" t="s">
        <v>714</v>
      </c>
      <c r="M661" s="174" t="s">
        <v>91</v>
      </c>
    </row>
    <row r="662" spans="2:13" x14ac:dyDescent="0.35">
      <c r="B662" s="173" t="s">
        <v>115</v>
      </c>
      <c r="C662" s="146">
        <v>46044</v>
      </c>
      <c r="D662" s="148">
        <v>9356855</v>
      </c>
      <c r="E662" s="148">
        <v>66</v>
      </c>
      <c r="F662" s="149">
        <v>-490000</v>
      </c>
      <c r="G662" s="147" t="s">
        <v>116</v>
      </c>
      <c r="H662" s="148">
        <v>488</v>
      </c>
      <c r="I662" s="148" t="s">
        <v>123</v>
      </c>
      <c r="J662" s="147" t="s">
        <v>124</v>
      </c>
      <c r="K662" s="149">
        <f>+K661+Tabla6[[#This Row],[IMPORTE]]</f>
        <v>148281080.94000003</v>
      </c>
      <c r="L662" s="178" t="s">
        <v>714</v>
      </c>
      <c r="M662" s="174" t="s">
        <v>91</v>
      </c>
    </row>
    <row r="663" spans="2:13" x14ac:dyDescent="0.35">
      <c r="B663" s="173" t="s">
        <v>115</v>
      </c>
      <c r="C663" s="146">
        <v>46044</v>
      </c>
      <c r="D663" s="148">
        <v>9356932</v>
      </c>
      <c r="E663" s="148">
        <v>66</v>
      </c>
      <c r="F663" s="149">
        <v>-490000</v>
      </c>
      <c r="G663" s="147" t="s">
        <v>116</v>
      </c>
      <c r="H663" s="148">
        <v>488</v>
      </c>
      <c r="I663" s="148" t="s">
        <v>123</v>
      </c>
      <c r="J663" s="147" t="s">
        <v>124</v>
      </c>
      <c r="K663" s="149">
        <f>+K662+Tabla6[[#This Row],[IMPORTE]]</f>
        <v>147791080.94000003</v>
      </c>
      <c r="L663" s="178" t="s">
        <v>714</v>
      </c>
      <c r="M663" s="174" t="s">
        <v>91</v>
      </c>
    </row>
    <row r="664" spans="2:13" x14ac:dyDescent="0.35">
      <c r="B664" s="173" t="s">
        <v>115</v>
      </c>
      <c r="C664" s="146">
        <v>46044</v>
      </c>
      <c r="D664" s="148">
        <v>9356862</v>
      </c>
      <c r="E664" s="148">
        <v>66</v>
      </c>
      <c r="F664" s="149">
        <v>-490000</v>
      </c>
      <c r="G664" s="147" t="s">
        <v>116</v>
      </c>
      <c r="H664" s="148">
        <v>488</v>
      </c>
      <c r="I664" s="148" t="s">
        <v>123</v>
      </c>
      <c r="J664" s="147" t="s">
        <v>124</v>
      </c>
      <c r="K664" s="149">
        <f>+K663+Tabla6[[#This Row],[IMPORTE]]</f>
        <v>147301080.94000003</v>
      </c>
      <c r="L664" s="178" t="s">
        <v>714</v>
      </c>
      <c r="M664" s="174" t="s">
        <v>91</v>
      </c>
    </row>
    <row r="665" spans="2:13" x14ac:dyDescent="0.35">
      <c r="B665" s="173" t="s">
        <v>115</v>
      </c>
      <c r="C665" s="146">
        <v>46044</v>
      </c>
      <c r="D665" s="148">
        <v>9356982</v>
      </c>
      <c r="E665" s="148">
        <v>66</v>
      </c>
      <c r="F665" s="149">
        <v>-490000</v>
      </c>
      <c r="G665" s="147" t="s">
        <v>116</v>
      </c>
      <c r="H665" s="148">
        <v>488</v>
      </c>
      <c r="I665" s="148" t="s">
        <v>123</v>
      </c>
      <c r="J665" s="147" t="s">
        <v>124</v>
      </c>
      <c r="K665" s="149">
        <f>+K664+Tabla6[[#This Row],[IMPORTE]]</f>
        <v>146811080.94000003</v>
      </c>
      <c r="L665" s="178" t="s">
        <v>714</v>
      </c>
      <c r="M665" s="174" t="s">
        <v>91</v>
      </c>
    </row>
    <row r="666" spans="2:13" x14ac:dyDescent="0.35">
      <c r="B666" s="173" t="s">
        <v>115</v>
      </c>
      <c r="C666" s="146">
        <v>46044</v>
      </c>
      <c r="D666" s="148">
        <v>9356869</v>
      </c>
      <c r="E666" s="148">
        <v>66</v>
      </c>
      <c r="F666" s="149">
        <v>-490000</v>
      </c>
      <c r="G666" s="147" t="s">
        <v>116</v>
      </c>
      <c r="H666" s="148">
        <v>488</v>
      </c>
      <c r="I666" s="148" t="s">
        <v>123</v>
      </c>
      <c r="J666" s="147" t="s">
        <v>124</v>
      </c>
      <c r="K666" s="149">
        <f>+K665+Tabla6[[#This Row],[IMPORTE]]</f>
        <v>146321080.94000003</v>
      </c>
      <c r="L666" s="178" t="s">
        <v>714</v>
      </c>
      <c r="M666" s="174" t="s">
        <v>91</v>
      </c>
    </row>
    <row r="667" spans="2:13" x14ac:dyDescent="0.35">
      <c r="B667" s="173" t="s">
        <v>115</v>
      </c>
      <c r="C667" s="146">
        <v>46044</v>
      </c>
      <c r="D667" s="148">
        <v>9352608</v>
      </c>
      <c r="E667" s="148">
        <v>66</v>
      </c>
      <c r="F667" s="149">
        <v>-477750</v>
      </c>
      <c r="G667" s="147" t="s">
        <v>116</v>
      </c>
      <c r="H667" s="148">
        <v>488</v>
      </c>
      <c r="I667" s="148" t="s">
        <v>123</v>
      </c>
      <c r="J667" s="147" t="s">
        <v>124</v>
      </c>
      <c r="K667" s="149">
        <f>+K666+Tabla6[[#This Row],[IMPORTE]]</f>
        <v>145843330.94000003</v>
      </c>
      <c r="L667" s="178" t="s">
        <v>714</v>
      </c>
      <c r="M667" s="174" t="s">
        <v>91</v>
      </c>
    </row>
    <row r="668" spans="2:13" x14ac:dyDescent="0.35">
      <c r="B668" s="173" t="s">
        <v>115</v>
      </c>
      <c r="C668" s="146">
        <v>46044</v>
      </c>
      <c r="D668" s="148">
        <v>9357107</v>
      </c>
      <c r="E668" s="148">
        <v>66</v>
      </c>
      <c r="F668" s="149">
        <v>-465367.5</v>
      </c>
      <c r="G668" s="147" t="s">
        <v>116</v>
      </c>
      <c r="H668" s="148">
        <v>488</v>
      </c>
      <c r="I668" s="148" t="s">
        <v>123</v>
      </c>
      <c r="J668" s="147" t="s">
        <v>124</v>
      </c>
      <c r="K668" s="149">
        <f>+K667+Tabla6[[#This Row],[IMPORTE]]</f>
        <v>145377963.44000003</v>
      </c>
      <c r="L668" s="178" t="s">
        <v>714</v>
      </c>
      <c r="M668" s="174" t="s">
        <v>91</v>
      </c>
    </row>
    <row r="669" spans="2:13" x14ac:dyDescent="0.35">
      <c r="B669" s="173" t="s">
        <v>115</v>
      </c>
      <c r="C669" s="146">
        <v>46044</v>
      </c>
      <c r="D669" s="148">
        <v>9352367</v>
      </c>
      <c r="E669" s="148">
        <v>66</v>
      </c>
      <c r="F669" s="149">
        <v>-464399.54</v>
      </c>
      <c r="G669" s="147" t="s">
        <v>116</v>
      </c>
      <c r="H669" s="148">
        <v>488</v>
      </c>
      <c r="I669" s="148" t="s">
        <v>123</v>
      </c>
      <c r="J669" s="147" t="s">
        <v>124</v>
      </c>
      <c r="K669" s="149">
        <f>+K668+Tabla6[[#This Row],[IMPORTE]]</f>
        <v>144913563.90000004</v>
      </c>
      <c r="L669" s="178" t="s">
        <v>714</v>
      </c>
      <c r="M669" s="174" t="s">
        <v>91</v>
      </c>
    </row>
    <row r="670" spans="2:13" x14ac:dyDescent="0.35">
      <c r="B670" s="173" t="s">
        <v>115</v>
      </c>
      <c r="C670" s="146">
        <v>46044</v>
      </c>
      <c r="D670" s="148">
        <v>9356916</v>
      </c>
      <c r="E670" s="148">
        <v>66</v>
      </c>
      <c r="F670" s="149">
        <v>-464399.54</v>
      </c>
      <c r="G670" s="147" t="s">
        <v>116</v>
      </c>
      <c r="H670" s="148">
        <v>488</v>
      </c>
      <c r="I670" s="148" t="s">
        <v>123</v>
      </c>
      <c r="J670" s="147" t="s">
        <v>124</v>
      </c>
      <c r="K670" s="149">
        <f>+K669+Tabla6[[#This Row],[IMPORTE]]</f>
        <v>144449164.36000004</v>
      </c>
      <c r="L670" s="178" t="s">
        <v>714</v>
      </c>
      <c r="M670" s="174" t="s">
        <v>91</v>
      </c>
    </row>
    <row r="671" spans="2:13" x14ac:dyDescent="0.35">
      <c r="B671" s="173" t="s">
        <v>115</v>
      </c>
      <c r="C671" s="146">
        <v>46044</v>
      </c>
      <c r="D671" s="148">
        <v>9352361</v>
      </c>
      <c r="E671" s="148">
        <v>66</v>
      </c>
      <c r="F671" s="149">
        <v>-460819.39</v>
      </c>
      <c r="G671" s="147" t="s">
        <v>116</v>
      </c>
      <c r="H671" s="148">
        <v>487</v>
      </c>
      <c r="I671" s="148" t="s">
        <v>123</v>
      </c>
      <c r="J671" s="147" t="s">
        <v>124</v>
      </c>
      <c r="K671" s="149">
        <f>+K670+Tabla6[[#This Row],[IMPORTE]]</f>
        <v>143988344.97000006</v>
      </c>
      <c r="L671" s="178" t="s">
        <v>714</v>
      </c>
      <c r="M671" s="174" t="s">
        <v>91</v>
      </c>
    </row>
    <row r="672" spans="2:13" x14ac:dyDescent="0.35">
      <c r="B672" s="173" t="s">
        <v>115</v>
      </c>
      <c r="C672" s="146">
        <v>46044</v>
      </c>
      <c r="D672" s="148">
        <v>9357125</v>
      </c>
      <c r="E672" s="148">
        <v>66</v>
      </c>
      <c r="F672" s="149">
        <v>-460819.39</v>
      </c>
      <c r="G672" s="147" t="s">
        <v>116</v>
      </c>
      <c r="H672" s="148">
        <v>488</v>
      </c>
      <c r="I672" s="148" t="s">
        <v>123</v>
      </c>
      <c r="J672" s="147" t="s">
        <v>124</v>
      </c>
      <c r="K672" s="149">
        <f>+K671+Tabla6[[#This Row],[IMPORTE]]</f>
        <v>143527525.58000007</v>
      </c>
      <c r="L672" s="178" t="s">
        <v>714</v>
      </c>
      <c r="M672" s="174" t="s">
        <v>91</v>
      </c>
    </row>
    <row r="673" spans="2:13" x14ac:dyDescent="0.35">
      <c r="B673" s="173" t="s">
        <v>115</v>
      </c>
      <c r="C673" s="146">
        <v>46044</v>
      </c>
      <c r="D673" s="148">
        <v>9352665</v>
      </c>
      <c r="E673" s="148">
        <v>66</v>
      </c>
      <c r="F673" s="149">
        <v>-457500</v>
      </c>
      <c r="G673" s="147" t="s">
        <v>116</v>
      </c>
      <c r="H673" s="148">
        <v>488</v>
      </c>
      <c r="I673" s="148" t="s">
        <v>123</v>
      </c>
      <c r="J673" s="147" t="s">
        <v>124</v>
      </c>
      <c r="K673" s="149">
        <f>+K672+Tabla6[[#This Row],[IMPORTE]]</f>
        <v>143070025.58000007</v>
      </c>
      <c r="L673" s="178" t="s">
        <v>714</v>
      </c>
      <c r="M673" s="174" t="s">
        <v>91</v>
      </c>
    </row>
    <row r="674" spans="2:13" x14ac:dyDescent="0.35">
      <c r="B674" s="173" t="s">
        <v>115</v>
      </c>
      <c r="C674" s="146">
        <v>46044</v>
      </c>
      <c r="D674" s="148">
        <v>9357040</v>
      </c>
      <c r="E674" s="148">
        <v>66</v>
      </c>
      <c r="F674" s="149">
        <v>-457500</v>
      </c>
      <c r="G674" s="147" t="s">
        <v>116</v>
      </c>
      <c r="H674" s="148">
        <v>488</v>
      </c>
      <c r="I674" s="148" t="s">
        <v>123</v>
      </c>
      <c r="J674" s="147" t="s">
        <v>124</v>
      </c>
      <c r="K674" s="149">
        <f>+K673+Tabla6[[#This Row],[IMPORTE]]</f>
        <v>142612525.58000007</v>
      </c>
      <c r="L674" s="178" t="s">
        <v>714</v>
      </c>
      <c r="M674" s="174" t="s">
        <v>91</v>
      </c>
    </row>
    <row r="675" spans="2:13" x14ac:dyDescent="0.35">
      <c r="B675" s="173" t="s">
        <v>115</v>
      </c>
      <c r="C675" s="146">
        <v>46044</v>
      </c>
      <c r="D675" s="148">
        <v>9357137</v>
      </c>
      <c r="E675" s="148">
        <v>66</v>
      </c>
      <c r="F675" s="149">
        <v>-452054.51</v>
      </c>
      <c r="G675" s="147" t="s">
        <v>116</v>
      </c>
      <c r="H675" s="148">
        <v>488</v>
      </c>
      <c r="I675" s="148" t="s">
        <v>123</v>
      </c>
      <c r="J675" s="147" t="s">
        <v>124</v>
      </c>
      <c r="K675" s="149">
        <f>+K674+Tabla6[[#This Row],[IMPORTE]]</f>
        <v>142160471.07000008</v>
      </c>
      <c r="L675" s="178" t="s">
        <v>714</v>
      </c>
      <c r="M675" s="174" t="s">
        <v>91</v>
      </c>
    </row>
    <row r="676" spans="2:13" x14ac:dyDescent="0.35">
      <c r="B676" s="173" t="s">
        <v>115</v>
      </c>
      <c r="C676" s="146">
        <v>46044</v>
      </c>
      <c r="D676" s="148">
        <v>9352329</v>
      </c>
      <c r="E676" s="148">
        <v>66</v>
      </c>
      <c r="F676" s="149">
        <v>-451500</v>
      </c>
      <c r="G676" s="147" t="s">
        <v>116</v>
      </c>
      <c r="H676" s="148">
        <v>488</v>
      </c>
      <c r="I676" s="148" t="s">
        <v>123</v>
      </c>
      <c r="J676" s="147" t="s">
        <v>124</v>
      </c>
      <c r="K676" s="149">
        <f>+K675+Tabla6[[#This Row],[IMPORTE]]</f>
        <v>141708971.07000008</v>
      </c>
      <c r="L676" s="178" t="s">
        <v>714</v>
      </c>
      <c r="M676" s="174" t="s">
        <v>91</v>
      </c>
    </row>
    <row r="677" spans="2:13" x14ac:dyDescent="0.35">
      <c r="B677" s="173" t="s">
        <v>115</v>
      </c>
      <c r="C677" s="146">
        <v>46044</v>
      </c>
      <c r="D677" s="148">
        <v>9352280</v>
      </c>
      <c r="E677" s="148">
        <v>66</v>
      </c>
      <c r="F677" s="149">
        <v>-451500</v>
      </c>
      <c r="G677" s="147" t="s">
        <v>116</v>
      </c>
      <c r="H677" s="148">
        <v>488</v>
      </c>
      <c r="I677" s="148" t="s">
        <v>123</v>
      </c>
      <c r="J677" s="147" t="s">
        <v>124</v>
      </c>
      <c r="K677" s="149">
        <f>+K676+Tabla6[[#This Row],[IMPORTE]]</f>
        <v>141257471.07000008</v>
      </c>
      <c r="L677" s="178" t="s">
        <v>714</v>
      </c>
      <c r="M677" s="174" t="s">
        <v>91</v>
      </c>
    </row>
    <row r="678" spans="2:13" x14ac:dyDescent="0.35">
      <c r="B678" s="173" t="s">
        <v>115</v>
      </c>
      <c r="C678" s="146">
        <v>46044</v>
      </c>
      <c r="D678" s="148">
        <v>9352611</v>
      </c>
      <c r="E678" s="148">
        <v>66</v>
      </c>
      <c r="F678" s="149">
        <v>-451000</v>
      </c>
      <c r="G678" s="147" t="s">
        <v>116</v>
      </c>
      <c r="H678" s="148">
        <v>487</v>
      </c>
      <c r="I678" s="148" t="s">
        <v>123</v>
      </c>
      <c r="J678" s="147" t="s">
        <v>124</v>
      </c>
      <c r="K678" s="149">
        <f>+K677+Tabla6[[#This Row],[IMPORTE]]</f>
        <v>140806471.07000008</v>
      </c>
      <c r="L678" s="178" t="s">
        <v>714</v>
      </c>
      <c r="M678" s="174" t="s">
        <v>91</v>
      </c>
    </row>
    <row r="679" spans="2:13" x14ac:dyDescent="0.35">
      <c r="B679" s="173" t="s">
        <v>115</v>
      </c>
      <c r="C679" s="146">
        <v>46044</v>
      </c>
      <c r="D679" s="148">
        <v>9352529</v>
      </c>
      <c r="E679" s="148">
        <v>66</v>
      </c>
      <c r="F679" s="149">
        <v>-451000</v>
      </c>
      <c r="G679" s="147" t="s">
        <v>116</v>
      </c>
      <c r="H679" s="148">
        <v>487</v>
      </c>
      <c r="I679" s="148" t="s">
        <v>123</v>
      </c>
      <c r="J679" s="147" t="s">
        <v>124</v>
      </c>
      <c r="K679" s="149">
        <f>+K678+Tabla6[[#This Row],[IMPORTE]]</f>
        <v>140355471.07000008</v>
      </c>
      <c r="L679" s="178" t="s">
        <v>714</v>
      </c>
      <c r="M679" s="174" t="s">
        <v>91</v>
      </c>
    </row>
    <row r="680" spans="2:13" x14ac:dyDescent="0.35">
      <c r="B680" s="173" t="s">
        <v>115</v>
      </c>
      <c r="C680" s="146">
        <v>46044</v>
      </c>
      <c r="D680" s="148">
        <v>9352639</v>
      </c>
      <c r="E680" s="148">
        <v>66</v>
      </c>
      <c r="F680" s="149">
        <v>-451000</v>
      </c>
      <c r="G680" s="147" t="s">
        <v>116</v>
      </c>
      <c r="H680" s="148">
        <v>487</v>
      </c>
      <c r="I680" s="148" t="s">
        <v>123</v>
      </c>
      <c r="J680" s="147" t="s">
        <v>124</v>
      </c>
      <c r="K680" s="149">
        <f>+K679+Tabla6[[#This Row],[IMPORTE]]</f>
        <v>139904471.07000008</v>
      </c>
      <c r="L680" s="178" t="s">
        <v>714</v>
      </c>
      <c r="M680" s="174" t="s">
        <v>91</v>
      </c>
    </row>
    <row r="681" spans="2:13" x14ac:dyDescent="0.35">
      <c r="B681" s="173" t="s">
        <v>115</v>
      </c>
      <c r="C681" s="146">
        <v>46044</v>
      </c>
      <c r="D681" s="148">
        <v>9352405</v>
      </c>
      <c r="E681" s="148">
        <v>66</v>
      </c>
      <c r="F681" s="149">
        <v>-451000</v>
      </c>
      <c r="G681" s="147" t="s">
        <v>116</v>
      </c>
      <c r="H681" s="148">
        <v>487</v>
      </c>
      <c r="I681" s="148" t="s">
        <v>123</v>
      </c>
      <c r="J681" s="147" t="s">
        <v>124</v>
      </c>
      <c r="K681" s="149">
        <f>+K680+Tabla6[[#This Row],[IMPORTE]]</f>
        <v>139453471.07000008</v>
      </c>
      <c r="L681" s="178" t="s">
        <v>714</v>
      </c>
      <c r="M681" s="174" t="s">
        <v>91</v>
      </c>
    </row>
    <row r="682" spans="2:13" x14ac:dyDescent="0.35">
      <c r="B682" s="173" t="s">
        <v>115</v>
      </c>
      <c r="C682" s="146">
        <v>46044</v>
      </c>
      <c r="D682" s="148">
        <v>9352332</v>
      </c>
      <c r="E682" s="148">
        <v>66</v>
      </c>
      <c r="F682" s="149">
        <v>-451000</v>
      </c>
      <c r="G682" s="147" t="s">
        <v>116</v>
      </c>
      <c r="H682" s="148">
        <v>487</v>
      </c>
      <c r="I682" s="148" t="s">
        <v>123</v>
      </c>
      <c r="J682" s="147" t="s">
        <v>124</v>
      </c>
      <c r="K682" s="149">
        <f>+K681+Tabla6[[#This Row],[IMPORTE]]</f>
        <v>139002471.07000008</v>
      </c>
      <c r="L682" s="178" t="s">
        <v>714</v>
      </c>
      <c r="M682" s="174" t="s">
        <v>91</v>
      </c>
    </row>
    <row r="683" spans="2:13" x14ac:dyDescent="0.35">
      <c r="B683" s="173" t="s">
        <v>115</v>
      </c>
      <c r="C683" s="146">
        <v>46044</v>
      </c>
      <c r="D683" s="148">
        <v>9357111</v>
      </c>
      <c r="E683" s="148">
        <v>66</v>
      </c>
      <c r="F683" s="149">
        <v>-451000</v>
      </c>
      <c r="G683" s="147" t="s">
        <v>116</v>
      </c>
      <c r="H683" s="148">
        <v>487</v>
      </c>
      <c r="I683" s="148" t="s">
        <v>123</v>
      </c>
      <c r="J683" s="147" t="s">
        <v>124</v>
      </c>
      <c r="K683" s="149">
        <f>+K682+Tabla6[[#This Row],[IMPORTE]]</f>
        <v>138551471.07000008</v>
      </c>
      <c r="L683" s="178" t="s">
        <v>714</v>
      </c>
      <c r="M683" s="174" t="s">
        <v>91</v>
      </c>
    </row>
    <row r="684" spans="2:13" x14ac:dyDescent="0.35">
      <c r="B684" s="173" t="s">
        <v>115</v>
      </c>
      <c r="C684" s="146">
        <v>46044</v>
      </c>
      <c r="D684" s="148">
        <v>9357077</v>
      </c>
      <c r="E684" s="148">
        <v>66</v>
      </c>
      <c r="F684" s="149">
        <v>-451000</v>
      </c>
      <c r="G684" s="147" t="s">
        <v>116</v>
      </c>
      <c r="H684" s="148">
        <v>487</v>
      </c>
      <c r="I684" s="148" t="s">
        <v>123</v>
      </c>
      <c r="J684" s="147" t="s">
        <v>124</v>
      </c>
      <c r="K684" s="149">
        <f>+K683+Tabla6[[#This Row],[IMPORTE]]</f>
        <v>138100471.07000008</v>
      </c>
      <c r="L684" s="178" t="s">
        <v>714</v>
      </c>
      <c r="M684" s="174" t="s">
        <v>91</v>
      </c>
    </row>
    <row r="685" spans="2:13" x14ac:dyDescent="0.35">
      <c r="B685" s="173" t="s">
        <v>115</v>
      </c>
      <c r="C685" s="146">
        <v>46044</v>
      </c>
      <c r="D685" s="148">
        <v>9356873</v>
      </c>
      <c r="E685" s="148">
        <v>66</v>
      </c>
      <c r="F685" s="149">
        <v>-451000</v>
      </c>
      <c r="G685" s="147" t="s">
        <v>116</v>
      </c>
      <c r="H685" s="148">
        <v>488</v>
      </c>
      <c r="I685" s="148" t="s">
        <v>123</v>
      </c>
      <c r="J685" s="147" t="s">
        <v>124</v>
      </c>
      <c r="K685" s="149">
        <f>+K684+Tabla6[[#This Row],[IMPORTE]]</f>
        <v>137649471.07000008</v>
      </c>
      <c r="L685" s="178" t="s">
        <v>714</v>
      </c>
      <c r="M685" s="174" t="s">
        <v>91</v>
      </c>
    </row>
    <row r="686" spans="2:13" x14ac:dyDescent="0.35">
      <c r="B686" s="173" t="s">
        <v>115</v>
      </c>
      <c r="C686" s="146">
        <v>46044</v>
      </c>
      <c r="D686" s="148">
        <v>9357089</v>
      </c>
      <c r="E686" s="148">
        <v>66</v>
      </c>
      <c r="F686" s="149">
        <v>-451000</v>
      </c>
      <c r="G686" s="147" t="s">
        <v>116</v>
      </c>
      <c r="H686" s="148">
        <v>488</v>
      </c>
      <c r="I686" s="148" t="s">
        <v>123</v>
      </c>
      <c r="J686" s="147" t="s">
        <v>124</v>
      </c>
      <c r="K686" s="149">
        <f>+K685+Tabla6[[#This Row],[IMPORTE]]</f>
        <v>137198471.07000008</v>
      </c>
      <c r="L686" s="178" t="s">
        <v>714</v>
      </c>
      <c r="M686" s="174" t="s">
        <v>91</v>
      </c>
    </row>
    <row r="687" spans="2:13" x14ac:dyDescent="0.35">
      <c r="B687" s="173" t="s">
        <v>115</v>
      </c>
      <c r="C687" s="146">
        <v>46044</v>
      </c>
      <c r="D687" s="148">
        <v>9357126</v>
      </c>
      <c r="E687" s="148">
        <v>66</v>
      </c>
      <c r="F687" s="149">
        <v>-451000</v>
      </c>
      <c r="G687" s="147" t="s">
        <v>116</v>
      </c>
      <c r="H687" s="148">
        <v>488</v>
      </c>
      <c r="I687" s="148" t="s">
        <v>123</v>
      </c>
      <c r="J687" s="147" t="s">
        <v>124</v>
      </c>
      <c r="K687" s="149">
        <f>+K686+Tabla6[[#This Row],[IMPORTE]]</f>
        <v>136747471.07000008</v>
      </c>
      <c r="L687" s="178" t="s">
        <v>714</v>
      </c>
      <c r="M687" s="174" t="s">
        <v>91</v>
      </c>
    </row>
    <row r="688" spans="2:13" x14ac:dyDescent="0.35">
      <c r="B688" s="173" t="s">
        <v>115</v>
      </c>
      <c r="C688" s="146">
        <v>46044</v>
      </c>
      <c r="D688" s="148">
        <v>9352318</v>
      </c>
      <c r="E688" s="148">
        <v>66</v>
      </c>
      <c r="F688" s="149">
        <v>-451000</v>
      </c>
      <c r="G688" s="147" t="s">
        <v>116</v>
      </c>
      <c r="H688" s="148">
        <v>488</v>
      </c>
      <c r="I688" s="148" t="s">
        <v>123</v>
      </c>
      <c r="J688" s="147" t="s">
        <v>124</v>
      </c>
      <c r="K688" s="149">
        <f>+K687+Tabla6[[#This Row],[IMPORTE]]</f>
        <v>136296471.07000008</v>
      </c>
      <c r="L688" s="178" t="s">
        <v>714</v>
      </c>
      <c r="M688" s="174" t="s">
        <v>91</v>
      </c>
    </row>
    <row r="689" spans="2:13" x14ac:dyDescent="0.35">
      <c r="B689" s="173" t="s">
        <v>115</v>
      </c>
      <c r="C689" s="146">
        <v>46044</v>
      </c>
      <c r="D689" s="148">
        <v>9352375</v>
      </c>
      <c r="E689" s="148">
        <v>66</v>
      </c>
      <c r="F689" s="149">
        <v>-451000</v>
      </c>
      <c r="G689" s="147" t="s">
        <v>116</v>
      </c>
      <c r="H689" s="148">
        <v>488</v>
      </c>
      <c r="I689" s="148" t="s">
        <v>123</v>
      </c>
      <c r="J689" s="147" t="s">
        <v>124</v>
      </c>
      <c r="K689" s="149">
        <f>+K688+Tabla6[[#This Row],[IMPORTE]]</f>
        <v>135845471.07000008</v>
      </c>
      <c r="L689" s="178" t="s">
        <v>714</v>
      </c>
      <c r="M689" s="174" t="s">
        <v>91</v>
      </c>
    </row>
    <row r="690" spans="2:13" x14ac:dyDescent="0.35">
      <c r="B690" s="173" t="s">
        <v>115</v>
      </c>
      <c r="C690" s="146">
        <v>46044</v>
      </c>
      <c r="D690" s="148">
        <v>9352594</v>
      </c>
      <c r="E690" s="148">
        <v>66</v>
      </c>
      <c r="F690" s="149">
        <v>-451000</v>
      </c>
      <c r="G690" s="147" t="s">
        <v>116</v>
      </c>
      <c r="H690" s="148">
        <v>488</v>
      </c>
      <c r="I690" s="148" t="s">
        <v>123</v>
      </c>
      <c r="J690" s="147" t="s">
        <v>124</v>
      </c>
      <c r="K690" s="149">
        <f>+K689+Tabla6[[#This Row],[IMPORTE]]</f>
        <v>135394471.07000008</v>
      </c>
      <c r="L690" s="178" t="s">
        <v>714</v>
      </c>
      <c r="M690" s="174" t="s">
        <v>91</v>
      </c>
    </row>
    <row r="691" spans="2:13" x14ac:dyDescent="0.35">
      <c r="B691" s="173" t="s">
        <v>115</v>
      </c>
      <c r="C691" s="146">
        <v>46044</v>
      </c>
      <c r="D691" s="148">
        <v>9352644</v>
      </c>
      <c r="E691" s="148">
        <v>66</v>
      </c>
      <c r="F691" s="149">
        <v>-451000</v>
      </c>
      <c r="G691" s="147" t="s">
        <v>116</v>
      </c>
      <c r="H691" s="148">
        <v>488</v>
      </c>
      <c r="I691" s="148" t="s">
        <v>123</v>
      </c>
      <c r="J691" s="147" t="s">
        <v>124</v>
      </c>
      <c r="K691" s="149">
        <f>+K690+Tabla6[[#This Row],[IMPORTE]]</f>
        <v>134943471.07000008</v>
      </c>
      <c r="L691" s="178" t="s">
        <v>714</v>
      </c>
      <c r="M691" s="174" t="s">
        <v>91</v>
      </c>
    </row>
    <row r="692" spans="2:13" x14ac:dyDescent="0.35">
      <c r="B692" s="173" t="s">
        <v>115</v>
      </c>
      <c r="C692" s="146">
        <v>46044</v>
      </c>
      <c r="D692" s="148">
        <v>9352635</v>
      </c>
      <c r="E692" s="148">
        <v>66</v>
      </c>
      <c r="F692" s="149">
        <v>-451000</v>
      </c>
      <c r="G692" s="147" t="s">
        <v>116</v>
      </c>
      <c r="H692" s="148">
        <v>488</v>
      </c>
      <c r="I692" s="148" t="s">
        <v>123</v>
      </c>
      <c r="J692" s="147" t="s">
        <v>124</v>
      </c>
      <c r="K692" s="149">
        <f>+K691+Tabla6[[#This Row],[IMPORTE]]</f>
        <v>134492471.07000008</v>
      </c>
      <c r="L692" s="178" t="s">
        <v>714</v>
      </c>
      <c r="M692" s="174" t="s">
        <v>91</v>
      </c>
    </row>
    <row r="693" spans="2:13" x14ac:dyDescent="0.35">
      <c r="B693" s="173" t="s">
        <v>115</v>
      </c>
      <c r="C693" s="146">
        <v>46044</v>
      </c>
      <c r="D693" s="148">
        <v>9352373</v>
      </c>
      <c r="E693" s="148">
        <v>66</v>
      </c>
      <c r="F693" s="149">
        <v>-451000</v>
      </c>
      <c r="G693" s="147" t="s">
        <v>116</v>
      </c>
      <c r="H693" s="148">
        <v>488</v>
      </c>
      <c r="I693" s="148" t="s">
        <v>123</v>
      </c>
      <c r="J693" s="147" t="s">
        <v>124</v>
      </c>
      <c r="K693" s="149">
        <f>+K692+Tabla6[[#This Row],[IMPORTE]]</f>
        <v>134041471.07000008</v>
      </c>
      <c r="L693" s="178" t="s">
        <v>714</v>
      </c>
      <c r="M693" s="174" t="s">
        <v>91</v>
      </c>
    </row>
    <row r="694" spans="2:13" x14ac:dyDescent="0.35">
      <c r="B694" s="173" t="s">
        <v>115</v>
      </c>
      <c r="C694" s="146">
        <v>46044</v>
      </c>
      <c r="D694" s="148">
        <v>9352501</v>
      </c>
      <c r="E694" s="148">
        <v>66</v>
      </c>
      <c r="F694" s="149">
        <v>-451000</v>
      </c>
      <c r="G694" s="147" t="s">
        <v>116</v>
      </c>
      <c r="H694" s="148">
        <v>488</v>
      </c>
      <c r="I694" s="148" t="s">
        <v>123</v>
      </c>
      <c r="J694" s="147" t="s">
        <v>124</v>
      </c>
      <c r="K694" s="149">
        <f>+K693+Tabla6[[#This Row],[IMPORTE]]</f>
        <v>133590471.07000008</v>
      </c>
      <c r="L694" s="178" t="s">
        <v>714</v>
      </c>
      <c r="M694" s="174" t="s">
        <v>91</v>
      </c>
    </row>
    <row r="695" spans="2:13" x14ac:dyDescent="0.35">
      <c r="B695" s="173" t="s">
        <v>115</v>
      </c>
      <c r="C695" s="146">
        <v>46044</v>
      </c>
      <c r="D695" s="148">
        <v>9352383</v>
      </c>
      <c r="E695" s="148">
        <v>66</v>
      </c>
      <c r="F695" s="149">
        <v>-451000</v>
      </c>
      <c r="G695" s="147" t="s">
        <v>116</v>
      </c>
      <c r="H695" s="148">
        <v>488</v>
      </c>
      <c r="I695" s="148" t="s">
        <v>123</v>
      </c>
      <c r="J695" s="147" t="s">
        <v>124</v>
      </c>
      <c r="K695" s="149">
        <f>+K694+Tabla6[[#This Row],[IMPORTE]]</f>
        <v>133139471.07000008</v>
      </c>
      <c r="L695" s="178" t="s">
        <v>714</v>
      </c>
      <c r="M695" s="174" t="s">
        <v>91</v>
      </c>
    </row>
    <row r="696" spans="2:13" x14ac:dyDescent="0.35">
      <c r="B696" s="173" t="s">
        <v>115</v>
      </c>
      <c r="C696" s="146">
        <v>46044</v>
      </c>
      <c r="D696" s="148">
        <v>9352322</v>
      </c>
      <c r="E696" s="148">
        <v>66</v>
      </c>
      <c r="F696" s="149">
        <v>-451000</v>
      </c>
      <c r="G696" s="147" t="s">
        <v>116</v>
      </c>
      <c r="H696" s="148">
        <v>488</v>
      </c>
      <c r="I696" s="148" t="s">
        <v>123</v>
      </c>
      <c r="J696" s="147" t="s">
        <v>124</v>
      </c>
      <c r="K696" s="149">
        <f>+K695+Tabla6[[#This Row],[IMPORTE]]</f>
        <v>132688471.07000008</v>
      </c>
      <c r="L696" s="178" t="s">
        <v>714</v>
      </c>
      <c r="M696" s="174" t="s">
        <v>91</v>
      </c>
    </row>
    <row r="697" spans="2:13" x14ac:dyDescent="0.35">
      <c r="B697" s="173" t="s">
        <v>115</v>
      </c>
      <c r="C697" s="146">
        <v>46044</v>
      </c>
      <c r="D697" s="148">
        <v>9352409</v>
      </c>
      <c r="E697" s="148">
        <v>66</v>
      </c>
      <c r="F697" s="149">
        <v>-451000</v>
      </c>
      <c r="G697" s="147" t="s">
        <v>116</v>
      </c>
      <c r="H697" s="148">
        <v>488</v>
      </c>
      <c r="I697" s="148" t="s">
        <v>123</v>
      </c>
      <c r="J697" s="147" t="s">
        <v>124</v>
      </c>
      <c r="K697" s="149">
        <f>+K696+Tabla6[[#This Row],[IMPORTE]]</f>
        <v>132237471.07000008</v>
      </c>
      <c r="L697" s="178" t="s">
        <v>714</v>
      </c>
      <c r="M697" s="174" t="s">
        <v>91</v>
      </c>
    </row>
    <row r="698" spans="2:13" x14ac:dyDescent="0.35">
      <c r="B698" s="173" t="s">
        <v>115</v>
      </c>
      <c r="C698" s="146">
        <v>46044</v>
      </c>
      <c r="D698" s="148">
        <v>9352546</v>
      </c>
      <c r="E698" s="148">
        <v>66</v>
      </c>
      <c r="F698" s="149">
        <v>-451000</v>
      </c>
      <c r="G698" s="147" t="s">
        <v>116</v>
      </c>
      <c r="H698" s="148">
        <v>488</v>
      </c>
      <c r="I698" s="148" t="s">
        <v>123</v>
      </c>
      <c r="J698" s="147" t="s">
        <v>124</v>
      </c>
      <c r="K698" s="149">
        <f>+K697+Tabla6[[#This Row],[IMPORTE]]</f>
        <v>131786471.07000008</v>
      </c>
      <c r="L698" s="178" t="s">
        <v>714</v>
      </c>
      <c r="M698" s="174" t="s">
        <v>91</v>
      </c>
    </row>
    <row r="699" spans="2:13" x14ac:dyDescent="0.35">
      <c r="B699" s="173" t="s">
        <v>115</v>
      </c>
      <c r="C699" s="146">
        <v>46044</v>
      </c>
      <c r="D699" s="148">
        <v>9352453</v>
      </c>
      <c r="E699" s="148">
        <v>66</v>
      </c>
      <c r="F699" s="149">
        <v>-451000</v>
      </c>
      <c r="G699" s="147" t="s">
        <v>116</v>
      </c>
      <c r="H699" s="148">
        <v>488</v>
      </c>
      <c r="I699" s="148" t="s">
        <v>123</v>
      </c>
      <c r="J699" s="147" t="s">
        <v>124</v>
      </c>
      <c r="K699" s="149">
        <f>+K698+Tabla6[[#This Row],[IMPORTE]]</f>
        <v>131335471.07000008</v>
      </c>
      <c r="L699" s="178" t="s">
        <v>714</v>
      </c>
      <c r="M699" s="174" t="s">
        <v>91</v>
      </c>
    </row>
    <row r="700" spans="2:13" x14ac:dyDescent="0.35">
      <c r="B700" s="173" t="s">
        <v>115</v>
      </c>
      <c r="C700" s="146">
        <v>46044</v>
      </c>
      <c r="D700" s="148">
        <v>9352369</v>
      </c>
      <c r="E700" s="148">
        <v>66</v>
      </c>
      <c r="F700" s="149">
        <v>-451000</v>
      </c>
      <c r="G700" s="147" t="s">
        <v>116</v>
      </c>
      <c r="H700" s="148">
        <v>488</v>
      </c>
      <c r="I700" s="148" t="s">
        <v>123</v>
      </c>
      <c r="J700" s="147" t="s">
        <v>124</v>
      </c>
      <c r="K700" s="149">
        <f>+K699+Tabla6[[#This Row],[IMPORTE]]</f>
        <v>130884471.07000008</v>
      </c>
      <c r="L700" s="178" t="s">
        <v>714</v>
      </c>
      <c r="M700" s="174" t="s">
        <v>91</v>
      </c>
    </row>
    <row r="701" spans="2:13" x14ac:dyDescent="0.35">
      <c r="B701" s="173" t="s">
        <v>115</v>
      </c>
      <c r="C701" s="146">
        <v>46044</v>
      </c>
      <c r="D701" s="148">
        <v>9352485</v>
      </c>
      <c r="E701" s="148">
        <v>66</v>
      </c>
      <c r="F701" s="149">
        <v>-451000</v>
      </c>
      <c r="G701" s="147" t="s">
        <v>116</v>
      </c>
      <c r="H701" s="148">
        <v>488</v>
      </c>
      <c r="I701" s="148" t="s">
        <v>123</v>
      </c>
      <c r="J701" s="147" t="s">
        <v>124</v>
      </c>
      <c r="K701" s="149">
        <f>+K700+Tabla6[[#This Row],[IMPORTE]]</f>
        <v>130433471.07000008</v>
      </c>
      <c r="L701" s="178" t="s">
        <v>714</v>
      </c>
      <c r="M701" s="174" t="s">
        <v>91</v>
      </c>
    </row>
    <row r="702" spans="2:13" x14ac:dyDescent="0.35">
      <c r="B702" s="173" t="s">
        <v>115</v>
      </c>
      <c r="C702" s="146">
        <v>46044</v>
      </c>
      <c r="D702" s="148">
        <v>9352668</v>
      </c>
      <c r="E702" s="148">
        <v>66</v>
      </c>
      <c r="F702" s="149">
        <v>-451000</v>
      </c>
      <c r="G702" s="147" t="s">
        <v>116</v>
      </c>
      <c r="H702" s="148">
        <v>488</v>
      </c>
      <c r="I702" s="148" t="s">
        <v>123</v>
      </c>
      <c r="J702" s="147" t="s">
        <v>124</v>
      </c>
      <c r="K702" s="149">
        <f>+K701+Tabla6[[#This Row],[IMPORTE]]</f>
        <v>129982471.07000008</v>
      </c>
      <c r="L702" s="178" t="s">
        <v>714</v>
      </c>
      <c r="M702" s="174" t="s">
        <v>91</v>
      </c>
    </row>
    <row r="703" spans="2:13" x14ac:dyDescent="0.35">
      <c r="B703" s="173" t="s">
        <v>115</v>
      </c>
      <c r="C703" s="146">
        <v>46044</v>
      </c>
      <c r="D703" s="148">
        <v>9352510</v>
      </c>
      <c r="E703" s="148">
        <v>66</v>
      </c>
      <c r="F703" s="149">
        <v>-451000</v>
      </c>
      <c r="G703" s="147" t="s">
        <v>116</v>
      </c>
      <c r="H703" s="148">
        <v>488</v>
      </c>
      <c r="I703" s="148" t="s">
        <v>123</v>
      </c>
      <c r="J703" s="147" t="s">
        <v>124</v>
      </c>
      <c r="K703" s="149">
        <f>+K702+Tabla6[[#This Row],[IMPORTE]]</f>
        <v>129531471.07000008</v>
      </c>
      <c r="L703" s="178" t="s">
        <v>714</v>
      </c>
      <c r="M703" s="174" t="s">
        <v>91</v>
      </c>
    </row>
    <row r="704" spans="2:13" x14ac:dyDescent="0.35">
      <c r="B704" s="173" t="s">
        <v>115</v>
      </c>
      <c r="C704" s="146">
        <v>46044</v>
      </c>
      <c r="D704" s="148">
        <v>9352650</v>
      </c>
      <c r="E704" s="148">
        <v>66</v>
      </c>
      <c r="F704" s="149">
        <v>-451000</v>
      </c>
      <c r="G704" s="147" t="s">
        <v>116</v>
      </c>
      <c r="H704" s="148">
        <v>488</v>
      </c>
      <c r="I704" s="148" t="s">
        <v>123</v>
      </c>
      <c r="J704" s="147" t="s">
        <v>124</v>
      </c>
      <c r="K704" s="149">
        <f>+K703+Tabla6[[#This Row],[IMPORTE]]</f>
        <v>129080471.07000008</v>
      </c>
      <c r="L704" s="178" t="s">
        <v>714</v>
      </c>
      <c r="M704" s="174" t="s">
        <v>91</v>
      </c>
    </row>
    <row r="705" spans="2:13" x14ac:dyDescent="0.35">
      <c r="B705" s="173" t="s">
        <v>115</v>
      </c>
      <c r="C705" s="146">
        <v>46044</v>
      </c>
      <c r="D705" s="148">
        <v>9352590</v>
      </c>
      <c r="E705" s="148">
        <v>66</v>
      </c>
      <c r="F705" s="149">
        <v>-451000</v>
      </c>
      <c r="G705" s="147" t="s">
        <v>116</v>
      </c>
      <c r="H705" s="148">
        <v>488</v>
      </c>
      <c r="I705" s="148" t="s">
        <v>123</v>
      </c>
      <c r="J705" s="147" t="s">
        <v>124</v>
      </c>
      <c r="K705" s="149">
        <f>+K704+Tabla6[[#This Row],[IMPORTE]]</f>
        <v>128629471.07000008</v>
      </c>
      <c r="L705" s="178" t="s">
        <v>714</v>
      </c>
      <c r="M705" s="174" t="s">
        <v>91</v>
      </c>
    </row>
    <row r="706" spans="2:13" x14ac:dyDescent="0.35">
      <c r="B706" s="173" t="s">
        <v>115</v>
      </c>
      <c r="C706" s="146">
        <v>46044</v>
      </c>
      <c r="D706" s="148">
        <v>9352316</v>
      </c>
      <c r="E706" s="148">
        <v>66</v>
      </c>
      <c r="F706" s="149">
        <v>-451000</v>
      </c>
      <c r="G706" s="147" t="s">
        <v>116</v>
      </c>
      <c r="H706" s="148">
        <v>488</v>
      </c>
      <c r="I706" s="148" t="s">
        <v>123</v>
      </c>
      <c r="J706" s="147" t="s">
        <v>124</v>
      </c>
      <c r="K706" s="149">
        <f>+K705+Tabla6[[#This Row],[IMPORTE]]</f>
        <v>128178471.07000008</v>
      </c>
      <c r="L706" s="178" t="s">
        <v>714</v>
      </c>
      <c r="M706" s="174" t="s">
        <v>91</v>
      </c>
    </row>
    <row r="707" spans="2:13" x14ac:dyDescent="0.35">
      <c r="B707" s="173" t="s">
        <v>115</v>
      </c>
      <c r="C707" s="146">
        <v>46044</v>
      </c>
      <c r="D707" s="148">
        <v>9352365</v>
      </c>
      <c r="E707" s="148">
        <v>66</v>
      </c>
      <c r="F707" s="149">
        <v>-451000</v>
      </c>
      <c r="G707" s="147" t="s">
        <v>116</v>
      </c>
      <c r="H707" s="148">
        <v>488</v>
      </c>
      <c r="I707" s="148" t="s">
        <v>123</v>
      </c>
      <c r="J707" s="147" t="s">
        <v>124</v>
      </c>
      <c r="K707" s="149">
        <f>+K706+Tabla6[[#This Row],[IMPORTE]]</f>
        <v>127727471.07000008</v>
      </c>
      <c r="L707" s="178" t="s">
        <v>714</v>
      </c>
      <c r="M707" s="174" t="s">
        <v>91</v>
      </c>
    </row>
    <row r="708" spans="2:13" x14ac:dyDescent="0.35">
      <c r="B708" s="173" t="s">
        <v>115</v>
      </c>
      <c r="C708" s="146">
        <v>46044</v>
      </c>
      <c r="D708" s="148">
        <v>9352524</v>
      </c>
      <c r="E708" s="148">
        <v>66</v>
      </c>
      <c r="F708" s="149">
        <v>-451000</v>
      </c>
      <c r="G708" s="147" t="s">
        <v>116</v>
      </c>
      <c r="H708" s="148">
        <v>488</v>
      </c>
      <c r="I708" s="148" t="s">
        <v>123</v>
      </c>
      <c r="J708" s="147" t="s">
        <v>124</v>
      </c>
      <c r="K708" s="149">
        <f>+K707+Tabla6[[#This Row],[IMPORTE]]</f>
        <v>127276471.07000008</v>
      </c>
      <c r="L708" s="178" t="s">
        <v>714</v>
      </c>
      <c r="M708" s="174" t="s">
        <v>91</v>
      </c>
    </row>
    <row r="709" spans="2:13" x14ac:dyDescent="0.35">
      <c r="B709" s="173" t="s">
        <v>115</v>
      </c>
      <c r="C709" s="146">
        <v>46044</v>
      </c>
      <c r="D709" s="148">
        <v>9352401</v>
      </c>
      <c r="E709" s="148">
        <v>66</v>
      </c>
      <c r="F709" s="149">
        <v>-451000</v>
      </c>
      <c r="G709" s="147" t="s">
        <v>116</v>
      </c>
      <c r="H709" s="148">
        <v>488</v>
      </c>
      <c r="I709" s="148" t="s">
        <v>123</v>
      </c>
      <c r="J709" s="147" t="s">
        <v>124</v>
      </c>
      <c r="K709" s="149">
        <f>+K708+Tabla6[[#This Row],[IMPORTE]]</f>
        <v>126825471.07000008</v>
      </c>
      <c r="L709" s="178" t="s">
        <v>714</v>
      </c>
      <c r="M709" s="174" t="s">
        <v>91</v>
      </c>
    </row>
    <row r="710" spans="2:13" x14ac:dyDescent="0.35">
      <c r="B710" s="173" t="s">
        <v>115</v>
      </c>
      <c r="C710" s="146">
        <v>46044</v>
      </c>
      <c r="D710" s="148">
        <v>9352544</v>
      </c>
      <c r="E710" s="148">
        <v>66</v>
      </c>
      <c r="F710" s="149">
        <v>-451000</v>
      </c>
      <c r="G710" s="147" t="s">
        <v>116</v>
      </c>
      <c r="H710" s="148">
        <v>488</v>
      </c>
      <c r="I710" s="148" t="s">
        <v>123</v>
      </c>
      <c r="J710" s="147" t="s">
        <v>124</v>
      </c>
      <c r="K710" s="149">
        <f>+K709+Tabla6[[#This Row],[IMPORTE]]</f>
        <v>126374471.07000008</v>
      </c>
      <c r="L710" s="178" t="s">
        <v>714</v>
      </c>
      <c r="M710" s="174" t="s">
        <v>91</v>
      </c>
    </row>
    <row r="711" spans="2:13" x14ac:dyDescent="0.35">
      <c r="B711" s="173" t="s">
        <v>115</v>
      </c>
      <c r="C711" s="146">
        <v>46044</v>
      </c>
      <c r="D711" s="148">
        <v>9352432</v>
      </c>
      <c r="E711" s="148">
        <v>66</v>
      </c>
      <c r="F711" s="149">
        <v>-451000</v>
      </c>
      <c r="G711" s="147" t="s">
        <v>116</v>
      </c>
      <c r="H711" s="148">
        <v>488</v>
      </c>
      <c r="I711" s="148" t="s">
        <v>123</v>
      </c>
      <c r="J711" s="147" t="s">
        <v>124</v>
      </c>
      <c r="K711" s="149">
        <f>+K710+Tabla6[[#This Row],[IMPORTE]]</f>
        <v>125923471.07000008</v>
      </c>
      <c r="L711" s="178" t="s">
        <v>714</v>
      </c>
      <c r="M711" s="174" t="s">
        <v>91</v>
      </c>
    </row>
    <row r="712" spans="2:13" x14ac:dyDescent="0.35">
      <c r="B712" s="173" t="s">
        <v>115</v>
      </c>
      <c r="C712" s="146">
        <v>46044</v>
      </c>
      <c r="D712" s="148">
        <v>9352276</v>
      </c>
      <c r="E712" s="148">
        <v>66</v>
      </c>
      <c r="F712" s="149">
        <v>-451000</v>
      </c>
      <c r="G712" s="147" t="s">
        <v>116</v>
      </c>
      <c r="H712" s="148">
        <v>488</v>
      </c>
      <c r="I712" s="148" t="s">
        <v>123</v>
      </c>
      <c r="J712" s="147" t="s">
        <v>124</v>
      </c>
      <c r="K712" s="149">
        <f>+K711+Tabla6[[#This Row],[IMPORTE]]</f>
        <v>125472471.07000008</v>
      </c>
      <c r="L712" s="178" t="s">
        <v>714</v>
      </c>
      <c r="M712" s="174" t="s">
        <v>91</v>
      </c>
    </row>
    <row r="713" spans="2:13" x14ac:dyDescent="0.35">
      <c r="B713" s="173" t="s">
        <v>115</v>
      </c>
      <c r="C713" s="146">
        <v>46044</v>
      </c>
      <c r="D713" s="148">
        <v>9357060</v>
      </c>
      <c r="E713" s="148">
        <v>66</v>
      </c>
      <c r="F713" s="149">
        <v>-451000</v>
      </c>
      <c r="G713" s="147" t="s">
        <v>116</v>
      </c>
      <c r="H713" s="148">
        <v>488</v>
      </c>
      <c r="I713" s="148" t="s">
        <v>123</v>
      </c>
      <c r="J713" s="147" t="s">
        <v>124</v>
      </c>
      <c r="K713" s="149">
        <f>+K712+Tabla6[[#This Row],[IMPORTE]]</f>
        <v>125021471.07000008</v>
      </c>
      <c r="L713" s="178" t="s">
        <v>714</v>
      </c>
      <c r="M713" s="174" t="s">
        <v>91</v>
      </c>
    </row>
    <row r="714" spans="2:13" x14ac:dyDescent="0.35">
      <c r="B714" s="173" t="s">
        <v>115</v>
      </c>
      <c r="C714" s="146">
        <v>46044</v>
      </c>
      <c r="D714" s="148">
        <v>9356899</v>
      </c>
      <c r="E714" s="148">
        <v>66</v>
      </c>
      <c r="F714" s="149">
        <v>-451000</v>
      </c>
      <c r="G714" s="147" t="s">
        <v>116</v>
      </c>
      <c r="H714" s="148">
        <v>488</v>
      </c>
      <c r="I714" s="148" t="s">
        <v>123</v>
      </c>
      <c r="J714" s="147" t="s">
        <v>124</v>
      </c>
      <c r="K714" s="149">
        <f>+K713+Tabla6[[#This Row],[IMPORTE]]</f>
        <v>124570471.07000008</v>
      </c>
      <c r="L714" s="178" t="s">
        <v>714</v>
      </c>
      <c r="M714" s="174" t="s">
        <v>91</v>
      </c>
    </row>
    <row r="715" spans="2:13" x14ac:dyDescent="0.35">
      <c r="B715" s="173" t="s">
        <v>115</v>
      </c>
      <c r="C715" s="146">
        <v>46044</v>
      </c>
      <c r="D715" s="148">
        <v>9357084</v>
      </c>
      <c r="E715" s="148">
        <v>66</v>
      </c>
      <c r="F715" s="149">
        <v>-451000</v>
      </c>
      <c r="G715" s="147" t="s">
        <v>116</v>
      </c>
      <c r="H715" s="148">
        <v>488</v>
      </c>
      <c r="I715" s="148" t="s">
        <v>123</v>
      </c>
      <c r="J715" s="147" t="s">
        <v>124</v>
      </c>
      <c r="K715" s="149">
        <f>+K714+Tabla6[[#This Row],[IMPORTE]]</f>
        <v>124119471.07000008</v>
      </c>
      <c r="L715" s="178" t="s">
        <v>714</v>
      </c>
      <c r="M715" s="174" t="s">
        <v>91</v>
      </c>
    </row>
    <row r="716" spans="2:13" x14ac:dyDescent="0.35">
      <c r="B716" s="173" t="s">
        <v>115</v>
      </c>
      <c r="C716" s="146">
        <v>46044</v>
      </c>
      <c r="D716" s="148">
        <v>9356859</v>
      </c>
      <c r="E716" s="148">
        <v>66</v>
      </c>
      <c r="F716" s="149">
        <v>-451000</v>
      </c>
      <c r="G716" s="147" t="s">
        <v>116</v>
      </c>
      <c r="H716" s="148">
        <v>488</v>
      </c>
      <c r="I716" s="148" t="s">
        <v>123</v>
      </c>
      <c r="J716" s="147" t="s">
        <v>124</v>
      </c>
      <c r="K716" s="149">
        <f>+K715+Tabla6[[#This Row],[IMPORTE]]</f>
        <v>123668471.07000008</v>
      </c>
      <c r="L716" s="178" t="s">
        <v>714</v>
      </c>
      <c r="M716" s="174" t="s">
        <v>91</v>
      </c>
    </row>
    <row r="717" spans="2:13" x14ac:dyDescent="0.35">
      <c r="B717" s="173" t="s">
        <v>115</v>
      </c>
      <c r="C717" s="146">
        <v>46044</v>
      </c>
      <c r="D717" s="148">
        <v>9356936</v>
      </c>
      <c r="E717" s="148">
        <v>66</v>
      </c>
      <c r="F717" s="149">
        <v>-451000</v>
      </c>
      <c r="G717" s="147" t="s">
        <v>116</v>
      </c>
      <c r="H717" s="148">
        <v>488</v>
      </c>
      <c r="I717" s="148" t="s">
        <v>123</v>
      </c>
      <c r="J717" s="147" t="s">
        <v>124</v>
      </c>
      <c r="K717" s="149">
        <f>+K716+Tabla6[[#This Row],[IMPORTE]]</f>
        <v>123217471.07000008</v>
      </c>
      <c r="L717" s="178" t="s">
        <v>714</v>
      </c>
      <c r="M717" s="174" t="s">
        <v>91</v>
      </c>
    </row>
    <row r="718" spans="2:13" x14ac:dyDescent="0.35">
      <c r="B718" s="173" t="s">
        <v>115</v>
      </c>
      <c r="C718" s="146">
        <v>46044</v>
      </c>
      <c r="D718" s="148">
        <v>9357146</v>
      </c>
      <c r="E718" s="148">
        <v>66</v>
      </c>
      <c r="F718" s="149">
        <v>-451000</v>
      </c>
      <c r="G718" s="147" t="s">
        <v>116</v>
      </c>
      <c r="H718" s="148">
        <v>488</v>
      </c>
      <c r="I718" s="148" t="s">
        <v>123</v>
      </c>
      <c r="J718" s="147" t="s">
        <v>124</v>
      </c>
      <c r="K718" s="149">
        <f>+K717+Tabla6[[#This Row],[IMPORTE]]</f>
        <v>122766471.07000008</v>
      </c>
      <c r="L718" s="178" t="s">
        <v>714</v>
      </c>
      <c r="M718" s="174" t="s">
        <v>91</v>
      </c>
    </row>
    <row r="719" spans="2:13" x14ac:dyDescent="0.35">
      <c r="B719" s="173" t="s">
        <v>115</v>
      </c>
      <c r="C719" s="146">
        <v>46044</v>
      </c>
      <c r="D719" s="148">
        <v>9356938</v>
      </c>
      <c r="E719" s="148">
        <v>66</v>
      </c>
      <c r="F719" s="149">
        <v>-451000</v>
      </c>
      <c r="G719" s="147" t="s">
        <v>116</v>
      </c>
      <c r="H719" s="148">
        <v>488</v>
      </c>
      <c r="I719" s="148" t="s">
        <v>123</v>
      </c>
      <c r="J719" s="147" t="s">
        <v>124</v>
      </c>
      <c r="K719" s="149">
        <f>+K718+Tabla6[[#This Row],[IMPORTE]]</f>
        <v>122315471.07000008</v>
      </c>
      <c r="L719" s="178" t="s">
        <v>714</v>
      </c>
      <c r="M719" s="174" t="s">
        <v>91</v>
      </c>
    </row>
    <row r="720" spans="2:13" x14ac:dyDescent="0.35">
      <c r="B720" s="173" t="s">
        <v>115</v>
      </c>
      <c r="C720" s="146">
        <v>46044</v>
      </c>
      <c r="D720" s="148">
        <v>9356902</v>
      </c>
      <c r="E720" s="148">
        <v>66</v>
      </c>
      <c r="F720" s="149">
        <v>-451000</v>
      </c>
      <c r="G720" s="147" t="s">
        <v>116</v>
      </c>
      <c r="H720" s="148">
        <v>488</v>
      </c>
      <c r="I720" s="148" t="s">
        <v>123</v>
      </c>
      <c r="J720" s="147" t="s">
        <v>124</v>
      </c>
      <c r="K720" s="149">
        <f>+K719+Tabla6[[#This Row],[IMPORTE]]</f>
        <v>121864471.07000008</v>
      </c>
      <c r="L720" s="178" t="s">
        <v>714</v>
      </c>
      <c r="M720" s="174" t="s">
        <v>91</v>
      </c>
    </row>
    <row r="721" spans="2:13" x14ac:dyDescent="0.35">
      <c r="B721" s="173" t="s">
        <v>115</v>
      </c>
      <c r="C721" s="146">
        <v>46044</v>
      </c>
      <c r="D721" s="148">
        <v>9356865</v>
      </c>
      <c r="E721" s="148">
        <v>66</v>
      </c>
      <c r="F721" s="149">
        <v>-451000</v>
      </c>
      <c r="G721" s="147" t="s">
        <v>116</v>
      </c>
      <c r="H721" s="148">
        <v>488</v>
      </c>
      <c r="I721" s="148" t="s">
        <v>123</v>
      </c>
      <c r="J721" s="147" t="s">
        <v>124</v>
      </c>
      <c r="K721" s="149">
        <f>+K720+Tabla6[[#This Row],[IMPORTE]]</f>
        <v>121413471.07000008</v>
      </c>
      <c r="L721" s="178" t="s">
        <v>714</v>
      </c>
      <c r="M721" s="174" t="s">
        <v>91</v>
      </c>
    </row>
    <row r="722" spans="2:13" x14ac:dyDescent="0.35">
      <c r="B722" s="173" t="s">
        <v>115</v>
      </c>
      <c r="C722" s="146">
        <v>46044</v>
      </c>
      <c r="D722" s="148">
        <v>9356934</v>
      </c>
      <c r="E722" s="148">
        <v>66</v>
      </c>
      <c r="F722" s="149">
        <v>-451000</v>
      </c>
      <c r="G722" s="147" t="s">
        <v>116</v>
      </c>
      <c r="H722" s="148">
        <v>488</v>
      </c>
      <c r="I722" s="148" t="s">
        <v>123</v>
      </c>
      <c r="J722" s="147" t="s">
        <v>124</v>
      </c>
      <c r="K722" s="149">
        <f>+K721+Tabla6[[#This Row],[IMPORTE]]</f>
        <v>120962471.07000008</v>
      </c>
      <c r="L722" s="178" t="s">
        <v>714</v>
      </c>
      <c r="M722" s="174" t="s">
        <v>91</v>
      </c>
    </row>
    <row r="723" spans="2:13" x14ac:dyDescent="0.35">
      <c r="B723" s="173" t="s">
        <v>115</v>
      </c>
      <c r="C723" s="146">
        <v>46044</v>
      </c>
      <c r="D723" s="148">
        <v>9352294</v>
      </c>
      <c r="E723" s="148">
        <v>66</v>
      </c>
      <c r="F723" s="149">
        <v>-432735.93</v>
      </c>
      <c r="G723" s="147" t="s">
        <v>116</v>
      </c>
      <c r="H723" s="148">
        <v>488</v>
      </c>
      <c r="I723" s="148" t="s">
        <v>123</v>
      </c>
      <c r="J723" s="147" t="s">
        <v>124</v>
      </c>
      <c r="K723" s="149">
        <f>+K722+Tabla6[[#This Row],[IMPORTE]]</f>
        <v>120529735.14000008</v>
      </c>
      <c r="L723" s="178" t="s">
        <v>714</v>
      </c>
      <c r="M723" s="174" t="s">
        <v>91</v>
      </c>
    </row>
    <row r="724" spans="2:13" x14ac:dyDescent="0.35">
      <c r="B724" s="173" t="s">
        <v>115</v>
      </c>
      <c r="C724" s="146">
        <v>46044</v>
      </c>
      <c r="D724" s="148">
        <v>9352298</v>
      </c>
      <c r="E724" s="148">
        <v>66</v>
      </c>
      <c r="F724" s="149">
        <v>-432735.93</v>
      </c>
      <c r="G724" s="147" t="s">
        <v>116</v>
      </c>
      <c r="H724" s="148">
        <v>488</v>
      </c>
      <c r="I724" s="148" t="s">
        <v>123</v>
      </c>
      <c r="J724" s="147" t="s">
        <v>124</v>
      </c>
      <c r="K724" s="149">
        <f>+K723+Tabla6[[#This Row],[IMPORTE]]</f>
        <v>120096999.21000007</v>
      </c>
      <c r="L724" s="178" t="s">
        <v>714</v>
      </c>
      <c r="M724" s="174" t="s">
        <v>91</v>
      </c>
    </row>
    <row r="725" spans="2:13" x14ac:dyDescent="0.35">
      <c r="B725" s="173" t="s">
        <v>115</v>
      </c>
      <c r="C725" s="146">
        <v>46044</v>
      </c>
      <c r="D725" s="148">
        <v>9357118</v>
      </c>
      <c r="E725" s="148">
        <v>66</v>
      </c>
      <c r="F725" s="149">
        <v>-432735.93</v>
      </c>
      <c r="G725" s="147" t="s">
        <v>116</v>
      </c>
      <c r="H725" s="148">
        <v>488</v>
      </c>
      <c r="I725" s="148" t="s">
        <v>123</v>
      </c>
      <c r="J725" s="147" t="s">
        <v>124</v>
      </c>
      <c r="K725" s="149">
        <f>+K724+Tabla6[[#This Row],[IMPORTE]]</f>
        <v>119664263.28000006</v>
      </c>
      <c r="L725" s="178" t="s">
        <v>714</v>
      </c>
      <c r="M725" s="174" t="s">
        <v>91</v>
      </c>
    </row>
    <row r="726" spans="2:13" x14ac:dyDescent="0.35">
      <c r="B726" s="173" t="s">
        <v>115</v>
      </c>
      <c r="C726" s="146">
        <v>46044</v>
      </c>
      <c r="D726" s="148">
        <v>9356920</v>
      </c>
      <c r="E726" s="148">
        <v>66</v>
      </c>
      <c r="F726" s="149">
        <v>-432735.93</v>
      </c>
      <c r="G726" s="147" t="s">
        <v>116</v>
      </c>
      <c r="H726" s="148">
        <v>488</v>
      </c>
      <c r="I726" s="148" t="s">
        <v>123</v>
      </c>
      <c r="J726" s="147" t="s">
        <v>124</v>
      </c>
      <c r="K726" s="149">
        <f>+K725+Tabla6[[#This Row],[IMPORTE]]</f>
        <v>119231527.35000005</v>
      </c>
      <c r="L726" s="178" t="s">
        <v>714</v>
      </c>
      <c r="M726" s="174" t="s">
        <v>91</v>
      </c>
    </row>
    <row r="727" spans="2:13" x14ac:dyDescent="0.35">
      <c r="B727" s="173" t="s">
        <v>115</v>
      </c>
      <c r="C727" s="146">
        <v>46044</v>
      </c>
      <c r="D727" s="148">
        <v>9352493</v>
      </c>
      <c r="E727" s="148">
        <v>66</v>
      </c>
      <c r="F727" s="149">
        <v>-432000</v>
      </c>
      <c r="G727" s="147" t="s">
        <v>116</v>
      </c>
      <c r="H727" s="148">
        <v>488</v>
      </c>
      <c r="I727" s="148" t="s">
        <v>123</v>
      </c>
      <c r="J727" s="147" t="s">
        <v>124</v>
      </c>
      <c r="K727" s="149">
        <f>+K726+Tabla6[[#This Row],[IMPORTE]]</f>
        <v>118799527.35000005</v>
      </c>
      <c r="L727" s="178" t="s">
        <v>714</v>
      </c>
      <c r="M727" s="174" t="s">
        <v>91</v>
      </c>
    </row>
    <row r="728" spans="2:13" x14ac:dyDescent="0.35">
      <c r="B728" s="173" t="s">
        <v>115</v>
      </c>
      <c r="C728" s="146">
        <v>46044</v>
      </c>
      <c r="D728" s="148">
        <v>9352661</v>
      </c>
      <c r="E728" s="148">
        <v>66</v>
      </c>
      <c r="F728" s="149">
        <v>-400614.23</v>
      </c>
      <c r="G728" s="147" t="s">
        <v>116</v>
      </c>
      <c r="H728" s="148">
        <v>488</v>
      </c>
      <c r="I728" s="148" t="s">
        <v>123</v>
      </c>
      <c r="J728" s="147" t="s">
        <v>124</v>
      </c>
      <c r="K728" s="149">
        <f>+K727+Tabla6[[#This Row],[IMPORTE]]</f>
        <v>118398913.12000005</v>
      </c>
      <c r="L728" s="178" t="s">
        <v>714</v>
      </c>
      <c r="M728" s="174" t="s">
        <v>91</v>
      </c>
    </row>
    <row r="729" spans="2:13" x14ac:dyDescent="0.35">
      <c r="B729" s="173" t="s">
        <v>115</v>
      </c>
      <c r="C729" s="146">
        <v>46044</v>
      </c>
      <c r="D729" s="148">
        <v>9357122</v>
      </c>
      <c r="E729" s="148">
        <v>66</v>
      </c>
      <c r="F729" s="149">
        <v>-400614.23</v>
      </c>
      <c r="G729" s="147" t="s">
        <v>116</v>
      </c>
      <c r="H729" s="148">
        <v>488</v>
      </c>
      <c r="I729" s="148" t="s">
        <v>123</v>
      </c>
      <c r="J729" s="147" t="s">
        <v>124</v>
      </c>
      <c r="K729" s="149">
        <f>+K728+Tabla6[[#This Row],[IMPORTE]]</f>
        <v>117998298.89000005</v>
      </c>
      <c r="L729" s="178" t="s">
        <v>714</v>
      </c>
      <c r="M729" s="174" t="s">
        <v>91</v>
      </c>
    </row>
    <row r="730" spans="2:13" x14ac:dyDescent="0.35">
      <c r="B730" s="173" t="s">
        <v>115</v>
      </c>
      <c r="C730" s="146">
        <v>46044</v>
      </c>
      <c r="D730" s="148">
        <v>9352349</v>
      </c>
      <c r="E730" s="148">
        <v>66</v>
      </c>
      <c r="F730" s="149">
        <v>-376577.37</v>
      </c>
      <c r="G730" s="147" t="s">
        <v>116</v>
      </c>
      <c r="H730" s="148">
        <v>488</v>
      </c>
      <c r="I730" s="148" t="s">
        <v>123</v>
      </c>
      <c r="J730" s="147" t="s">
        <v>124</v>
      </c>
      <c r="K730" s="149">
        <f>+K729+Tabla6[[#This Row],[IMPORTE]]</f>
        <v>117621721.52000004</v>
      </c>
      <c r="L730" s="178" t="s">
        <v>714</v>
      </c>
      <c r="M730" s="174" t="s">
        <v>91</v>
      </c>
    </row>
    <row r="731" spans="2:13" x14ac:dyDescent="0.35">
      <c r="B731" s="173" t="s">
        <v>115</v>
      </c>
      <c r="C731" s="146">
        <v>46044</v>
      </c>
      <c r="D731" s="148">
        <v>9352633</v>
      </c>
      <c r="E731" s="148">
        <v>66</v>
      </c>
      <c r="F731" s="149">
        <v>-366000</v>
      </c>
      <c r="G731" s="147" t="s">
        <v>116</v>
      </c>
      <c r="H731" s="148">
        <v>488</v>
      </c>
      <c r="I731" s="148" t="s">
        <v>123</v>
      </c>
      <c r="J731" s="147" t="s">
        <v>124</v>
      </c>
      <c r="K731" s="149">
        <f>+K730+Tabla6[[#This Row],[IMPORTE]]</f>
        <v>117255721.52000004</v>
      </c>
      <c r="L731" s="178" t="s">
        <v>714</v>
      </c>
      <c r="M731" s="174" t="s">
        <v>91</v>
      </c>
    </row>
    <row r="732" spans="2:13" x14ac:dyDescent="0.35">
      <c r="B732" s="173" t="s">
        <v>115</v>
      </c>
      <c r="C732" s="146">
        <v>46044</v>
      </c>
      <c r="D732" s="148">
        <v>9243793</v>
      </c>
      <c r="E732" s="148">
        <v>66</v>
      </c>
      <c r="F732" s="149">
        <v>-348552</v>
      </c>
      <c r="G732" s="147" t="s">
        <v>116</v>
      </c>
      <c r="H732" s="148">
        <v>488</v>
      </c>
      <c r="I732" s="148" t="s">
        <v>123</v>
      </c>
      <c r="J732" s="147" t="s">
        <v>124</v>
      </c>
      <c r="K732" s="149">
        <f>+K731+Tabla6[[#This Row],[IMPORTE]]</f>
        <v>116907169.52000004</v>
      </c>
      <c r="L732" s="143" t="s">
        <v>703</v>
      </c>
      <c r="M732" s="174" t="s">
        <v>1505</v>
      </c>
    </row>
    <row r="733" spans="2:13" x14ac:dyDescent="0.35">
      <c r="B733" s="173" t="s">
        <v>115</v>
      </c>
      <c r="C733" s="146">
        <v>46044</v>
      </c>
      <c r="D733" s="148">
        <v>9356930</v>
      </c>
      <c r="E733" s="148">
        <v>66</v>
      </c>
      <c r="F733" s="149">
        <v>-310000</v>
      </c>
      <c r="G733" s="147" t="s">
        <v>116</v>
      </c>
      <c r="H733" s="148">
        <v>488</v>
      </c>
      <c r="I733" s="148" t="s">
        <v>123</v>
      </c>
      <c r="J733" s="147" t="s">
        <v>124</v>
      </c>
      <c r="K733" s="149">
        <f>+K732+Tabla6[[#This Row],[IMPORTE]]</f>
        <v>116597169.52000004</v>
      </c>
      <c r="L733" s="178" t="s">
        <v>714</v>
      </c>
      <c r="M733" s="174" t="s">
        <v>91</v>
      </c>
    </row>
    <row r="734" spans="2:13" x14ac:dyDescent="0.35">
      <c r="B734" s="173" t="s">
        <v>115</v>
      </c>
      <c r="C734" s="146">
        <v>46044</v>
      </c>
      <c r="D734" s="148">
        <v>9352339</v>
      </c>
      <c r="E734" s="148">
        <v>66</v>
      </c>
      <c r="F734" s="149">
        <v>-274500</v>
      </c>
      <c r="G734" s="147" t="s">
        <v>116</v>
      </c>
      <c r="H734" s="148">
        <v>488</v>
      </c>
      <c r="I734" s="148" t="s">
        <v>123</v>
      </c>
      <c r="J734" s="147" t="s">
        <v>124</v>
      </c>
      <c r="K734" s="149">
        <f>+K733+Tabla6[[#This Row],[IMPORTE]]</f>
        <v>116322669.52000004</v>
      </c>
      <c r="L734" s="178" t="s">
        <v>714</v>
      </c>
      <c r="M734" s="174" t="s">
        <v>91</v>
      </c>
    </row>
    <row r="735" spans="2:13" x14ac:dyDescent="0.35">
      <c r="B735" s="173" t="s">
        <v>115</v>
      </c>
      <c r="C735" s="146">
        <v>46044</v>
      </c>
      <c r="D735" s="148">
        <v>9352610</v>
      </c>
      <c r="E735" s="148">
        <v>66</v>
      </c>
      <c r="F735" s="149">
        <v>-200000</v>
      </c>
      <c r="G735" s="147" t="s">
        <v>116</v>
      </c>
      <c r="H735" s="148">
        <v>487</v>
      </c>
      <c r="I735" s="148" t="s">
        <v>123</v>
      </c>
      <c r="J735" s="147" t="s">
        <v>124</v>
      </c>
      <c r="K735" s="149">
        <f>+K734+Tabla6[[#This Row],[IMPORTE]]</f>
        <v>116122669.52000004</v>
      </c>
      <c r="L735" s="178" t="s">
        <v>714</v>
      </c>
      <c r="M735" s="174" t="s">
        <v>91</v>
      </c>
    </row>
    <row r="736" spans="2:13" x14ac:dyDescent="0.35">
      <c r="B736" s="173" t="s">
        <v>115</v>
      </c>
      <c r="C736" s="146">
        <v>46044</v>
      </c>
      <c r="D736" s="148">
        <v>9352471</v>
      </c>
      <c r="E736" s="148">
        <v>66</v>
      </c>
      <c r="F736" s="149">
        <v>-200000</v>
      </c>
      <c r="G736" s="147" t="s">
        <v>116</v>
      </c>
      <c r="H736" s="148">
        <v>487</v>
      </c>
      <c r="I736" s="148" t="s">
        <v>123</v>
      </c>
      <c r="J736" s="147" t="s">
        <v>124</v>
      </c>
      <c r="K736" s="149">
        <f>+K735+Tabla6[[#This Row],[IMPORTE]]</f>
        <v>115922669.52000004</v>
      </c>
      <c r="L736" s="178" t="s">
        <v>714</v>
      </c>
      <c r="M736" s="174" t="s">
        <v>91</v>
      </c>
    </row>
    <row r="737" spans="2:13" x14ac:dyDescent="0.35">
      <c r="B737" s="173" t="s">
        <v>115</v>
      </c>
      <c r="C737" s="146">
        <v>46044</v>
      </c>
      <c r="D737" s="148">
        <v>9352596</v>
      </c>
      <c r="E737" s="148">
        <v>66</v>
      </c>
      <c r="F737" s="149">
        <v>-200000</v>
      </c>
      <c r="G737" s="147" t="s">
        <v>116</v>
      </c>
      <c r="H737" s="148">
        <v>487</v>
      </c>
      <c r="I737" s="148" t="s">
        <v>123</v>
      </c>
      <c r="J737" s="147" t="s">
        <v>124</v>
      </c>
      <c r="K737" s="149">
        <f>+K736+Tabla6[[#This Row],[IMPORTE]]</f>
        <v>115722669.52000004</v>
      </c>
      <c r="L737" s="178" t="s">
        <v>714</v>
      </c>
      <c r="M737" s="174" t="s">
        <v>91</v>
      </c>
    </row>
    <row r="738" spans="2:13" x14ac:dyDescent="0.35">
      <c r="B738" s="173" t="s">
        <v>115</v>
      </c>
      <c r="C738" s="146">
        <v>46044</v>
      </c>
      <c r="D738" s="148">
        <v>9352532</v>
      </c>
      <c r="E738" s="148">
        <v>66</v>
      </c>
      <c r="F738" s="149">
        <v>-200000</v>
      </c>
      <c r="G738" s="147" t="s">
        <v>116</v>
      </c>
      <c r="H738" s="148">
        <v>487</v>
      </c>
      <c r="I738" s="148" t="s">
        <v>123</v>
      </c>
      <c r="J738" s="147" t="s">
        <v>124</v>
      </c>
      <c r="K738" s="149">
        <f>+K737+Tabla6[[#This Row],[IMPORTE]]</f>
        <v>115522669.52000004</v>
      </c>
      <c r="L738" s="178" t="s">
        <v>714</v>
      </c>
      <c r="M738" s="174" t="s">
        <v>91</v>
      </c>
    </row>
    <row r="739" spans="2:13" x14ac:dyDescent="0.35">
      <c r="B739" s="173" t="s">
        <v>115</v>
      </c>
      <c r="C739" s="146">
        <v>46044</v>
      </c>
      <c r="D739" s="148">
        <v>9352641</v>
      </c>
      <c r="E739" s="148">
        <v>66</v>
      </c>
      <c r="F739" s="149">
        <v>-200000</v>
      </c>
      <c r="G739" s="147" t="s">
        <v>116</v>
      </c>
      <c r="H739" s="148">
        <v>487</v>
      </c>
      <c r="I739" s="148" t="s">
        <v>123</v>
      </c>
      <c r="J739" s="147" t="s">
        <v>124</v>
      </c>
      <c r="K739" s="149">
        <f>+K738+Tabla6[[#This Row],[IMPORTE]]</f>
        <v>115322669.52000004</v>
      </c>
      <c r="L739" s="178" t="s">
        <v>714</v>
      </c>
      <c r="M739" s="174" t="s">
        <v>91</v>
      </c>
    </row>
    <row r="740" spans="2:13" x14ac:dyDescent="0.35">
      <c r="B740" s="173" t="s">
        <v>115</v>
      </c>
      <c r="C740" s="146">
        <v>46044</v>
      </c>
      <c r="D740" s="148">
        <v>9352362</v>
      </c>
      <c r="E740" s="148">
        <v>66</v>
      </c>
      <c r="F740" s="149">
        <v>-200000</v>
      </c>
      <c r="G740" s="147" t="s">
        <v>116</v>
      </c>
      <c r="H740" s="148">
        <v>487</v>
      </c>
      <c r="I740" s="148" t="s">
        <v>123</v>
      </c>
      <c r="J740" s="147" t="s">
        <v>124</v>
      </c>
      <c r="K740" s="149">
        <f>+K739+Tabla6[[#This Row],[IMPORTE]]</f>
        <v>115122669.52000004</v>
      </c>
      <c r="L740" s="178" t="s">
        <v>714</v>
      </c>
      <c r="M740" s="174" t="s">
        <v>91</v>
      </c>
    </row>
    <row r="741" spans="2:13" x14ac:dyDescent="0.35">
      <c r="B741" s="173" t="s">
        <v>115</v>
      </c>
      <c r="C741" s="146">
        <v>46044</v>
      </c>
      <c r="D741" s="148">
        <v>9352578</v>
      </c>
      <c r="E741" s="148">
        <v>66</v>
      </c>
      <c r="F741" s="149">
        <v>-200000</v>
      </c>
      <c r="G741" s="147" t="s">
        <v>116</v>
      </c>
      <c r="H741" s="148">
        <v>487</v>
      </c>
      <c r="I741" s="148" t="s">
        <v>123</v>
      </c>
      <c r="J741" s="147" t="s">
        <v>124</v>
      </c>
      <c r="K741" s="149">
        <f>+K740+Tabla6[[#This Row],[IMPORTE]]</f>
        <v>114922669.52000004</v>
      </c>
      <c r="L741" s="178" t="s">
        <v>714</v>
      </c>
      <c r="M741" s="174" t="s">
        <v>91</v>
      </c>
    </row>
    <row r="742" spans="2:13" x14ac:dyDescent="0.35">
      <c r="B742" s="173" t="s">
        <v>115</v>
      </c>
      <c r="C742" s="146">
        <v>46044</v>
      </c>
      <c r="D742" s="148">
        <v>9352269</v>
      </c>
      <c r="E742" s="148">
        <v>66</v>
      </c>
      <c r="F742" s="149">
        <v>-200000</v>
      </c>
      <c r="G742" s="147" t="s">
        <v>116</v>
      </c>
      <c r="H742" s="148">
        <v>487</v>
      </c>
      <c r="I742" s="148" t="s">
        <v>123</v>
      </c>
      <c r="J742" s="147" t="s">
        <v>124</v>
      </c>
      <c r="K742" s="149">
        <f>+K741+Tabla6[[#This Row],[IMPORTE]]</f>
        <v>114722669.52000004</v>
      </c>
      <c r="L742" s="178" t="s">
        <v>714</v>
      </c>
      <c r="M742" s="174" t="s">
        <v>91</v>
      </c>
    </row>
    <row r="743" spans="2:13" x14ac:dyDescent="0.35">
      <c r="B743" s="173" t="s">
        <v>115</v>
      </c>
      <c r="C743" s="146">
        <v>46044</v>
      </c>
      <c r="D743" s="148">
        <v>9352360</v>
      </c>
      <c r="E743" s="148">
        <v>66</v>
      </c>
      <c r="F743" s="149">
        <v>-200000</v>
      </c>
      <c r="G743" s="147" t="s">
        <v>116</v>
      </c>
      <c r="H743" s="148">
        <v>487</v>
      </c>
      <c r="I743" s="148" t="s">
        <v>123</v>
      </c>
      <c r="J743" s="147" t="s">
        <v>124</v>
      </c>
      <c r="K743" s="149">
        <f>+K742+Tabla6[[#This Row],[IMPORTE]]</f>
        <v>114522669.52000004</v>
      </c>
      <c r="L743" s="178" t="s">
        <v>714</v>
      </c>
      <c r="M743" s="174" t="s">
        <v>91</v>
      </c>
    </row>
    <row r="744" spans="2:13" x14ac:dyDescent="0.35">
      <c r="B744" s="173" t="s">
        <v>115</v>
      </c>
      <c r="C744" s="146">
        <v>46044</v>
      </c>
      <c r="D744" s="148">
        <v>9352593</v>
      </c>
      <c r="E744" s="148">
        <v>66</v>
      </c>
      <c r="F744" s="149">
        <v>-200000</v>
      </c>
      <c r="G744" s="147" t="s">
        <v>116</v>
      </c>
      <c r="H744" s="148">
        <v>487</v>
      </c>
      <c r="I744" s="148" t="s">
        <v>123</v>
      </c>
      <c r="J744" s="147" t="s">
        <v>124</v>
      </c>
      <c r="K744" s="149">
        <f>+K743+Tabla6[[#This Row],[IMPORTE]]</f>
        <v>114322669.52000004</v>
      </c>
      <c r="L744" s="178" t="s">
        <v>714</v>
      </c>
      <c r="M744" s="174" t="s">
        <v>91</v>
      </c>
    </row>
    <row r="745" spans="2:13" x14ac:dyDescent="0.35">
      <c r="B745" s="173" t="s">
        <v>115</v>
      </c>
      <c r="C745" s="146">
        <v>46044</v>
      </c>
      <c r="D745" s="148">
        <v>9352333</v>
      </c>
      <c r="E745" s="148">
        <v>66</v>
      </c>
      <c r="F745" s="149">
        <v>-200000</v>
      </c>
      <c r="G745" s="147" t="s">
        <v>116</v>
      </c>
      <c r="H745" s="148">
        <v>487</v>
      </c>
      <c r="I745" s="148" t="s">
        <v>123</v>
      </c>
      <c r="J745" s="147" t="s">
        <v>124</v>
      </c>
      <c r="K745" s="149">
        <f>+K744+Tabla6[[#This Row],[IMPORTE]]</f>
        <v>114122669.52000004</v>
      </c>
      <c r="L745" s="178" t="s">
        <v>714</v>
      </c>
      <c r="M745" s="174" t="s">
        <v>91</v>
      </c>
    </row>
    <row r="746" spans="2:13" x14ac:dyDescent="0.35">
      <c r="B746" s="173" t="s">
        <v>115</v>
      </c>
      <c r="C746" s="146">
        <v>46044</v>
      </c>
      <c r="D746" s="148">
        <v>9352407</v>
      </c>
      <c r="E746" s="148">
        <v>66</v>
      </c>
      <c r="F746" s="149">
        <v>-200000</v>
      </c>
      <c r="G746" s="147" t="s">
        <v>116</v>
      </c>
      <c r="H746" s="148">
        <v>487</v>
      </c>
      <c r="I746" s="148" t="s">
        <v>123</v>
      </c>
      <c r="J746" s="147" t="s">
        <v>124</v>
      </c>
      <c r="K746" s="149">
        <f>+K745+Tabla6[[#This Row],[IMPORTE]]</f>
        <v>113922669.52000004</v>
      </c>
      <c r="L746" s="178" t="s">
        <v>714</v>
      </c>
      <c r="M746" s="174" t="s">
        <v>91</v>
      </c>
    </row>
    <row r="747" spans="2:13" x14ac:dyDescent="0.35">
      <c r="B747" s="173" t="s">
        <v>115</v>
      </c>
      <c r="C747" s="146">
        <v>46044</v>
      </c>
      <c r="D747" s="148">
        <v>9352518</v>
      </c>
      <c r="E747" s="148">
        <v>66</v>
      </c>
      <c r="F747" s="149">
        <v>-200000</v>
      </c>
      <c r="G747" s="147" t="s">
        <v>116</v>
      </c>
      <c r="H747" s="148">
        <v>487</v>
      </c>
      <c r="I747" s="148" t="s">
        <v>123</v>
      </c>
      <c r="J747" s="147" t="s">
        <v>124</v>
      </c>
      <c r="K747" s="149">
        <f>+K746+Tabla6[[#This Row],[IMPORTE]]</f>
        <v>113722669.52000004</v>
      </c>
      <c r="L747" s="178" t="s">
        <v>714</v>
      </c>
      <c r="M747" s="174" t="s">
        <v>91</v>
      </c>
    </row>
    <row r="748" spans="2:13" x14ac:dyDescent="0.35">
      <c r="B748" s="173" t="s">
        <v>115</v>
      </c>
      <c r="C748" s="146">
        <v>46044</v>
      </c>
      <c r="D748" s="148">
        <v>9356973</v>
      </c>
      <c r="E748" s="148">
        <v>66</v>
      </c>
      <c r="F748" s="149">
        <v>-200000</v>
      </c>
      <c r="G748" s="147" t="s">
        <v>116</v>
      </c>
      <c r="H748" s="148">
        <v>487</v>
      </c>
      <c r="I748" s="148" t="s">
        <v>123</v>
      </c>
      <c r="J748" s="147" t="s">
        <v>124</v>
      </c>
      <c r="K748" s="149">
        <f>+K747+Tabla6[[#This Row],[IMPORTE]]</f>
        <v>113522669.52000004</v>
      </c>
      <c r="L748" s="178" t="s">
        <v>714</v>
      </c>
      <c r="M748" s="174" t="s">
        <v>91</v>
      </c>
    </row>
    <row r="749" spans="2:13" x14ac:dyDescent="0.35">
      <c r="B749" s="173" t="s">
        <v>115</v>
      </c>
      <c r="C749" s="146">
        <v>46044</v>
      </c>
      <c r="D749" s="148">
        <v>9356962</v>
      </c>
      <c r="E749" s="148">
        <v>66</v>
      </c>
      <c r="F749" s="149">
        <v>-200000</v>
      </c>
      <c r="G749" s="147" t="s">
        <v>116</v>
      </c>
      <c r="H749" s="148">
        <v>487</v>
      </c>
      <c r="I749" s="148" t="s">
        <v>123</v>
      </c>
      <c r="J749" s="147" t="s">
        <v>124</v>
      </c>
      <c r="K749" s="149">
        <f>+K748+Tabla6[[#This Row],[IMPORTE]]</f>
        <v>113322669.52000004</v>
      </c>
      <c r="L749" s="178" t="s">
        <v>714</v>
      </c>
      <c r="M749" s="174" t="s">
        <v>91</v>
      </c>
    </row>
    <row r="750" spans="2:13" x14ac:dyDescent="0.35">
      <c r="B750" s="173" t="s">
        <v>115</v>
      </c>
      <c r="C750" s="146">
        <v>46044</v>
      </c>
      <c r="D750" s="148">
        <v>9356948</v>
      </c>
      <c r="E750" s="148">
        <v>66</v>
      </c>
      <c r="F750" s="149">
        <v>-200000</v>
      </c>
      <c r="G750" s="147" t="s">
        <v>116</v>
      </c>
      <c r="H750" s="148">
        <v>487</v>
      </c>
      <c r="I750" s="148" t="s">
        <v>123</v>
      </c>
      <c r="J750" s="147" t="s">
        <v>124</v>
      </c>
      <c r="K750" s="149">
        <f>+K749+Tabla6[[#This Row],[IMPORTE]]</f>
        <v>113122669.52000004</v>
      </c>
      <c r="L750" s="178" t="s">
        <v>714</v>
      </c>
      <c r="M750" s="174" t="s">
        <v>91</v>
      </c>
    </row>
    <row r="751" spans="2:13" x14ac:dyDescent="0.35">
      <c r="B751" s="173" t="s">
        <v>115</v>
      </c>
      <c r="C751" s="146">
        <v>46044</v>
      </c>
      <c r="D751" s="148">
        <v>9356894</v>
      </c>
      <c r="E751" s="148">
        <v>66</v>
      </c>
      <c r="F751" s="149">
        <v>-200000</v>
      </c>
      <c r="G751" s="147" t="s">
        <v>116</v>
      </c>
      <c r="H751" s="148">
        <v>487</v>
      </c>
      <c r="I751" s="148" t="s">
        <v>123</v>
      </c>
      <c r="J751" s="147" t="s">
        <v>124</v>
      </c>
      <c r="K751" s="149">
        <f>+K750+Tabla6[[#This Row],[IMPORTE]]</f>
        <v>112922669.52000004</v>
      </c>
      <c r="L751" s="178" t="s">
        <v>714</v>
      </c>
      <c r="M751" s="174" t="s">
        <v>91</v>
      </c>
    </row>
    <row r="752" spans="2:13" x14ac:dyDescent="0.35">
      <c r="B752" s="173" t="s">
        <v>115</v>
      </c>
      <c r="C752" s="146">
        <v>46044</v>
      </c>
      <c r="D752" s="148">
        <v>9357128</v>
      </c>
      <c r="E752" s="148">
        <v>66</v>
      </c>
      <c r="F752" s="149">
        <v>-200000</v>
      </c>
      <c r="G752" s="147" t="s">
        <v>116</v>
      </c>
      <c r="H752" s="148">
        <v>487</v>
      </c>
      <c r="I752" s="148" t="s">
        <v>123</v>
      </c>
      <c r="J752" s="147" t="s">
        <v>124</v>
      </c>
      <c r="K752" s="149">
        <f>+K751+Tabla6[[#This Row],[IMPORTE]]</f>
        <v>112722669.52000004</v>
      </c>
      <c r="L752" s="178" t="s">
        <v>714</v>
      </c>
      <c r="M752" s="174" t="s">
        <v>91</v>
      </c>
    </row>
    <row r="753" spans="2:13" x14ac:dyDescent="0.35">
      <c r="B753" s="173" t="s">
        <v>115</v>
      </c>
      <c r="C753" s="146">
        <v>46044</v>
      </c>
      <c r="D753" s="148">
        <v>9356883</v>
      </c>
      <c r="E753" s="148">
        <v>66</v>
      </c>
      <c r="F753" s="149">
        <v>-200000</v>
      </c>
      <c r="G753" s="147" t="s">
        <v>116</v>
      </c>
      <c r="H753" s="148">
        <v>487</v>
      </c>
      <c r="I753" s="148" t="s">
        <v>123</v>
      </c>
      <c r="J753" s="147" t="s">
        <v>124</v>
      </c>
      <c r="K753" s="149">
        <f>+K752+Tabla6[[#This Row],[IMPORTE]]</f>
        <v>112522669.52000004</v>
      </c>
      <c r="L753" s="178" t="s">
        <v>714</v>
      </c>
      <c r="M753" s="174" t="s">
        <v>91</v>
      </c>
    </row>
    <row r="754" spans="2:13" x14ac:dyDescent="0.35">
      <c r="B754" s="173" t="s">
        <v>115</v>
      </c>
      <c r="C754" s="146">
        <v>46044</v>
      </c>
      <c r="D754" s="148">
        <v>9356924</v>
      </c>
      <c r="E754" s="148">
        <v>66</v>
      </c>
      <c r="F754" s="149">
        <v>-200000</v>
      </c>
      <c r="G754" s="147" t="s">
        <v>116</v>
      </c>
      <c r="H754" s="148">
        <v>487</v>
      </c>
      <c r="I754" s="148" t="s">
        <v>123</v>
      </c>
      <c r="J754" s="147" t="s">
        <v>124</v>
      </c>
      <c r="K754" s="149">
        <f>+K753+Tabla6[[#This Row],[IMPORTE]]</f>
        <v>112322669.52000004</v>
      </c>
      <c r="L754" s="178" t="s">
        <v>714</v>
      </c>
      <c r="M754" s="174" t="s">
        <v>91</v>
      </c>
    </row>
    <row r="755" spans="2:13" x14ac:dyDescent="0.35">
      <c r="B755" s="173" t="s">
        <v>115</v>
      </c>
      <c r="C755" s="146">
        <v>46044</v>
      </c>
      <c r="D755" s="148">
        <v>9357082</v>
      </c>
      <c r="E755" s="148">
        <v>66</v>
      </c>
      <c r="F755" s="149">
        <v>-200000</v>
      </c>
      <c r="G755" s="147" t="s">
        <v>116</v>
      </c>
      <c r="H755" s="148">
        <v>487</v>
      </c>
      <c r="I755" s="148" t="s">
        <v>123</v>
      </c>
      <c r="J755" s="147" t="s">
        <v>124</v>
      </c>
      <c r="K755" s="149">
        <f>+K754+Tabla6[[#This Row],[IMPORTE]]</f>
        <v>112122669.52000004</v>
      </c>
      <c r="L755" s="178" t="s">
        <v>714</v>
      </c>
      <c r="M755" s="174" t="s">
        <v>91</v>
      </c>
    </row>
    <row r="756" spans="2:13" x14ac:dyDescent="0.35">
      <c r="B756" s="173" t="s">
        <v>115</v>
      </c>
      <c r="C756" s="146">
        <v>46044</v>
      </c>
      <c r="D756" s="148">
        <v>9356872</v>
      </c>
      <c r="E756" s="148">
        <v>66</v>
      </c>
      <c r="F756" s="149">
        <v>-200000</v>
      </c>
      <c r="G756" s="147" t="s">
        <v>116</v>
      </c>
      <c r="H756" s="148">
        <v>487</v>
      </c>
      <c r="I756" s="148" t="s">
        <v>123</v>
      </c>
      <c r="J756" s="147" t="s">
        <v>124</v>
      </c>
      <c r="K756" s="149">
        <f>+K755+Tabla6[[#This Row],[IMPORTE]]</f>
        <v>111922669.52000004</v>
      </c>
      <c r="L756" s="178" t="s">
        <v>714</v>
      </c>
      <c r="M756" s="174" t="s">
        <v>91</v>
      </c>
    </row>
    <row r="757" spans="2:13" x14ac:dyDescent="0.35">
      <c r="B757" s="173" t="s">
        <v>115</v>
      </c>
      <c r="C757" s="146">
        <v>46044</v>
      </c>
      <c r="D757" s="148">
        <v>9357113</v>
      </c>
      <c r="E757" s="148">
        <v>66</v>
      </c>
      <c r="F757" s="149">
        <v>-200000</v>
      </c>
      <c r="G757" s="147" t="s">
        <v>116</v>
      </c>
      <c r="H757" s="148">
        <v>487</v>
      </c>
      <c r="I757" s="148" t="s">
        <v>123</v>
      </c>
      <c r="J757" s="147" t="s">
        <v>124</v>
      </c>
      <c r="K757" s="149">
        <f>+K756+Tabla6[[#This Row],[IMPORTE]]</f>
        <v>111722669.52000004</v>
      </c>
      <c r="L757" s="178" t="s">
        <v>714</v>
      </c>
      <c r="M757" s="174" t="s">
        <v>91</v>
      </c>
    </row>
    <row r="758" spans="2:13" x14ac:dyDescent="0.35">
      <c r="B758" s="173" t="s">
        <v>115</v>
      </c>
      <c r="C758" s="146">
        <v>46044</v>
      </c>
      <c r="D758" s="148">
        <v>9356860</v>
      </c>
      <c r="E758" s="148">
        <v>66</v>
      </c>
      <c r="F758" s="149">
        <v>-200000</v>
      </c>
      <c r="G758" s="147" t="s">
        <v>116</v>
      </c>
      <c r="H758" s="148">
        <v>488</v>
      </c>
      <c r="I758" s="148" t="s">
        <v>123</v>
      </c>
      <c r="J758" s="147" t="s">
        <v>124</v>
      </c>
      <c r="K758" s="149">
        <f>+K757+Tabla6[[#This Row],[IMPORTE]]</f>
        <v>111522669.52000004</v>
      </c>
      <c r="L758" s="178" t="s">
        <v>714</v>
      </c>
      <c r="M758" s="174" t="s">
        <v>91</v>
      </c>
    </row>
    <row r="759" spans="2:13" x14ac:dyDescent="0.35">
      <c r="B759" s="173" t="s">
        <v>115</v>
      </c>
      <c r="C759" s="146">
        <v>46044</v>
      </c>
      <c r="D759" s="148">
        <v>9356914</v>
      </c>
      <c r="E759" s="148">
        <v>66</v>
      </c>
      <c r="F759" s="149">
        <v>-200000</v>
      </c>
      <c r="G759" s="147" t="s">
        <v>116</v>
      </c>
      <c r="H759" s="148">
        <v>488</v>
      </c>
      <c r="I759" s="148" t="s">
        <v>123</v>
      </c>
      <c r="J759" s="147" t="s">
        <v>124</v>
      </c>
      <c r="K759" s="149">
        <f>+K758+Tabla6[[#This Row],[IMPORTE]]</f>
        <v>111322669.52000004</v>
      </c>
      <c r="L759" s="178" t="s">
        <v>714</v>
      </c>
      <c r="M759" s="174" t="s">
        <v>91</v>
      </c>
    </row>
    <row r="760" spans="2:13" x14ac:dyDescent="0.35">
      <c r="B760" s="173" t="s">
        <v>115</v>
      </c>
      <c r="C760" s="146">
        <v>46044</v>
      </c>
      <c r="D760" s="148">
        <v>9356991</v>
      </c>
      <c r="E760" s="148">
        <v>66</v>
      </c>
      <c r="F760" s="149">
        <v>-200000</v>
      </c>
      <c r="G760" s="147" t="s">
        <v>116</v>
      </c>
      <c r="H760" s="148">
        <v>488</v>
      </c>
      <c r="I760" s="148" t="s">
        <v>123</v>
      </c>
      <c r="J760" s="147" t="s">
        <v>124</v>
      </c>
      <c r="K760" s="149">
        <f>+K759+Tabla6[[#This Row],[IMPORTE]]</f>
        <v>111122669.52000004</v>
      </c>
      <c r="L760" s="178" t="s">
        <v>714</v>
      </c>
      <c r="M760" s="174" t="s">
        <v>91</v>
      </c>
    </row>
    <row r="761" spans="2:13" x14ac:dyDescent="0.35">
      <c r="B761" s="173" t="s">
        <v>115</v>
      </c>
      <c r="C761" s="146">
        <v>46044</v>
      </c>
      <c r="D761" s="148">
        <v>9356856</v>
      </c>
      <c r="E761" s="148">
        <v>66</v>
      </c>
      <c r="F761" s="149">
        <v>-200000</v>
      </c>
      <c r="G761" s="147" t="s">
        <v>116</v>
      </c>
      <c r="H761" s="148">
        <v>488</v>
      </c>
      <c r="I761" s="148" t="s">
        <v>123</v>
      </c>
      <c r="J761" s="147" t="s">
        <v>124</v>
      </c>
      <c r="K761" s="149">
        <f>+K760+Tabla6[[#This Row],[IMPORTE]]</f>
        <v>110922669.52000004</v>
      </c>
      <c r="L761" s="178" t="s">
        <v>714</v>
      </c>
      <c r="M761" s="174" t="s">
        <v>91</v>
      </c>
    </row>
    <row r="762" spans="2:13" x14ac:dyDescent="0.35">
      <c r="B762" s="173" t="s">
        <v>115</v>
      </c>
      <c r="C762" s="146">
        <v>46044</v>
      </c>
      <c r="D762" s="148">
        <v>9356957</v>
      </c>
      <c r="E762" s="148">
        <v>66</v>
      </c>
      <c r="F762" s="149">
        <v>-200000</v>
      </c>
      <c r="G762" s="147" t="s">
        <v>116</v>
      </c>
      <c r="H762" s="148">
        <v>488</v>
      </c>
      <c r="I762" s="148" t="s">
        <v>123</v>
      </c>
      <c r="J762" s="147" t="s">
        <v>124</v>
      </c>
      <c r="K762" s="149">
        <f>+K761+Tabla6[[#This Row],[IMPORTE]]</f>
        <v>110722669.52000004</v>
      </c>
      <c r="L762" s="178" t="s">
        <v>714</v>
      </c>
      <c r="M762" s="174" t="s">
        <v>91</v>
      </c>
    </row>
    <row r="763" spans="2:13" x14ac:dyDescent="0.35">
      <c r="B763" s="173" t="s">
        <v>115</v>
      </c>
      <c r="C763" s="146">
        <v>46044</v>
      </c>
      <c r="D763" s="148">
        <v>9357149</v>
      </c>
      <c r="E763" s="148">
        <v>66</v>
      </c>
      <c r="F763" s="149">
        <v>-200000</v>
      </c>
      <c r="G763" s="147" t="s">
        <v>116</v>
      </c>
      <c r="H763" s="148">
        <v>488</v>
      </c>
      <c r="I763" s="148" t="s">
        <v>123</v>
      </c>
      <c r="J763" s="147" t="s">
        <v>124</v>
      </c>
      <c r="K763" s="149">
        <f>+K762+Tabla6[[#This Row],[IMPORTE]]</f>
        <v>110522669.52000004</v>
      </c>
      <c r="L763" s="178" t="s">
        <v>714</v>
      </c>
      <c r="M763" s="174" t="s">
        <v>91</v>
      </c>
    </row>
    <row r="764" spans="2:13" x14ac:dyDescent="0.35">
      <c r="B764" s="173" t="s">
        <v>115</v>
      </c>
      <c r="C764" s="146">
        <v>46044</v>
      </c>
      <c r="D764" s="148">
        <v>9356897</v>
      </c>
      <c r="E764" s="148">
        <v>66</v>
      </c>
      <c r="F764" s="149">
        <v>-200000</v>
      </c>
      <c r="G764" s="147" t="s">
        <v>116</v>
      </c>
      <c r="H764" s="148">
        <v>488</v>
      </c>
      <c r="I764" s="148" t="s">
        <v>123</v>
      </c>
      <c r="J764" s="147" t="s">
        <v>124</v>
      </c>
      <c r="K764" s="149">
        <f>+K763+Tabla6[[#This Row],[IMPORTE]]</f>
        <v>110322669.52000004</v>
      </c>
      <c r="L764" s="178" t="s">
        <v>714</v>
      </c>
      <c r="M764" s="174" t="s">
        <v>91</v>
      </c>
    </row>
    <row r="765" spans="2:13" x14ac:dyDescent="0.35">
      <c r="B765" s="173" t="s">
        <v>115</v>
      </c>
      <c r="C765" s="146">
        <v>46044</v>
      </c>
      <c r="D765" s="148">
        <v>9356939</v>
      </c>
      <c r="E765" s="148">
        <v>66</v>
      </c>
      <c r="F765" s="149">
        <v>-200000</v>
      </c>
      <c r="G765" s="147" t="s">
        <v>116</v>
      </c>
      <c r="H765" s="148">
        <v>488</v>
      </c>
      <c r="I765" s="148" t="s">
        <v>123</v>
      </c>
      <c r="J765" s="147" t="s">
        <v>124</v>
      </c>
      <c r="K765" s="149">
        <f>+K764+Tabla6[[#This Row],[IMPORTE]]</f>
        <v>110122669.52000004</v>
      </c>
      <c r="L765" s="178" t="s">
        <v>714</v>
      </c>
      <c r="M765" s="174" t="s">
        <v>91</v>
      </c>
    </row>
    <row r="766" spans="2:13" x14ac:dyDescent="0.35">
      <c r="B766" s="173" t="s">
        <v>115</v>
      </c>
      <c r="C766" s="146">
        <v>46044</v>
      </c>
      <c r="D766" s="148">
        <v>9356901</v>
      </c>
      <c r="E766" s="148">
        <v>66</v>
      </c>
      <c r="F766" s="149">
        <v>-200000</v>
      </c>
      <c r="G766" s="147" t="s">
        <v>116</v>
      </c>
      <c r="H766" s="148">
        <v>488</v>
      </c>
      <c r="I766" s="148" t="s">
        <v>123</v>
      </c>
      <c r="J766" s="147" t="s">
        <v>124</v>
      </c>
      <c r="K766" s="149">
        <f>+K765+Tabla6[[#This Row],[IMPORTE]]</f>
        <v>109922669.52000004</v>
      </c>
      <c r="L766" s="178" t="s">
        <v>714</v>
      </c>
      <c r="M766" s="174" t="s">
        <v>91</v>
      </c>
    </row>
    <row r="767" spans="2:13" x14ac:dyDescent="0.35">
      <c r="B767" s="173" t="s">
        <v>115</v>
      </c>
      <c r="C767" s="146">
        <v>46044</v>
      </c>
      <c r="D767" s="148">
        <v>9352488</v>
      </c>
      <c r="E767" s="148">
        <v>66</v>
      </c>
      <c r="F767" s="149">
        <v>-200000</v>
      </c>
      <c r="G767" s="147" t="s">
        <v>116</v>
      </c>
      <c r="H767" s="148">
        <v>488</v>
      </c>
      <c r="I767" s="148" t="s">
        <v>123</v>
      </c>
      <c r="J767" s="147" t="s">
        <v>124</v>
      </c>
      <c r="K767" s="149">
        <f>+K766+Tabla6[[#This Row],[IMPORTE]]</f>
        <v>109722669.52000004</v>
      </c>
      <c r="L767" s="178" t="s">
        <v>714</v>
      </c>
      <c r="M767" s="174" t="s">
        <v>91</v>
      </c>
    </row>
    <row r="768" spans="2:13" x14ac:dyDescent="0.35">
      <c r="B768" s="173" t="s">
        <v>115</v>
      </c>
      <c r="C768" s="146">
        <v>46044</v>
      </c>
      <c r="D768" s="148">
        <v>9352403</v>
      </c>
      <c r="E768" s="148">
        <v>66</v>
      </c>
      <c r="F768" s="149">
        <v>-200000</v>
      </c>
      <c r="G768" s="147" t="s">
        <v>116</v>
      </c>
      <c r="H768" s="148">
        <v>488</v>
      </c>
      <c r="I768" s="148" t="s">
        <v>123</v>
      </c>
      <c r="J768" s="147" t="s">
        <v>124</v>
      </c>
      <c r="K768" s="149">
        <f>+K767+Tabla6[[#This Row],[IMPORTE]]</f>
        <v>109522669.52000004</v>
      </c>
      <c r="L768" s="178" t="s">
        <v>714</v>
      </c>
      <c r="M768" s="174" t="s">
        <v>91</v>
      </c>
    </row>
    <row r="769" spans="2:13" x14ac:dyDescent="0.35">
      <c r="B769" s="173" t="s">
        <v>115</v>
      </c>
      <c r="C769" s="146">
        <v>46044</v>
      </c>
      <c r="D769" s="148">
        <v>9352275</v>
      </c>
      <c r="E769" s="148">
        <v>66</v>
      </c>
      <c r="F769" s="149">
        <v>-200000</v>
      </c>
      <c r="G769" s="147" t="s">
        <v>116</v>
      </c>
      <c r="H769" s="148">
        <v>488</v>
      </c>
      <c r="I769" s="148" t="s">
        <v>123</v>
      </c>
      <c r="J769" s="147" t="s">
        <v>124</v>
      </c>
      <c r="K769" s="149">
        <f>+K768+Tabla6[[#This Row],[IMPORTE]]</f>
        <v>109322669.52000004</v>
      </c>
      <c r="L769" s="178" t="s">
        <v>714</v>
      </c>
      <c r="M769" s="174" t="s">
        <v>91</v>
      </c>
    </row>
    <row r="770" spans="2:13" x14ac:dyDescent="0.35">
      <c r="B770" s="173" t="s">
        <v>115</v>
      </c>
      <c r="C770" s="146">
        <v>46044</v>
      </c>
      <c r="D770" s="148">
        <v>9352385</v>
      </c>
      <c r="E770" s="148">
        <v>66</v>
      </c>
      <c r="F770" s="149">
        <v>-200000</v>
      </c>
      <c r="G770" s="147" t="s">
        <v>116</v>
      </c>
      <c r="H770" s="148">
        <v>488</v>
      </c>
      <c r="I770" s="148" t="s">
        <v>123</v>
      </c>
      <c r="J770" s="147" t="s">
        <v>124</v>
      </c>
      <c r="K770" s="149">
        <f>+K769+Tabla6[[#This Row],[IMPORTE]]</f>
        <v>109122669.52000004</v>
      </c>
      <c r="L770" s="178" t="s">
        <v>714</v>
      </c>
      <c r="M770" s="174" t="s">
        <v>91</v>
      </c>
    </row>
    <row r="771" spans="2:13" x14ac:dyDescent="0.35">
      <c r="B771" s="173" t="s">
        <v>115</v>
      </c>
      <c r="C771" s="146">
        <v>46044</v>
      </c>
      <c r="D771" s="148">
        <v>9352328</v>
      </c>
      <c r="E771" s="148">
        <v>66</v>
      </c>
      <c r="F771" s="149">
        <v>-200000</v>
      </c>
      <c r="G771" s="147" t="s">
        <v>116</v>
      </c>
      <c r="H771" s="148">
        <v>488</v>
      </c>
      <c r="I771" s="148" t="s">
        <v>123</v>
      </c>
      <c r="J771" s="147" t="s">
        <v>124</v>
      </c>
      <c r="K771" s="149">
        <f>+K770+Tabla6[[#This Row],[IMPORTE]]</f>
        <v>108922669.52000004</v>
      </c>
      <c r="L771" s="178" t="s">
        <v>714</v>
      </c>
      <c r="M771" s="174" t="s">
        <v>91</v>
      </c>
    </row>
    <row r="772" spans="2:13" x14ac:dyDescent="0.35">
      <c r="B772" s="173" t="s">
        <v>115</v>
      </c>
      <c r="C772" s="146">
        <v>46044</v>
      </c>
      <c r="D772" s="148">
        <v>9352293</v>
      </c>
      <c r="E772" s="148">
        <v>66</v>
      </c>
      <c r="F772" s="149">
        <v>-200000</v>
      </c>
      <c r="G772" s="147" t="s">
        <v>116</v>
      </c>
      <c r="H772" s="148">
        <v>488</v>
      </c>
      <c r="I772" s="148" t="s">
        <v>123</v>
      </c>
      <c r="J772" s="147" t="s">
        <v>124</v>
      </c>
      <c r="K772" s="149">
        <f>+K771+Tabla6[[#This Row],[IMPORTE]]</f>
        <v>108722669.52000004</v>
      </c>
      <c r="L772" s="178" t="s">
        <v>714</v>
      </c>
      <c r="M772" s="174" t="s">
        <v>91</v>
      </c>
    </row>
    <row r="773" spans="2:13" x14ac:dyDescent="0.35">
      <c r="B773" s="173" t="s">
        <v>115</v>
      </c>
      <c r="C773" s="146">
        <v>46044</v>
      </c>
      <c r="D773" s="148">
        <v>9352353</v>
      </c>
      <c r="E773" s="148">
        <v>66</v>
      </c>
      <c r="F773" s="149">
        <v>-200000</v>
      </c>
      <c r="G773" s="147" t="s">
        <v>116</v>
      </c>
      <c r="H773" s="148">
        <v>488</v>
      </c>
      <c r="I773" s="148" t="s">
        <v>123</v>
      </c>
      <c r="J773" s="147" t="s">
        <v>124</v>
      </c>
      <c r="K773" s="149">
        <f>+K772+Tabla6[[#This Row],[IMPORTE]]</f>
        <v>108522669.52000004</v>
      </c>
      <c r="L773" s="178" t="s">
        <v>714</v>
      </c>
      <c r="M773" s="174" t="s">
        <v>91</v>
      </c>
    </row>
    <row r="774" spans="2:13" x14ac:dyDescent="0.35">
      <c r="B774" s="173" t="s">
        <v>115</v>
      </c>
      <c r="C774" s="146">
        <v>46044</v>
      </c>
      <c r="D774" s="148">
        <v>9352372</v>
      </c>
      <c r="E774" s="148">
        <v>66</v>
      </c>
      <c r="F774" s="149">
        <v>-200000</v>
      </c>
      <c r="G774" s="147" t="s">
        <v>116</v>
      </c>
      <c r="H774" s="148">
        <v>488</v>
      </c>
      <c r="I774" s="148" t="s">
        <v>123</v>
      </c>
      <c r="J774" s="147" t="s">
        <v>124</v>
      </c>
      <c r="K774" s="149">
        <f>+K773+Tabla6[[#This Row],[IMPORTE]]</f>
        <v>108322669.52000004</v>
      </c>
      <c r="L774" s="178" t="s">
        <v>714</v>
      </c>
      <c r="M774" s="174" t="s">
        <v>91</v>
      </c>
    </row>
    <row r="775" spans="2:13" x14ac:dyDescent="0.35">
      <c r="B775" s="173" t="s">
        <v>115</v>
      </c>
      <c r="C775" s="146">
        <v>46044</v>
      </c>
      <c r="D775" s="148">
        <v>9352680</v>
      </c>
      <c r="E775" s="148">
        <v>66</v>
      </c>
      <c r="F775" s="149">
        <v>-200000</v>
      </c>
      <c r="G775" s="147" t="s">
        <v>116</v>
      </c>
      <c r="H775" s="148">
        <v>488</v>
      </c>
      <c r="I775" s="148" t="s">
        <v>123</v>
      </c>
      <c r="J775" s="147" t="s">
        <v>124</v>
      </c>
      <c r="K775" s="149">
        <f>+K774+Tabla6[[#This Row],[IMPORTE]]</f>
        <v>108122669.52000004</v>
      </c>
      <c r="L775" s="178" t="s">
        <v>714</v>
      </c>
      <c r="M775" s="174" t="s">
        <v>91</v>
      </c>
    </row>
    <row r="776" spans="2:13" x14ac:dyDescent="0.35">
      <c r="B776" s="173" t="s">
        <v>115</v>
      </c>
      <c r="C776" s="146">
        <v>46044</v>
      </c>
      <c r="D776" s="148">
        <v>9352498</v>
      </c>
      <c r="E776" s="148">
        <v>66</v>
      </c>
      <c r="F776" s="149">
        <v>-200000</v>
      </c>
      <c r="G776" s="147" t="s">
        <v>116</v>
      </c>
      <c r="H776" s="148">
        <v>488</v>
      </c>
      <c r="I776" s="148" t="s">
        <v>123</v>
      </c>
      <c r="J776" s="147" t="s">
        <v>124</v>
      </c>
      <c r="K776" s="149">
        <f>+K775+Tabla6[[#This Row],[IMPORTE]]</f>
        <v>107922669.52000004</v>
      </c>
      <c r="L776" s="178" t="s">
        <v>714</v>
      </c>
      <c r="M776" s="174" t="s">
        <v>91</v>
      </c>
    </row>
    <row r="777" spans="2:13" x14ac:dyDescent="0.35">
      <c r="B777" s="173" t="s">
        <v>115</v>
      </c>
      <c r="C777" s="146">
        <v>46044</v>
      </c>
      <c r="D777" s="148">
        <v>9352331</v>
      </c>
      <c r="E777" s="148">
        <v>66</v>
      </c>
      <c r="F777" s="149">
        <v>-200000</v>
      </c>
      <c r="G777" s="147" t="s">
        <v>116</v>
      </c>
      <c r="H777" s="148">
        <v>488</v>
      </c>
      <c r="I777" s="148" t="s">
        <v>123</v>
      </c>
      <c r="J777" s="147" t="s">
        <v>124</v>
      </c>
      <c r="K777" s="149">
        <f>+K776+Tabla6[[#This Row],[IMPORTE]]</f>
        <v>107722669.52000004</v>
      </c>
      <c r="L777" s="178" t="s">
        <v>714</v>
      </c>
      <c r="M777" s="174" t="s">
        <v>91</v>
      </c>
    </row>
    <row r="778" spans="2:13" x14ac:dyDescent="0.35">
      <c r="B778" s="173" t="s">
        <v>115</v>
      </c>
      <c r="C778" s="146">
        <v>46044</v>
      </c>
      <c r="D778" s="148">
        <v>9352306</v>
      </c>
      <c r="E778" s="148">
        <v>66</v>
      </c>
      <c r="F778" s="149">
        <v>-200000</v>
      </c>
      <c r="G778" s="147" t="s">
        <v>116</v>
      </c>
      <c r="H778" s="148">
        <v>488</v>
      </c>
      <c r="I778" s="148" t="s">
        <v>123</v>
      </c>
      <c r="J778" s="147" t="s">
        <v>124</v>
      </c>
      <c r="K778" s="149">
        <f>+K777+Tabla6[[#This Row],[IMPORTE]]</f>
        <v>107522669.52000004</v>
      </c>
      <c r="L778" s="178" t="s">
        <v>714</v>
      </c>
      <c r="M778" s="174" t="s">
        <v>91</v>
      </c>
    </row>
    <row r="779" spans="2:13" x14ac:dyDescent="0.35">
      <c r="B779" s="173" t="s">
        <v>115</v>
      </c>
      <c r="C779" s="146">
        <v>46044</v>
      </c>
      <c r="D779" s="148">
        <v>9352366</v>
      </c>
      <c r="E779" s="148">
        <v>66</v>
      </c>
      <c r="F779" s="149">
        <v>-200000</v>
      </c>
      <c r="G779" s="147" t="s">
        <v>116</v>
      </c>
      <c r="H779" s="148">
        <v>488</v>
      </c>
      <c r="I779" s="148" t="s">
        <v>123</v>
      </c>
      <c r="J779" s="147" t="s">
        <v>124</v>
      </c>
      <c r="K779" s="149">
        <f>+K778+Tabla6[[#This Row],[IMPORTE]]</f>
        <v>107322669.52000004</v>
      </c>
      <c r="L779" s="178" t="s">
        <v>714</v>
      </c>
      <c r="M779" s="174" t="s">
        <v>91</v>
      </c>
    </row>
    <row r="780" spans="2:13" x14ac:dyDescent="0.35">
      <c r="B780" s="173" t="s">
        <v>115</v>
      </c>
      <c r="C780" s="146">
        <v>46044</v>
      </c>
      <c r="D780" s="148">
        <v>9352348</v>
      </c>
      <c r="E780" s="148">
        <v>66</v>
      </c>
      <c r="F780" s="149">
        <v>-200000</v>
      </c>
      <c r="G780" s="147" t="s">
        <v>116</v>
      </c>
      <c r="H780" s="148">
        <v>488</v>
      </c>
      <c r="I780" s="148" t="s">
        <v>123</v>
      </c>
      <c r="J780" s="147" t="s">
        <v>124</v>
      </c>
      <c r="K780" s="149">
        <f>+K779+Tabla6[[#This Row],[IMPORTE]]</f>
        <v>107122669.52000004</v>
      </c>
      <c r="L780" s="178" t="s">
        <v>714</v>
      </c>
      <c r="M780" s="174" t="s">
        <v>91</v>
      </c>
    </row>
    <row r="781" spans="2:13" x14ac:dyDescent="0.35">
      <c r="B781" s="173" t="s">
        <v>115</v>
      </c>
      <c r="C781" s="146">
        <v>46044</v>
      </c>
      <c r="D781" s="148">
        <v>9352648</v>
      </c>
      <c r="E781" s="148">
        <v>66</v>
      </c>
      <c r="F781" s="149">
        <v>-200000</v>
      </c>
      <c r="G781" s="147" t="s">
        <v>116</v>
      </c>
      <c r="H781" s="148">
        <v>488</v>
      </c>
      <c r="I781" s="148" t="s">
        <v>123</v>
      </c>
      <c r="J781" s="147" t="s">
        <v>124</v>
      </c>
      <c r="K781" s="149">
        <f>+K780+Tabla6[[#This Row],[IMPORTE]]</f>
        <v>106922669.52000004</v>
      </c>
      <c r="L781" s="178" t="s">
        <v>714</v>
      </c>
      <c r="M781" s="174" t="s">
        <v>91</v>
      </c>
    </row>
    <row r="782" spans="2:13" x14ac:dyDescent="0.35">
      <c r="B782" s="173" t="s">
        <v>115</v>
      </c>
      <c r="C782" s="146">
        <v>46044</v>
      </c>
      <c r="D782" s="148">
        <v>9352374</v>
      </c>
      <c r="E782" s="148">
        <v>66</v>
      </c>
      <c r="F782" s="149">
        <v>-200000</v>
      </c>
      <c r="G782" s="147" t="s">
        <v>116</v>
      </c>
      <c r="H782" s="148">
        <v>488</v>
      </c>
      <c r="I782" s="148" t="s">
        <v>123</v>
      </c>
      <c r="J782" s="147" t="s">
        <v>124</v>
      </c>
      <c r="K782" s="149">
        <f>+K781+Tabla6[[#This Row],[IMPORTE]]</f>
        <v>106722669.52000004</v>
      </c>
      <c r="L782" s="178" t="s">
        <v>714</v>
      </c>
      <c r="M782" s="174" t="s">
        <v>91</v>
      </c>
    </row>
    <row r="783" spans="2:13" x14ac:dyDescent="0.35">
      <c r="B783" s="173" t="s">
        <v>115</v>
      </c>
      <c r="C783" s="146">
        <v>46044</v>
      </c>
      <c r="D783" s="148">
        <v>9352415</v>
      </c>
      <c r="E783" s="148">
        <v>66</v>
      </c>
      <c r="F783" s="149">
        <v>-200000</v>
      </c>
      <c r="G783" s="147" t="s">
        <v>116</v>
      </c>
      <c r="H783" s="148">
        <v>488</v>
      </c>
      <c r="I783" s="148" t="s">
        <v>123</v>
      </c>
      <c r="J783" s="147" t="s">
        <v>124</v>
      </c>
      <c r="K783" s="149">
        <f>+K782+Tabla6[[#This Row],[IMPORTE]]</f>
        <v>106522669.52000004</v>
      </c>
      <c r="L783" s="178" t="s">
        <v>714</v>
      </c>
      <c r="M783" s="174" t="s">
        <v>91</v>
      </c>
    </row>
    <row r="784" spans="2:13" x14ac:dyDescent="0.35">
      <c r="B784" s="173" t="s">
        <v>115</v>
      </c>
      <c r="C784" s="146">
        <v>46044</v>
      </c>
      <c r="D784" s="148">
        <v>9352278</v>
      </c>
      <c r="E784" s="148">
        <v>66</v>
      </c>
      <c r="F784" s="149">
        <v>-200000</v>
      </c>
      <c r="G784" s="147" t="s">
        <v>116</v>
      </c>
      <c r="H784" s="148">
        <v>488</v>
      </c>
      <c r="I784" s="148" t="s">
        <v>123</v>
      </c>
      <c r="J784" s="147" t="s">
        <v>124</v>
      </c>
      <c r="K784" s="149">
        <f>+K783+Tabla6[[#This Row],[IMPORTE]]</f>
        <v>106322669.52000004</v>
      </c>
      <c r="L784" s="178" t="s">
        <v>714</v>
      </c>
      <c r="M784" s="174" t="s">
        <v>91</v>
      </c>
    </row>
    <row r="785" spans="2:13" x14ac:dyDescent="0.35">
      <c r="B785" s="173" t="s">
        <v>115</v>
      </c>
      <c r="C785" s="146">
        <v>46044</v>
      </c>
      <c r="D785" s="148">
        <v>9352632</v>
      </c>
      <c r="E785" s="148">
        <v>66</v>
      </c>
      <c r="F785" s="149">
        <v>-200000</v>
      </c>
      <c r="G785" s="147" t="s">
        <v>116</v>
      </c>
      <c r="H785" s="148">
        <v>488</v>
      </c>
      <c r="I785" s="148" t="s">
        <v>123</v>
      </c>
      <c r="J785" s="147" t="s">
        <v>124</v>
      </c>
      <c r="K785" s="149">
        <f>+K784+Tabla6[[#This Row],[IMPORTE]]</f>
        <v>106122669.52000004</v>
      </c>
      <c r="L785" s="178" t="s">
        <v>714</v>
      </c>
      <c r="M785" s="174" t="s">
        <v>91</v>
      </c>
    </row>
    <row r="786" spans="2:13" x14ac:dyDescent="0.35">
      <c r="B786" s="173" t="s">
        <v>115</v>
      </c>
      <c r="C786" s="146">
        <v>46044</v>
      </c>
      <c r="D786" s="148">
        <v>9352588</v>
      </c>
      <c r="E786" s="148">
        <v>66</v>
      </c>
      <c r="F786" s="149">
        <v>-200000</v>
      </c>
      <c r="G786" s="147" t="s">
        <v>116</v>
      </c>
      <c r="H786" s="148">
        <v>488</v>
      </c>
      <c r="I786" s="148" t="s">
        <v>123</v>
      </c>
      <c r="J786" s="147" t="s">
        <v>124</v>
      </c>
      <c r="K786" s="149">
        <f>+K785+Tabla6[[#This Row],[IMPORTE]]</f>
        <v>105922669.52000004</v>
      </c>
      <c r="L786" s="178" t="s">
        <v>714</v>
      </c>
      <c r="M786" s="174" t="s">
        <v>91</v>
      </c>
    </row>
    <row r="787" spans="2:13" x14ac:dyDescent="0.35">
      <c r="B787" s="173" t="s">
        <v>115</v>
      </c>
      <c r="C787" s="146">
        <v>46044</v>
      </c>
      <c r="D787" s="148">
        <v>9352319</v>
      </c>
      <c r="E787" s="148">
        <v>66</v>
      </c>
      <c r="F787" s="149">
        <v>-200000</v>
      </c>
      <c r="G787" s="147" t="s">
        <v>116</v>
      </c>
      <c r="H787" s="148">
        <v>488</v>
      </c>
      <c r="I787" s="148" t="s">
        <v>123</v>
      </c>
      <c r="J787" s="147" t="s">
        <v>124</v>
      </c>
      <c r="K787" s="149">
        <f>+K786+Tabla6[[#This Row],[IMPORTE]]</f>
        <v>105722669.52000004</v>
      </c>
      <c r="L787" s="178" t="s">
        <v>714</v>
      </c>
      <c r="M787" s="174" t="s">
        <v>91</v>
      </c>
    </row>
    <row r="788" spans="2:13" x14ac:dyDescent="0.35">
      <c r="B788" s="173" t="s">
        <v>115</v>
      </c>
      <c r="C788" s="146">
        <v>46044</v>
      </c>
      <c r="D788" s="148">
        <v>9352341</v>
      </c>
      <c r="E788" s="148">
        <v>66</v>
      </c>
      <c r="F788" s="149">
        <v>-200000</v>
      </c>
      <c r="G788" s="147" t="s">
        <v>116</v>
      </c>
      <c r="H788" s="148">
        <v>488</v>
      </c>
      <c r="I788" s="148" t="s">
        <v>123</v>
      </c>
      <c r="J788" s="147" t="s">
        <v>124</v>
      </c>
      <c r="K788" s="149">
        <f>+K787+Tabla6[[#This Row],[IMPORTE]]</f>
        <v>105522669.52000004</v>
      </c>
      <c r="L788" s="178" t="s">
        <v>714</v>
      </c>
      <c r="M788" s="174" t="s">
        <v>91</v>
      </c>
    </row>
    <row r="789" spans="2:13" x14ac:dyDescent="0.35">
      <c r="B789" s="173" t="s">
        <v>115</v>
      </c>
      <c r="C789" s="146">
        <v>46044</v>
      </c>
      <c r="D789" s="148">
        <v>9352491</v>
      </c>
      <c r="E789" s="148">
        <v>66</v>
      </c>
      <c r="F789" s="149">
        <v>-200000</v>
      </c>
      <c r="G789" s="147" t="s">
        <v>116</v>
      </c>
      <c r="H789" s="148">
        <v>488</v>
      </c>
      <c r="I789" s="148" t="s">
        <v>123</v>
      </c>
      <c r="J789" s="147" t="s">
        <v>124</v>
      </c>
      <c r="K789" s="149">
        <f>+K788+Tabla6[[#This Row],[IMPORTE]]</f>
        <v>105322669.52000004</v>
      </c>
      <c r="L789" s="178" t="s">
        <v>714</v>
      </c>
      <c r="M789" s="174" t="s">
        <v>91</v>
      </c>
    </row>
    <row r="790" spans="2:13" x14ac:dyDescent="0.35">
      <c r="B790" s="173" t="s">
        <v>115</v>
      </c>
      <c r="C790" s="146">
        <v>46044</v>
      </c>
      <c r="D790" s="148">
        <v>9352637</v>
      </c>
      <c r="E790" s="148">
        <v>66</v>
      </c>
      <c r="F790" s="149">
        <v>-200000</v>
      </c>
      <c r="G790" s="147" t="s">
        <v>116</v>
      </c>
      <c r="H790" s="148">
        <v>488</v>
      </c>
      <c r="I790" s="148" t="s">
        <v>123</v>
      </c>
      <c r="J790" s="147" t="s">
        <v>124</v>
      </c>
      <c r="K790" s="149">
        <f>+K789+Tabla6[[#This Row],[IMPORTE]]</f>
        <v>105122669.52000004</v>
      </c>
      <c r="L790" s="178" t="s">
        <v>714</v>
      </c>
      <c r="M790" s="174" t="s">
        <v>91</v>
      </c>
    </row>
    <row r="791" spans="2:13" x14ac:dyDescent="0.35">
      <c r="B791" s="173" t="s">
        <v>115</v>
      </c>
      <c r="C791" s="146">
        <v>46044</v>
      </c>
      <c r="D791" s="148">
        <v>9352273</v>
      </c>
      <c r="E791" s="148">
        <v>66</v>
      </c>
      <c r="F791" s="149">
        <v>-200000</v>
      </c>
      <c r="G791" s="147" t="s">
        <v>116</v>
      </c>
      <c r="H791" s="148">
        <v>488</v>
      </c>
      <c r="I791" s="148" t="s">
        <v>123</v>
      </c>
      <c r="J791" s="147" t="s">
        <v>124</v>
      </c>
      <c r="K791" s="149">
        <f>+K790+Tabla6[[#This Row],[IMPORTE]]</f>
        <v>104922669.52000004</v>
      </c>
      <c r="L791" s="178" t="s">
        <v>714</v>
      </c>
      <c r="M791" s="174" t="s">
        <v>91</v>
      </c>
    </row>
    <row r="792" spans="2:13" x14ac:dyDescent="0.35">
      <c r="B792" s="173" t="s">
        <v>115</v>
      </c>
      <c r="C792" s="146">
        <v>46044</v>
      </c>
      <c r="D792" s="148">
        <v>9352526</v>
      </c>
      <c r="E792" s="148">
        <v>66</v>
      </c>
      <c r="F792" s="149">
        <v>-200000</v>
      </c>
      <c r="G792" s="147" t="s">
        <v>116</v>
      </c>
      <c r="H792" s="148">
        <v>488</v>
      </c>
      <c r="I792" s="148" t="s">
        <v>123</v>
      </c>
      <c r="J792" s="147" t="s">
        <v>124</v>
      </c>
      <c r="K792" s="149">
        <f>+K791+Tabla6[[#This Row],[IMPORTE]]</f>
        <v>104722669.52000004</v>
      </c>
      <c r="L792" s="178" t="s">
        <v>714</v>
      </c>
      <c r="M792" s="174" t="s">
        <v>91</v>
      </c>
    </row>
    <row r="793" spans="2:13" x14ac:dyDescent="0.35">
      <c r="B793" s="173" t="s">
        <v>115</v>
      </c>
      <c r="C793" s="146">
        <v>46044</v>
      </c>
      <c r="D793" s="148">
        <v>9352317</v>
      </c>
      <c r="E793" s="148">
        <v>66</v>
      </c>
      <c r="F793" s="149">
        <v>-200000</v>
      </c>
      <c r="G793" s="147" t="s">
        <v>116</v>
      </c>
      <c r="H793" s="148">
        <v>488</v>
      </c>
      <c r="I793" s="148" t="s">
        <v>123</v>
      </c>
      <c r="J793" s="147" t="s">
        <v>124</v>
      </c>
      <c r="K793" s="149">
        <f>+K792+Tabla6[[#This Row],[IMPORTE]]</f>
        <v>104522669.52000004</v>
      </c>
      <c r="L793" s="178" t="s">
        <v>714</v>
      </c>
      <c r="M793" s="174" t="s">
        <v>91</v>
      </c>
    </row>
    <row r="794" spans="2:13" x14ac:dyDescent="0.35">
      <c r="B794" s="173" t="s">
        <v>115</v>
      </c>
      <c r="C794" s="146">
        <v>46044</v>
      </c>
      <c r="D794" s="148">
        <v>9352598</v>
      </c>
      <c r="E794" s="148">
        <v>66</v>
      </c>
      <c r="F794" s="149">
        <v>-200000</v>
      </c>
      <c r="G794" s="147" t="s">
        <v>116</v>
      </c>
      <c r="H794" s="148">
        <v>488</v>
      </c>
      <c r="I794" s="148" t="s">
        <v>123</v>
      </c>
      <c r="J794" s="147" t="s">
        <v>124</v>
      </c>
      <c r="K794" s="149">
        <f>+K793+Tabla6[[#This Row],[IMPORTE]]</f>
        <v>104322669.52000004</v>
      </c>
      <c r="L794" s="178" t="s">
        <v>714</v>
      </c>
      <c r="M794" s="174" t="s">
        <v>91</v>
      </c>
    </row>
    <row r="795" spans="2:13" x14ac:dyDescent="0.35">
      <c r="B795" s="173" t="s">
        <v>115</v>
      </c>
      <c r="C795" s="146">
        <v>46044</v>
      </c>
      <c r="D795" s="148">
        <v>9352313</v>
      </c>
      <c r="E795" s="148">
        <v>66</v>
      </c>
      <c r="F795" s="149">
        <v>-200000</v>
      </c>
      <c r="G795" s="147" t="s">
        <v>116</v>
      </c>
      <c r="H795" s="148">
        <v>488</v>
      </c>
      <c r="I795" s="148" t="s">
        <v>123</v>
      </c>
      <c r="J795" s="147" t="s">
        <v>124</v>
      </c>
      <c r="K795" s="149">
        <f>+K794+Tabla6[[#This Row],[IMPORTE]]</f>
        <v>104122669.52000004</v>
      </c>
      <c r="L795" s="178" t="s">
        <v>714</v>
      </c>
      <c r="M795" s="174" t="s">
        <v>91</v>
      </c>
    </row>
    <row r="796" spans="2:13" x14ac:dyDescent="0.35">
      <c r="B796" s="173" t="s">
        <v>115</v>
      </c>
      <c r="C796" s="146">
        <v>46044</v>
      </c>
      <c r="D796" s="148">
        <v>9352309</v>
      </c>
      <c r="E796" s="148">
        <v>66</v>
      </c>
      <c r="F796" s="149">
        <v>-200000</v>
      </c>
      <c r="G796" s="147" t="s">
        <v>116</v>
      </c>
      <c r="H796" s="148">
        <v>488</v>
      </c>
      <c r="I796" s="148" t="s">
        <v>123</v>
      </c>
      <c r="J796" s="147" t="s">
        <v>124</v>
      </c>
      <c r="K796" s="149">
        <f>+K795+Tabla6[[#This Row],[IMPORTE]]</f>
        <v>103922669.52000004</v>
      </c>
      <c r="L796" s="178" t="s">
        <v>714</v>
      </c>
      <c r="M796" s="174" t="s">
        <v>91</v>
      </c>
    </row>
    <row r="797" spans="2:13" x14ac:dyDescent="0.35">
      <c r="B797" s="173" t="s">
        <v>115</v>
      </c>
      <c r="C797" s="146">
        <v>46044</v>
      </c>
      <c r="D797" s="148">
        <v>9352381</v>
      </c>
      <c r="E797" s="148">
        <v>66</v>
      </c>
      <c r="F797" s="149">
        <v>-200000</v>
      </c>
      <c r="G797" s="147" t="s">
        <v>116</v>
      </c>
      <c r="H797" s="148">
        <v>488</v>
      </c>
      <c r="I797" s="148" t="s">
        <v>123</v>
      </c>
      <c r="J797" s="147" t="s">
        <v>124</v>
      </c>
      <c r="K797" s="149">
        <f>+K796+Tabla6[[#This Row],[IMPORTE]]</f>
        <v>103722669.52000004</v>
      </c>
      <c r="L797" s="178" t="s">
        <v>714</v>
      </c>
      <c r="M797" s="174" t="s">
        <v>91</v>
      </c>
    </row>
    <row r="798" spans="2:13" x14ac:dyDescent="0.35">
      <c r="B798" s="173" t="s">
        <v>115</v>
      </c>
      <c r="C798" s="146">
        <v>46044</v>
      </c>
      <c r="D798" s="148">
        <v>9352663</v>
      </c>
      <c r="E798" s="148">
        <v>66</v>
      </c>
      <c r="F798" s="149">
        <v>-200000</v>
      </c>
      <c r="G798" s="147" t="s">
        <v>116</v>
      </c>
      <c r="H798" s="148">
        <v>488</v>
      </c>
      <c r="I798" s="148" t="s">
        <v>123</v>
      </c>
      <c r="J798" s="147" t="s">
        <v>124</v>
      </c>
      <c r="K798" s="149">
        <f>+K797+Tabla6[[#This Row],[IMPORTE]]</f>
        <v>103522669.52000004</v>
      </c>
      <c r="L798" s="178" t="s">
        <v>714</v>
      </c>
      <c r="M798" s="174" t="s">
        <v>91</v>
      </c>
    </row>
    <row r="799" spans="2:13" x14ac:dyDescent="0.35">
      <c r="B799" s="173" t="s">
        <v>115</v>
      </c>
      <c r="C799" s="146">
        <v>46044</v>
      </c>
      <c r="D799" s="148">
        <v>9352311</v>
      </c>
      <c r="E799" s="148">
        <v>66</v>
      </c>
      <c r="F799" s="149">
        <v>-200000</v>
      </c>
      <c r="G799" s="147" t="s">
        <v>116</v>
      </c>
      <c r="H799" s="148">
        <v>488</v>
      </c>
      <c r="I799" s="148" t="s">
        <v>123</v>
      </c>
      <c r="J799" s="147" t="s">
        <v>124</v>
      </c>
      <c r="K799" s="149">
        <f>+K798+Tabla6[[#This Row],[IMPORTE]]</f>
        <v>103322669.52000004</v>
      </c>
      <c r="L799" s="178" t="s">
        <v>714</v>
      </c>
      <c r="M799" s="174" t="s">
        <v>91</v>
      </c>
    </row>
    <row r="800" spans="2:13" x14ac:dyDescent="0.35">
      <c r="B800" s="173" t="s">
        <v>115</v>
      </c>
      <c r="C800" s="146">
        <v>46044</v>
      </c>
      <c r="D800" s="148">
        <v>9352603</v>
      </c>
      <c r="E800" s="148">
        <v>66</v>
      </c>
      <c r="F800" s="149">
        <v>-200000</v>
      </c>
      <c r="G800" s="147" t="s">
        <v>116</v>
      </c>
      <c r="H800" s="148">
        <v>488</v>
      </c>
      <c r="I800" s="148" t="s">
        <v>123</v>
      </c>
      <c r="J800" s="147" t="s">
        <v>124</v>
      </c>
      <c r="K800" s="149">
        <f>+K799+Tabla6[[#This Row],[IMPORTE]]</f>
        <v>103122669.52000004</v>
      </c>
      <c r="L800" s="178" t="s">
        <v>714</v>
      </c>
      <c r="M800" s="174" t="s">
        <v>91</v>
      </c>
    </row>
    <row r="801" spans="2:13" x14ac:dyDescent="0.35">
      <c r="B801" s="173" t="s">
        <v>115</v>
      </c>
      <c r="C801" s="146">
        <v>46044</v>
      </c>
      <c r="D801" s="148">
        <v>9352583</v>
      </c>
      <c r="E801" s="148">
        <v>66</v>
      </c>
      <c r="F801" s="149">
        <v>-200000</v>
      </c>
      <c r="G801" s="147" t="s">
        <v>116</v>
      </c>
      <c r="H801" s="148">
        <v>488</v>
      </c>
      <c r="I801" s="148" t="s">
        <v>123</v>
      </c>
      <c r="J801" s="147" t="s">
        <v>124</v>
      </c>
      <c r="K801" s="149">
        <f>+K800+Tabla6[[#This Row],[IMPORTE]]</f>
        <v>102922669.52000004</v>
      </c>
      <c r="L801" s="178" t="s">
        <v>714</v>
      </c>
      <c r="M801" s="174" t="s">
        <v>91</v>
      </c>
    </row>
    <row r="802" spans="2:13" x14ac:dyDescent="0.35">
      <c r="B802" s="173" t="s">
        <v>115</v>
      </c>
      <c r="C802" s="146">
        <v>46044</v>
      </c>
      <c r="D802" s="148">
        <v>9352390</v>
      </c>
      <c r="E802" s="148">
        <v>66</v>
      </c>
      <c r="F802" s="149">
        <v>-200000</v>
      </c>
      <c r="G802" s="147" t="s">
        <v>116</v>
      </c>
      <c r="H802" s="148">
        <v>488</v>
      </c>
      <c r="I802" s="148" t="s">
        <v>123</v>
      </c>
      <c r="J802" s="147" t="s">
        <v>124</v>
      </c>
      <c r="K802" s="149">
        <f>+K801+Tabla6[[#This Row],[IMPORTE]]</f>
        <v>102722669.52000004</v>
      </c>
      <c r="L802" s="178" t="s">
        <v>714</v>
      </c>
      <c r="M802" s="174" t="s">
        <v>91</v>
      </c>
    </row>
    <row r="803" spans="2:13" x14ac:dyDescent="0.35">
      <c r="B803" s="173" t="s">
        <v>115</v>
      </c>
      <c r="C803" s="146">
        <v>46044</v>
      </c>
      <c r="D803" s="148">
        <v>9352604</v>
      </c>
      <c r="E803" s="148">
        <v>66</v>
      </c>
      <c r="F803" s="149">
        <v>-200000</v>
      </c>
      <c r="G803" s="147" t="s">
        <v>116</v>
      </c>
      <c r="H803" s="148">
        <v>488</v>
      </c>
      <c r="I803" s="148" t="s">
        <v>123</v>
      </c>
      <c r="J803" s="147" t="s">
        <v>124</v>
      </c>
      <c r="K803" s="149">
        <f>+K802+Tabla6[[#This Row],[IMPORTE]]</f>
        <v>102522669.52000004</v>
      </c>
      <c r="L803" s="178" t="s">
        <v>714</v>
      </c>
      <c r="M803" s="174" t="s">
        <v>91</v>
      </c>
    </row>
    <row r="804" spans="2:13" x14ac:dyDescent="0.35">
      <c r="B804" s="173" t="s">
        <v>115</v>
      </c>
      <c r="C804" s="146">
        <v>46044</v>
      </c>
      <c r="D804" s="148">
        <v>9352335</v>
      </c>
      <c r="E804" s="148">
        <v>66</v>
      </c>
      <c r="F804" s="149">
        <v>-200000</v>
      </c>
      <c r="G804" s="147" t="s">
        <v>116</v>
      </c>
      <c r="H804" s="148">
        <v>488</v>
      </c>
      <c r="I804" s="148" t="s">
        <v>123</v>
      </c>
      <c r="J804" s="147" t="s">
        <v>124</v>
      </c>
      <c r="K804" s="149">
        <f>+K803+Tabla6[[#This Row],[IMPORTE]]</f>
        <v>102322669.52000004</v>
      </c>
      <c r="L804" s="178" t="s">
        <v>714</v>
      </c>
      <c r="M804" s="174" t="s">
        <v>91</v>
      </c>
    </row>
    <row r="805" spans="2:13" x14ac:dyDescent="0.35">
      <c r="B805" s="173" t="s">
        <v>115</v>
      </c>
      <c r="C805" s="146">
        <v>46044</v>
      </c>
      <c r="D805" s="148">
        <v>9352622</v>
      </c>
      <c r="E805" s="148">
        <v>66</v>
      </c>
      <c r="F805" s="149">
        <v>-200000</v>
      </c>
      <c r="G805" s="147" t="s">
        <v>116</v>
      </c>
      <c r="H805" s="148">
        <v>488</v>
      </c>
      <c r="I805" s="148" t="s">
        <v>123</v>
      </c>
      <c r="J805" s="147" t="s">
        <v>124</v>
      </c>
      <c r="K805" s="149">
        <f>+K804+Tabla6[[#This Row],[IMPORTE]]</f>
        <v>102122669.52000004</v>
      </c>
      <c r="L805" s="178" t="s">
        <v>714</v>
      </c>
      <c r="M805" s="174" t="s">
        <v>91</v>
      </c>
    </row>
    <row r="806" spans="2:13" x14ac:dyDescent="0.35">
      <c r="B806" s="173" t="s">
        <v>115</v>
      </c>
      <c r="C806" s="146">
        <v>46044</v>
      </c>
      <c r="D806" s="148">
        <v>9352304</v>
      </c>
      <c r="E806" s="148">
        <v>66</v>
      </c>
      <c r="F806" s="149">
        <v>-200000</v>
      </c>
      <c r="G806" s="147" t="s">
        <v>116</v>
      </c>
      <c r="H806" s="148">
        <v>488</v>
      </c>
      <c r="I806" s="148" t="s">
        <v>123</v>
      </c>
      <c r="J806" s="147" t="s">
        <v>124</v>
      </c>
      <c r="K806" s="149">
        <f>+K805+Tabla6[[#This Row],[IMPORTE]]</f>
        <v>101922669.52000004</v>
      </c>
      <c r="L806" s="178" t="s">
        <v>714</v>
      </c>
      <c r="M806" s="174" t="s">
        <v>91</v>
      </c>
    </row>
    <row r="807" spans="2:13" x14ac:dyDescent="0.35">
      <c r="B807" s="173" t="s">
        <v>115</v>
      </c>
      <c r="C807" s="146">
        <v>46044</v>
      </c>
      <c r="D807" s="148">
        <v>9352397</v>
      </c>
      <c r="E807" s="148">
        <v>66</v>
      </c>
      <c r="F807" s="149">
        <v>-200000</v>
      </c>
      <c r="G807" s="147" t="s">
        <v>116</v>
      </c>
      <c r="H807" s="148">
        <v>488</v>
      </c>
      <c r="I807" s="148" t="s">
        <v>123</v>
      </c>
      <c r="J807" s="147" t="s">
        <v>124</v>
      </c>
      <c r="K807" s="149">
        <f>+K806+Tabla6[[#This Row],[IMPORTE]]</f>
        <v>101722669.52000004</v>
      </c>
      <c r="L807" s="178" t="s">
        <v>714</v>
      </c>
      <c r="M807" s="174" t="s">
        <v>91</v>
      </c>
    </row>
    <row r="808" spans="2:13" x14ac:dyDescent="0.35">
      <c r="B808" s="173" t="s">
        <v>115</v>
      </c>
      <c r="C808" s="146">
        <v>46044</v>
      </c>
      <c r="D808" s="148">
        <v>9352277</v>
      </c>
      <c r="E808" s="148">
        <v>66</v>
      </c>
      <c r="F808" s="149">
        <v>-200000</v>
      </c>
      <c r="G808" s="147" t="s">
        <v>116</v>
      </c>
      <c r="H808" s="148">
        <v>488</v>
      </c>
      <c r="I808" s="148" t="s">
        <v>123</v>
      </c>
      <c r="J808" s="147" t="s">
        <v>124</v>
      </c>
      <c r="K808" s="149">
        <f>+K807+Tabla6[[#This Row],[IMPORTE]]</f>
        <v>101522669.52000004</v>
      </c>
      <c r="L808" s="178" t="s">
        <v>714</v>
      </c>
      <c r="M808" s="174" t="s">
        <v>91</v>
      </c>
    </row>
    <row r="809" spans="2:13" x14ac:dyDescent="0.35">
      <c r="B809" s="173" t="s">
        <v>115</v>
      </c>
      <c r="C809" s="146">
        <v>46044</v>
      </c>
      <c r="D809" s="148">
        <v>9352444</v>
      </c>
      <c r="E809" s="148">
        <v>66</v>
      </c>
      <c r="F809" s="149">
        <v>-200000</v>
      </c>
      <c r="G809" s="147" t="s">
        <v>116</v>
      </c>
      <c r="H809" s="148">
        <v>488</v>
      </c>
      <c r="I809" s="148" t="s">
        <v>123</v>
      </c>
      <c r="J809" s="147" t="s">
        <v>124</v>
      </c>
      <c r="K809" s="149">
        <f>+K808+Tabla6[[#This Row],[IMPORTE]]</f>
        <v>101322669.52000004</v>
      </c>
      <c r="L809" s="178" t="s">
        <v>714</v>
      </c>
      <c r="M809" s="174" t="s">
        <v>91</v>
      </c>
    </row>
    <row r="810" spans="2:13" x14ac:dyDescent="0.35">
      <c r="B810" s="173" t="s">
        <v>115</v>
      </c>
      <c r="C810" s="146">
        <v>46044</v>
      </c>
      <c r="D810" s="148">
        <v>9352314</v>
      </c>
      <c r="E810" s="148">
        <v>66</v>
      </c>
      <c r="F810" s="149">
        <v>-200000</v>
      </c>
      <c r="G810" s="147" t="s">
        <v>116</v>
      </c>
      <c r="H810" s="148">
        <v>488</v>
      </c>
      <c r="I810" s="148" t="s">
        <v>123</v>
      </c>
      <c r="J810" s="147" t="s">
        <v>124</v>
      </c>
      <c r="K810" s="149">
        <f>+K809+Tabla6[[#This Row],[IMPORTE]]</f>
        <v>101122669.52000004</v>
      </c>
      <c r="L810" s="178" t="s">
        <v>714</v>
      </c>
      <c r="M810" s="174" t="s">
        <v>91</v>
      </c>
    </row>
    <row r="811" spans="2:13" x14ac:dyDescent="0.35">
      <c r="B811" s="173" t="s">
        <v>115</v>
      </c>
      <c r="C811" s="146">
        <v>46044</v>
      </c>
      <c r="D811" s="148">
        <v>9352281</v>
      </c>
      <c r="E811" s="148">
        <v>66</v>
      </c>
      <c r="F811" s="149">
        <v>-200000</v>
      </c>
      <c r="G811" s="147" t="s">
        <v>116</v>
      </c>
      <c r="H811" s="148">
        <v>488</v>
      </c>
      <c r="I811" s="148" t="s">
        <v>123</v>
      </c>
      <c r="J811" s="147" t="s">
        <v>124</v>
      </c>
      <c r="K811" s="149">
        <f>+K810+Tabla6[[#This Row],[IMPORTE]]</f>
        <v>100922669.52000004</v>
      </c>
      <c r="L811" s="178" t="s">
        <v>714</v>
      </c>
      <c r="M811" s="174" t="s">
        <v>91</v>
      </c>
    </row>
    <row r="812" spans="2:13" x14ac:dyDescent="0.35">
      <c r="B812" s="173" t="s">
        <v>115</v>
      </c>
      <c r="C812" s="146">
        <v>46044</v>
      </c>
      <c r="D812" s="148">
        <v>9352327</v>
      </c>
      <c r="E812" s="148">
        <v>66</v>
      </c>
      <c r="F812" s="149">
        <v>-200000</v>
      </c>
      <c r="G812" s="147" t="s">
        <v>116</v>
      </c>
      <c r="H812" s="148">
        <v>488</v>
      </c>
      <c r="I812" s="148" t="s">
        <v>123</v>
      </c>
      <c r="J812" s="147" t="s">
        <v>124</v>
      </c>
      <c r="K812" s="149">
        <f>+K811+Tabla6[[#This Row],[IMPORTE]]</f>
        <v>100722669.52000004</v>
      </c>
      <c r="L812" s="178" t="s">
        <v>714</v>
      </c>
      <c r="M812" s="174" t="s">
        <v>91</v>
      </c>
    </row>
    <row r="813" spans="2:13" x14ac:dyDescent="0.35">
      <c r="B813" s="173" t="s">
        <v>115</v>
      </c>
      <c r="C813" s="146">
        <v>46044</v>
      </c>
      <c r="D813" s="148">
        <v>9352459</v>
      </c>
      <c r="E813" s="148">
        <v>66</v>
      </c>
      <c r="F813" s="149">
        <v>-200000</v>
      </c>
      <c r="G813" s="147" t="s">
        <v>116</v>
      </c>
      <c r="H813" s="148">
        <v>488</v>
      </c>
      <c r="I813" s="148" t="s">
        <v>123</v>
      </c>
      <c r="J813" s="147" t="s">
        <v>124</v>
      </c>
      <c r="K813" s="149">
        <f>+K812+Tabla6[[#This Row],[IMPORTE]]</f>
        <v>100522669.52000004</v>
      </c>
      <c r="L813" s="178" t="s">
        <v>714</v>
      </c>
      <c r="M813" s="174" t="s">
        <v>91</v>
      </c>
    </row>
    <row r="814" spans="2:13" x14ac:dyDescent="0.35">
      <c r="B814" s="173" t="s">
        <v>115</v>
      </c>
      <c r="C814" s="146">
        <v>46044</v>
      </c>
      <c r="D814" s="148">
        <v>9352515</v>
      </c>
      <c r="E814" s="148">
        <v>66</v>
      </c>
      <c r="F814" s="149">
        <v>-200000</v>
      </c>
      <c r="G814" s="147" t="s">
        <v>116</v>
      </c>
      <c r="H814" s="148">
        <v>488</v>
      </c>
      <c r="I814" s="148" t="s">
        <v>123</v>
      </c>
      <c r="J814" s="147" t="s">
        <v>124</v>
      </c>
      <c r="K814" s="149">
        <f>+K813+Tabla6[[#This Row],[IMPORTE]]</f>
        <v>100322669.52000004</v>
      </c>
      <c r="L814" s="178" t="s">
        <v>714</v>
      </c>
      <c r="M814" s="174" t="s">
        <v>91</v>
      </c>
    </row>
    <row r="815" spans="2:13" x14ac:dyDescent="0.35">
      <c r="B815" s="173" t="s">
        <v>115</v>
      </c>
      <c r="C815" s="146">
        <v>46044</v>
      </c>
      <c r="D815" s="148">
        <v>9352689</v>
      </c>
      <c r="E815" s="148">
        <v>66</v>
      </c>
      <c r="F815" s="149">
        <v>-200000</v>
      </c>
      <c r="G815" s="147" t="s">
        <v>116</v>
      </c>
      <c r="H815" s="148">
        <v>488</v>
      </c>
      <c r="I815" s="148" t="s">
        <v>123</v>
      </c>
      <c r="J815" s="147" t="s">
        <v>124</v>
      </c>
      <c r="K815" s="149">
        <f>+K814+Tabla6[[#This Row],[IMPORTE]]</f>
        <v>100122669.52000004</v>
      </c>
      <c r="L815" s="178" t="s">
        <v>714</v>
      </c>
      <c r="M815" s="174" t="s">
        <v>91</v>
      </c>
    </row>
    <row r="816" spans="2:13" x14ac:dyDescent="0.35">
      <c r="B816" s="173" t="s">
        <v>115</v>
      </c>
      <c r="C816" s="146">
        <v>46044</v>
      </c>
      <c r="D816" s="148">
        <v>9352287</v>
      </c>
      <c r="E816" s="148">
        <v>66</v>
      </c>
      <c r="F816" s="149">
        <v>-200000</v>
      </c>
      <c r="G816" s="147" t="s">
        <v>116</v>
      </c>
      <c r="H816" s="148">
        <v>488</v>
      </c>
      <c r="I816" s="148" t="s">
        <v>123</v>
      </c>
      <c r="J816" s="147" t="s">
        <v>124</v>
      </c>
      <c r="K816" s="149">
        <f>+K815+Tabla6[[#This Row],[IMPORTE]]</f>
        <v>99922669.520000041</v>
      </c>
      <c r="L816" s="178" t="s">
        <v>714</v>
      </c>
      <c r="M816" s="174" t="s">
        <v>91</v>
      </c>
    </row>
    <row r="817" spans="2:13" x14ac:dyDescent="0.35">
      <c r="B817" s="173" t="s">
        <v>115</v>
      </c>
      <c r="C817" s="146">
        <v>46044</v>
      </c>
      <c r="D817" s="148">
        <v>9352467</v>
      </c>
      <c r="E817" s="148">
        <v>66</v>
      </c>
      <c r="F817" s="149">
        <v>-200000</v>
      </c>
      <c r="G817" s="147" t="s">
        <v>116</v>
      </c>
      <c r="H817" s="148">
        <v>488</v>
      </c>
      <c r="I817" s="148" t="s">
        <v>123</v>
      </c>
      <c r="J817" s="147" t="s">
        <v>124</v>
      </c>
      <c r="K817" s="149">
        <f>+K816+Tabla6[[#This Row],[IMPORTE]]</f>
        <v>99722669.520000041</v>
      </c>
      <c r="L817" s="178" t="s">
        <v>714</v>
      </c>
      <c r="M817" s="174" t="s">
        <v>91</v>
      </c>
    </row>
    <row r="818" spans="2:13" x14ac:dyDescent="0.35">
      <c r="B818" s="173" t="s">
        <v>115</v>
      </c>
      <c r="C818" s="146">
        <v>46044</v>
      </c>
      <c r="D818" s="148">
        <v>9352507</v>
      </c>
      <c r="E818" s="148">
        <v>66</v>
      </c>
      <c r="F818" s="149">
        <v>-200000</v>
      </c>
      <c r="G818" s="147" t="s">
        <v>116</v>
      </c>
      <c r="H818" s="148">
        <v>488</v>
      </c>
      <c r="I818" s="148" t="s">
        <v>123</v>
      </c>
      <c r="J818" s="147" t="s">
        <v>124</v>
      </c>
      <c r="K818" s="149">
        <f>+K817+Tabla6[[#This Row],[IMPORTE]]</f>
        <v>99522669.520000041</v>
      </c>
      <c r="L818" s="178" t="s">
        <v>714</v>
      </c>
      <c r="M818" s="174" t="s">
        <v>91</v>
      </c>
    </row>
    <row r="819" spans="2:13" x14ac:dyDescent="0.35">
      <c r="B819" s="173" t="s">
        <v>115</v>
      </c>
      <c r="C819" s="146">
        <v>46044</v>
      </c>
      <c r="D819" s="148">
        <v>9352352</v>
      </c>
      <c r="E819" s="148">
        <v>66</v>
      </c>
      <c r="F819" s="149">
        <v>-200000</v>
      </c>
      <c r="G819" s="147" t="s">
        <v>116</v>
      </c>
      <c r="H819" s="148">
        <v>488</v>
      </c>
      <c r="I819" s="148" t="s">
        <v>123</v>
      </c>
      <c r="J819" s="147" t="s">
        <v>124</v>
      </c>
      <c r="K819" s="149">
        <f>+K818+Tabla6[[#This Row],[IMPORTE]]</f>
        <v>99322669.520000041</v>
      </c>
      <c r="L819" s="178" t="s">
        <v>714</v>
      </c>
      <c r="M819" s="174" t="s">
        <v>91</v>
      </c>
    </row>
    <row r="820" spans="2:13" x14ac:dyDescent="0.35">
      <c r="B820" s="173" t="s">
        <v>115</v>
      </c>
      <c r="C820" s="146">
        <v>46044</v>
      </c>
      <c r="D820" s="148">
        <v>9352612</v>
      </c>
      <c r="E820" s="148">
        <v>66</v>
      </c>
      <c r="F820" s="149">
        <v>-200000</v>
      </c>
      <c r="G820" s="147" t="s">
        <v>116</v>
      </c>
      <c r="H820" s="148">
        <v>488</v>
      </c>
      <c r="I820" s="148" t="s">
        <v>123</v>
      </c>
      <c r="J820" s="147" t="s">
        <v>124</v>
      </c>
      <c r="K820" s="149">
        <f>+K819+Tabla6[[#This Row],[IMPORTE]]</f>
        <v>99122669.520000041</v>
      </c>
      <c r="L820" s="178" t="s">
        <v>714</v>
      </c>
      <c r="M820" s="174" t="s">
        <v>91</v>
      </c>
    </row>
    <row r="821" spans="2:13" x14ac:dyDescent="0.35">
      <c r="B821" s="173" t="s">
        <v>115</v>
      </c>
      <c r="C821" s="146">
        <v>46044</v>
      </c>
      <c r="D821" s="148">
        <v>9352325</v>
      </c>
      <c r="E821" s="148">
        <v>66</v>
      </c>
      <c r="F821" s="149">
        <v>-200000</v>
      </c>
      <c r="G821" s="147" t="s">
        <v>116</v>
      </c>
      <c r="H821" s="148">
        <v>488</v>
      </c>
      <c r="I821" s="148" t="s">
        <v>123</v>
      </c>
      <c r="J821" s="147" t="s">
        <v>124</v>
      </c>
      <c r="K821" s="149">
        <f>+K820+Tabla6[[#This Row],[IMPORTE]]</f>
        <v>98922669.520000041</v>
      </c>
      <c r="L821" s="178" t="s">
        <v>714</v>
      </c>
      <c r="M821" s="174" t="s">
        <v>91</v>
      </c>
    </row>
    <row r="822" spans="2:13" x14ac:dyDescent="0.35">
      <c r="B822" s="173" t="s">
        <v>115</v>
      </c>
      <c r="C822" s="146">
        <v>46044</v>
      </c>
      <c r="D822" s="148">
        <v>9352291</v>
      </c>
      <c r="E822" s="148">
        <v>66</v>
      </c>
      <c r="F822" s="149">
        <v>-200000</v>
      </c>
      <c r="G822" s="147" t="s">
        <v>116</v>
      </c>
      <c r="H822" s="148">
        <v>488</v>
      </c>
      <c r="I822" s="148" t="s">
        <v>123</v>
      </c>
      <c r="J822" s="147" t="s">
        <v>124</v>
      </c>
      <c r="K822" s="149">
        <f>+K821+Tabla6[[#This Row],[IMPORTE]]</f>
        <v>98722669.520000041</v>
      </c>
      <c r="L822" s="178" t="s">
        <v>714</v>
      </c>
      <c r="M822" s="174" t="s">
        <v>91</v>
      </c>
    </row>
    <row r="823" spans="2:13" x14ac:dyDescent="0.35">
      <c r="B823" s="173" t="s">
        <v>115</v>
      </c>
      <c r="C823" s="146">
        <v>46044</v>
      </c>
      <c r="D823" s="148">
        <v>9352426</v>
      </c>
      <c r="E823" s="148">
        <v>66</v>
      </c>
      <c r="F823" s="149">
        <v>-200000</v>
      </c>
      <c r="G823" s="147" t="s">
        <v>116</v>
      </c>
      <c r="H823" s="148">
        <v>488</v>
      </c>
      <c r="I823" s="148" t="s">
        <v>123</v>
      </c>
      <c r="J823" s="147" t="s">
        <v>124</v>
      </c>
      <c r="K823" s="149">
        <f>+K822+Tabla6[[#This Row],[IMPORTE]]</f>
        <v>98522669.520000041</v>
      </c>
      <c r="L823" s="178" t="s">
        <v>714</v>
      </c>
      <c r="M823" s="174" t="s">
        <v>91</v>
      </c>
    </row>
    <row r="824" spans="2:13" x14ac:dyDescent="0.35">
      <c r="B824" s="173" t="s">
        <v>115</v>
      </c>
      <c r="C824" s="146">
        <v>46044</v>
      </c>
      <c r="D824" s="148">
        <v>9352343</v>
      </c>
      <c r="E824" s="148">
        <v>66</v>
      </c>
      <c r="F824" s="149">
        <v>-200000</v>
      </c>
      <c r="G824" s="147" t="s">
        <v>116</v>
      </c>
      <c r="H824" s="148">
        <v>488</v>
      </c>
      <c r="I824" s="148" t="s">
        <v>123</v>
      </c>
      <c r="J824" s="147" t="s">
        <v>124</v>
      </c>
      <c r="K824" s="149">
        <f>+K823+Tabla6[[#This Row],[IMPORTE]]</f>
        <v>98322669.520000041</v>
      </c>
      <c r="L824" s="178" t="s">
        <v>714</v>
      </c>
      <c r="M824" s="174" t="s">
        <v>91</v>
      </c>
    </row>
    <row r="825" spans="2:13" x14ac:dyDescent="0.35">
      <c r="B825" s="173" t="s">
        <v>115</v>
      </c>
      <c r="C825" s="146">
        <v>46044</v>
      </c>
      <c r="D825" s="148">
        <v>9352580</v>
      </c>
      <c r="E825" s="148">
        <v>66</v>
      </c>
      <c r="F825" s="149">
        <v>-200000</v>
      </c>
      <c r="G825" s="147" t="s">
        <v>116</v>
      </c>
      <c r="H825" s="148">
        <v>488</v>
      </c>
      <c r="I825" s="148" t="s">
        <v>123</v>
      </c>
      <c r="J825" s="147" t="s">
        <v>124</v>
      </c>
      <c r="K825" s="149">
        <f>+K824+Tabla6[[#This Row],[IMPORTE]]</f>
        <v>98122669.520000041</v>
      </c>
      <c r="L825" s="178" t="s">
        <v>714</v>
      </c>
      <c r="M825" s="174" t="s">
        <v>91</v>
      </c>
    </row>
    <row r="826" spans="2:13" x14ac:dyDescent="0.35">
      <c r="B826" s="173" t="s">
        <v>115</v>
      </c>
      <c r="C826" s="146">
        <v>46044</v>
      </c>
      <c r="D826" s="148">
        <v>9352477</v>
      </c>
      <c r="E826" s="148">
        <v>66</v>
      </c>
      <c r="F826" s="149">
        <v>-200000</v>
      </c>
      <c r="G826" s="147" t="s">
        <v>116</v>
      </c>
      <c r="H826" s="148">
        <v>488</v>
      </c>
      <c r="I826" s="148" t="s">
        <v>123</v>
      </c>
      <c r="J826" s="147" t="s">
        <v>124</v>
      </c>
      <c r="K826" s="149">
        <f>+K825+Tabla6[[#This Row],[IMPORTE]]</f>
        <v>97922669.520000041</v>
      </c>
      <c r="L826" s="178" t="s">
        <v>714</v>
      </c>
      <c r="M826" s="174" t="s">
        <v>91</v>
      </c>
    </row>
    <row r="827" spans="2:13" x14ac:dyDescent="0.35">
      <c r="B827" s="173" t="s">
        <v>115</v>
      </c>
      <c r="C827" s="146">
        <v>46044</v>
      </c>
      <c r="D827" s="148">
        <v>9352652</v>
      </c>
      <c r="E827" s="148">
        <v>66</v>
      </c>
      <c r="F827" s="149">
        <v>-200000</v>
      </c>
      <c r="G827" s="147" t="s">
        <v>116</v>
      </c>
      <c r="H827" s="148">
        <v>488</v>
      </c>
      <c r="I827" s="148" t="s">
        <v>123</v>
      </c>
      <c r="J827" s="147" t="s">
        <v>124</v>
      </c>
      <c r="K827" s="149">
        <f>+K826+Tabla6[[#This Row],[IMPORTE]]</f>
        <v>97722669.520000041</v>
      </c>
      <c r="L827" s="178" t="s">
        <v>714</v>
      </c>
      <c r="M827" s="174" t="s">
        <v>91</v>
      </c>
    </row>
    <row r="828" spans="2:13" x14ac:dyDescent="0.35">
      <c r="B828" s="173" t="s">
        <v>115</v>
      </c>
      <c r="C828" s="146">
        <v>46044</v>
      </c>
      <c r="D828" s="148">
        <v>9352421</v>
      </c>
      <c r="E828" s="148">
        <v>66</v>
      </c>
      <c r="F828" s="149">
        <v>-200000</v>
      </c>
      <c r="G828" s="147" t="s">
        <v>116</v>
      </c>
      <c r="H828" s="148">
        <v>488</v>
      </c>
      <c r="I828" s="148" t="s">
        <v>123</v>
      </c>
      <c r="J828" s="147" t="s">
        <v>124</v>
      </c>
      <c r="K828" s="149">
        <f>+K827+Tabla6[[#This Row],[IMPORTE]]</f>
        <v>97522669.520000041</v>
      </c>
      <c r="L828" s="178" t="s">
        <v>714</v>
      </c>
      <c r="M828" s="174" t="s">
        <v>91</v>
      </c>
    </row>
    <row r="829" spans="2:13" x14ac:dyDescent="0.35">
      <c r="B829" s="173" t="s">
        <v>115</v>
      </c>
      <c r="C829" s="146">
        <v>46044</v>
      </c>
      <c r="D829" s="148">
        <v>9352295</v>
      </c>
      <c r="E829" s="148">
        <v>66</v>
      </c>
      <c r="F829" s="149">
        <v>-200000</v>
      </c>
      <c r="G829" s="147" t="s">
        <v>116</v>
      </c>
      <c r="H829" s="148">
        <v>488</v>
      </c>
      <c r="I829" s="148" t="s">
        <v>123</v>
      </c>
      <c r="J829" s="147" t="s">
        <v>124</v>
      </c>
      <c r="K829" s="149">
        <f>+K828+Tabla6[[#This Row],[IMPORTE]]</f>
        <v>97322669.520000041</v>
      </c>
      <c r="L829" s="178" t="s">
        <v>714</v>
      </c>
      <c r="M829" s="174" t="s">
        <v>91</v>
      </c>
    </row>
    <row r="830" spans="2:13" x14ac:dyDescent="0.35">
      <c r="B830" s="173" t="s">
        <v>115</v>
      </c>
      <c r="C830" s="146">
        <v>46044</v>
      </c>
      <c r="D830" s="148">
        <v>9352560</v>
      </c>
      <c r="E830" s="148">
        <v>66</v>
      </c>
      <c r="F830" s="149">
        <v>-200000</v>
      </c>
      <c r="G830" s="147" t="s">
        <v>116</v>
      </c>
      <c r="H830" s="148">
        <v>488</v>
      </c>
      <c r="I830" s="148" t="s">
        <v>123</v>
      </c>
      <c r="J830" s="147" t="s">
        <v>124</v>
      </c>
      <c r="K830" s="149">
        <f>+K829+Tabla6[[#This Row],[IMPORTE]]</f>
        <v>97122669.520000041</v>
      </c>
      <c r="L830" s="178" t="s">
        <v>714</v>
      </c>
      <c r="M830" s="174" t="s">
        <v>91</v>
      </c>
    </row>
    <row r="831" spans="2:13" x14ac:dyDescent="0.35">
      <c r="B831" s="173" t="s">
        <v>115</v>
      </c>
      <c r="C831" s="146">
        <v>46044</v>
      </c>
      <c r="D831" s="148">
        <v>9352585</v>
      </c>
      <c r="E831" s="148">
        <v>66</v>
      </c>
      <c r="F831" s="149">
        <v>-200000</v>
      </c>
      <c r="G831" s="147" t="s">
        <v>116</v>
      </c>
      <c r="H831" s="148">
        <v>488</v>
      </c>
      <c r="I831" s="148" t="s">
        <v>123</v>
      </c>
      <c r="J831" s="147" t="s">
        <v>124</v>
      </c>
      <c r="K831" s="149">
        <f>+K830+Tabla6[[#This Row],[IMPORTE]]</f>
        <v>96922669.520000041</v>
      </c>
      <c r="L831" s="178" t="s">
        <v>714</v>
      </c>
      <c r="M831" s="174" t="s">
        <v>91</v>
      </c>
    </row>
    <row r="832" spans="2:13" x14ac:dyDescent="0.35">
      <c r="B832" s="173" t="s">
        <v>115</v>
      </c>
      <c r="C832" s="146">
        <v>46044</v>
      </c>
      <c r="D832" s="148">
        <v>9352472</v>
      </c>
      <c r="E832" s="148">
        <v>66</v>
      </c>
      <c r="F832" s="149">
        <v>-200000</v>
      </c>
      <c r="G832" s="147" t="s">
        <v>116</v>
      </c>
      <c r="H832" s="148">
        <v>488</v>
      </c>
      <c r="I832" s="148" t="s">
        <v>123</v>
      </c>
      <c r="J832" s="147" t="s">
        <v>124</v>
      </c>
      <c r="K832" s="149">
        <f>+K831+Tabla6[[#This Row],[IMPORTE]]</f>
        <v>96722669.520000041</v>
      </c>
      <c r="L832" s="178" t="s">
        <v>714</v>
      </c>
      <c r="M832" s="174" t="s">
        <v>91</v>
      </c>
    </row>
    <row r="833" spans="2:13" x14ac:dyDescent="0.35">
      <c r="B833" s="173" t="s">
        <v>115</v>
      </c>
      <c r="C833" s="146">
        <v>46044</v>
      </c>
      <c r="D833" s="148">
        <v>9352595</v>
      </c>
      <c r="E833" s="148">
        <v>66</v>
      </c>
      <c r="F833" s="149">
        <v>-200000</v>
      </c>
      <c r="G833" s="147" t="s">
        <v>116</v>
      </c>
      <c r="H833" s="148">
        <v>488</v>
      </c>
      <c r="I833" s="148" t="s">
        <v>123</v>
      </c>
      <c r="J833" s="147" t="s">
        <v>124</v>
      </c>
      <c r="K833" s="149">
        <f>+K832+Tabla6[[#This Row],[IMPORTE]]</f>
        <v>96522669.520000041</v>
      </c>
      <c r="L833" s="178" t="s">
        <v>714</v>
      </c>
      <c r="M833" s="174" t="s">
        <v>91</v>
      </c>
    </row>
    <row r="834" spans="2:13" x14ac:dyDescent="0.35">
      <c r="B834" s="173" t="s">
        <v>115</v>
      </c>
      <c r="C834" s="146">
        <v>46044</v>
      </c>
      <c r="D834" s="148">
        <v>9352323</v>
      </c>
      <c r="E834" s="148">
        <v>66</v>
      </c>
      <c r="F834" s="149">
        <v>-200000</v>
      </c>
      <c r="G834" s="147" t="s">
        <v>116</v>
      </c>
      <c r="H834" s="148">
        <v>488</v>
      </c>
      <c r="I834" s="148" t="s">
        <v>123</v>
      </c>
      <c r="J834" s="147" t="s">
        <v>124</v>
      </c>
      <c r="K834" s="149">
        <f>+K833+Tabla6[[#This Row],[IMPORTE]]</f>
        <v>96322669.520000041</v>
      </c>
      <c r="L834" s="178" t="s">
        <v>714</v>
      </c>
      <c r="M834" s="174" t="s">
        <v>91</v>
      </c>
    </row>
    <row r="835" spans="2:13" x14ac:dyDescent="0.35">
      <c r="B835" s="173" t="s">
        <v>115</v>
      </c>
      <c r="C835" s="146">
        <v>46044</v>
      </c>
      <c r="D835" s="148">
        <v>9352568</v>
      </c>
      <c r="E835" s="148">
        <v>66</v>
      </c>
      <c r="F835" s="149">
        <v>-200000</v>
      </c>
      <c r="G835" s="147" t="s">
        <v>116</v>
      </c>
      <c r="H835" s="148">
        <v>488</v>
      </c>
      <c r="I835" s="148" t="s">
        <v>123</v>
      </c>
      <c r="J835" s="147" t="s">
        <v>124</v>
      </c>
      <c r="K835" s="149">
        <f>+K834+Tabla6[[#This Row],[IMPORTE]]</f>
        <v>96122669.520000041</v>
      </c>
      <c r="L835" s="178" t="s">
        <v>714</v>
      </c>
      <c r="M835" s="174" t="s">
        <v>91</v>
      </c>
    </row>
    <row r="836" spans="2:13" x14ac:dyDescent="0.35">
      <c r="B836" s="173" t="s">
        <v>115</v>
      </c>
      <c r="C836" s="146">
        <v>46044</v>
      </c>
      <c r="D836" s="148">
        <v>9352430</v>
      </c>
      <c r="E836" s="148">
        <v>66</v>
      </c>
      <c r="F836" s="149">
        <v>-200000</v>
      </c>
      <c r="G836" s="147" t="s">
        <v>116</v>
      </c>
      <c r="H836" s="148">
        <v>488</v>
      </c>
      <c r="I836" s="148" t="s">
        <v>123</v>
      </c>
      <c r="J836" s="147" t="s">
        <v>124</v>
      </c>
      <c r="K836" s="149">
        <f>+K835+Tabla6[[#This Row],[IMPORTE]]</f>
        <v>95922669.520000041</v>
      </c>
      <c r="L836" s="178" t="s">
        <v>714</v>
      </c>
      <c r="M836" s="174" t="s">
        <v>91</v>
      </c>
    </row>
    <row r="837" spans="2:13" x14ac:dyDescent="0.35">
      <c r="B837" s="173" t="s">
        <v>115</v>
      </c>
      <c r="C837" s="146">
        <v>46044</v>
      </c>
      <c r="D837" s="148">
        <v>9352345</v>
      </c>
      <c r="E837" s="148">
        <v>66</v>
      </c>
      <c r="F837" s="149">
        <v>-200000</v>
      </c>
      <c r="G837" s="147" t="s">
        <v>116</v>
      </c>
      <c r="H837" s="148">
        <v>488</v>
      </c>
      <c r="I837" s="148" t="s">
        <v>123</v>
      </c>
      <c r="J837" s="147" t="s">
        <v>124</v>
      </c>
      <c r="K837" s="149">
        <f>+K836+Tabla6[[#This Row],[IMPORTE]]</f>
        <v>95722669.520000041</v>
      </c>
      <c r="L837" s="178" t="s">
        <v>714</v>
      </c>
      <c r="M837" s="174" t="s">
        <v>91</v>
      </c>
    </row>
    <row r="838" spans="2:13" x14ac:dyDescent="0.35">
      <c r="B838" s="173" t="s">
        <v>115</v>
      </c>
      <c r="C838" s="146">
        <v>46044</v>
      </c>
      <c r="D838" s="148">
        <v>9352377</v>
      </c>
      <c r="E838" s="148">
        <v>66</v>
      </c>
      <c r="F838" s="149">
        <v>-200000</v>
      </c>
      <c r="G838" s="147" t="s">
        <v>116</v>
      </c>
      <c r="H838" s="148">
        <v>488</v>
      </c>
      <c r="I838" s="148" t="s">
        <v>123</v>
      </c>
      <c r="J838" s="147" t="s">
        <v>124</v>
      </c>
      <c r="K838" s="149">
        <f>+K837+Tabla6[[#This Row],[IMPORTE]]</f>
        <v>95522669.520000041</v>
      </c>
      <c r="L838" s="178" t="s">
        <v>714</v>
      </c>
      <c r="M838" s="174" t="s">
        <v>91</v>
      </c>
    </row>
    <row r="839" spans="2:13" x14ac:dyDescent="0.35">
      <c r="B839" s="173" t="s">
        <v>115</v>
      </c>
      <c r="C839" s="146">
        <v>46044</v>
      </c>
      <c r="D839" s="148">
        <v>9352451</v>
      </c>
      <c r="E839" s="148">
        <v>66</v>
      </c>
      <c r="F839" s="149">
        <v>-200000</v>
      </c>
      <c r="G839" s="147" t="s">
        <v>116</v>
      </c>
      <c r="H839" s="148">
        <v>488</v>
      </c>
      <c r="I839" s="148" t="s">
        <v>123</v>
      </c>
      <c r="J839" s="147" t="s">
        <v>124</v>
      </c>
      <c r="K839" s="149">
        <f>+K838+Tabla6[[#This Row],[IMPORTE]]</f>
        <v>95322669.520000041</v>
      </c>
      <c r="L839" s="178" t="s">
        <v>714</v>
      </c>
      <c r="M839" s="174" t="s">
        <v>91</v>
      </c>
    </row>
    <row r="840" spans="2:13" x14ac:dyDescent="0.35">
      <c r="B840" s="173" t="s">
        <v>115</v>
      </c>
      <c r="C840" s="146">
        <v>46044</v>
      </c>
      <c r="D840" s="148">
        <v>9352558</v>
      </c>
      <c r="E840" s="148">
        <v>66</v>
      </c>
      <c r="F840" s="149">
        <v>-200000</v>
      </c>
      <c r="G840" s="147" t="s">
        <v>116</v>
      </c>
      <c r="H840" s="148">
        <v>488</v>
      </c>
      <c r="I840" s="148" t="s">
        <v>123</v>
      </c>
      <c r="J840" s="147" t="s">
        <v>124</v>
      </c>
      <c r="K840" s="149">
        <f>+K839+Tabla6[[#This Row],[IMPORTE]]</f>
        <v>95122669.520000041</v>
      </c>
      <c r="L840" s="178" t="s">
        <v>714</v>
      </c>
      <c r="M840" s="174" t="s">
        <v>91</v>
      </c>
    </row>
    <row r="841" spans="2:13" x14ac:dyDescent="0.35">
      <c r="B841" s="173" t="s">
        <v>115</v>
      </c>
      <c r="C841" s="146">
        <v>46044</v>
      </c>
      <c r="D841" s="148">
        <v>9352673</v>
      </c>
      <c r="E841" s="148">
        <v>66</v>
      </c>
      <c r="F841" s="149">
        <v>-200000</v>
      </c>
      <c r="G841" s="147" t="s">
        <v>116</v>
      </c>
      <c r="H841" s="148">
        <v>488</v>
      </c>
      <c r="I841" s="148" t="s">
        <v>123</v>
      </c>
      <c r="J841" s="147" t="s">
        <v>124</v>
      </c>
      <c r="K841" s="149">
        <f>+K840+Tabla6[[#This Row],[IMPORTE]]</f>
        <v>94922669.520000041</v>
      </c>
      <c r="L841" s="178" t="s">
        <v>714</v>
      </c>
      <c r="M841" s="174" t="s">
        <v>91</v>
      </c>
    </row>
    <row r="842" spans="2:13" x14ac:dyDescent="0.35">
      <c r="B842" s="173" t="s">
        <v>115</v>
      </c>
      <c r="C842" s="146">
        <v>46044</v>
      </c>
      <c r="D842" s="148">
        <v>9352321</v>
      </c>
      <c r="E842" s="148">
        <v>66</v>
      </c>
      <c r="F842" s="149">
        <v>-200000</v>
      </c>
      <c r="G842" s="147" t="s">
        <v>116</v>
      </c>
      <c r="H842" s="148">
        <v>488</v>
      </c>
      <c r="I842" s="148" t="s">
        <v>123</v>
      </c>
      <c r="J842" s="147" t="s">
        <v>124</v>
      </c>
      <c r="K842" s="149">
        <f>+K841+Tabla6[[#This Row],[IMPORTE]]</f>
        <v>94722669.520000041</v>
      </c>
      <c r="L842" s="178" t="s">
        <v>714</v>
      </c>
      <c r="M842" s="174" t="s">
        <v>91</v>
      </c>
    </row>
    <row r="843" spans="2:13" x14ac:dyDescent="0.35">
      <c r="B843" s="173" t="s">
        <v>115</v>
      </c>
      <c r="C843" s="146">
        <v>46044</v>
      </c>
      <c r="D843" s="148">
        <v>9352591</v>
      </c>
      <c r="E843" s="148">
        <v>66</v>
      </c>
      <c r="F843" s="149">
        <v>-200000</v>
      </c>
      <c r="G843" s="147" t="s">
        <v>116</v>
      </c>
      <c r="H843" s="148">
        <v>488</v>
      </c>
      <c r="I843" s="148" t="s">
        <v>123</v>
      </c>
      <c r="J843" s="147" t="s">
        <v>124</v>
      </c>
      <c r="K843" s="149">
        <f>+K842+Tabla6[[#This Row],[IMPORTE]]</f>
        <v>94522669.520000041</v>
      </c>
      <c r="L843" s="178" t="s">
        <v>714</v>
      </c>
      <c r="M843" s="174" t="s">
        <v>91</v>
      </c>
    </row>
    <row r="844" spans="2:13" x14ac:dyDescent="0.35">
      <c r="B844" s="173" t="s">
        <v>115</v>
      </c>
      <c r="C844" s="146">
        <v>46044</v>
      </c>
      <c r="D844" s="148">
        <v>9352368</v>
      </c>
      <c r="E844" s="148">
        <v>66</v>
      </c>
      <c r="F844" s="149">
        <v>-200000</v>
      </c>
      <c r="G844" s="147" t="s">
        <v>116</v>
      </c>
      <c r="H844" s="148">
        <v>488</v>
      </c>
      <c r="I844" s="148" t="s">
        <v>123</v>
      </c>
      <c r="J844" s="147" t="s">
        <v>124</v>
      </c>
      <c r="K844" s="149">
        <f>+K843+Tabla6[[#This Row],[IMPORTE]]</f>
        <v>94322669.520000041</v>
      </c>
      <c r="L844" s="178" t="s">
        <v>714</v>
      </c>
      <c r="M844" s="174" t="s">
        <v>91</v>
      </c>
    </row>
    <row r="845" spans="2:13" x14ac:dyDescent="0.35">
      <c r="B845" s="173" t="s">
        <v>115</v>
      </c>
      <c r="C845" s="146">
        <v>46044</v>
      </c>
      <c r="D845" s="148">
        <v>9352297</v>
      </c>
      <c r="E845" s="148">
        <v>66</v>
      </c>
      <c r="F845" s="149">
        <v>-200000</v>
      </c>
      <c r="G845" s="147" t="s">
        <v>116</v>
      </c>
      <c r="H845" s="148">
        <v>488</v>
      </c>
      <c r="I845" s="148" t="s">
        <v>123</v>
      </c>
      <c r="J845" s="147" t="s">
        <v>124</v>
      </c>
      <c r="K845" s="149">
        <f>+K844+Tabla6[[#This Row],[IMPORTE]]</f>
        <v>94122669.520000041</v>
      </c>
      <c r="L845" s="178" t="s">
        <v>714</v>
      </c>
      <c r="M845" s="174" t="s">
        <v>91</v>
      </c>
    </row>
    <row r="846" spans="2:13" x14ac:dyDescent="0.35">
      <c r="B846" s="173" t="s">
        <v>115</v>
      </c>
      <c r="C846" s="146">
        <v>46044</v>
      </c>
      <c r="D846" s="148">
        <v>9352552</v>
      </c>
      <c r="E846" s="148">
        <v>66</v>
      </c>
      <c r="F846" s="149">
        <v>-200000</v>
      </c>
      <c r="G846" s="147" t="s">
        <v>116</v>
      </c>
      <c r="H846" s="148">
        <v>488</v>
      </c>
      <c r="I846" s="148" t="s">
        <v>123</v>
      </c>
      <c r="J846" s="147" t="s">
        <v>124</v>
      </c>
      <c r="K846" s="149">
        <f>+K845+Tabla6[[#This Row],[IMPORTE]]</f>
        <v>93922669.520000041</v>
      </c>
      <c r="L846" s="178" t="s">
        <v>714</v>
      </c>
      <c r="M846" s="174" t="s">
        <v>91</v>
      </c>
    </row>
    <row r="847" spans="2:13" x14ac:dyDescent="0.35">
      <c r="B847" s="173" t="s">
        <v>115</v>
      </c>
      <c r="C847" s="146">
        <v>46044</v>
      </c>
      <c r="D847" s="148">
        <v>9352370</v>
      </c>
      <c r="E847" s="148">
        <v>66</v>
      </c>
      <c r="F847" s="149">
        <v>-200000</v>
      </c>
      <c r="G847" s="147" t="s">
        <v>116</v>
      </c>
      <c r="H847" s="148">
        <v>488</v>
      </c>
      <c r="I847" s="148" t="s">
        <v>123</v>
      </c>
      <c r="J847" s="147" t="s">
        <v>124</v>
      </c>
      <c r="K847" s="149">
        <f>+K846+Tabla6[[#This Row],[IMPORTE]]</f>
        <v>93722669.520000041</v>
      </c>
      <c r="L847" s="178" t="s">
        <v>714</v>
      </c>
      <c r="M847" s="174" t="s">
        <v>91</v>
      </c>
    </row>
    <row r="848" spans="2:13" x14ac:dyDescent="0.35">
      <c r="B848" s="173" t="s">
        <v>115</v>
      </c>
      <c r="C848" s="146">
        <v>46044</v>
      </c>
      <c r="D848" s="148">
        <v>9352358</v>
      </c>
      <c r="E848" s="148">
        <v>66</v>
      </c>
      <c r="F848" s="149">
        <v>-200000</v>
      </c>
      <c r="G848" s="147" t="s">
        <v>116</v>
      </c>
      <c r="H848" s="148">
        <v>488</v>
      </c>
      <c r="I848" s="148" t="s">
        <v>123</v>
      </c>
      <c r="J848" s="147" t="s">
        <v>124</v>
      </c>
      <c r="K848" s="149">
        <f>+K847+Tabla6[[#This Row],[IMPORTE]]</f>
        <v>93522669.520000041</v>
      </c>
      <c r="L848" s="178" t="s">
        <v>714</v>
      </c>
      <c r="M848" s="174" t="s">
        <v>91</v>
      </c>
    </row>
    <row r="849" spans="2:13" x14ac:dyDescent="0.35">
      <c r="B849" s="173" t="s">
        <v>115</v>
      </c>
      <c r="C849" s="146">
        <v>46044</v>
      </c>
      <c r="D849" s="148">
        <v>9352463</v>
      </c>
      <c r="E849" s="148">
        <v>66</v>
      </c>
      <c r="F849" s="149">
        <v>-200000</v>
      </c>
      <c r="G849" s="147" t="s">
        <v>116</v>
      </c>
      <c r="H849" s="148">
        <v>488</v>
      </c>
      <c r="I849" s="148" t="s">
        <v>123</v>
      </c>
      <c r="J849" s="147" t="s">
        <v>124</v>
      </c>
      <c r="K849" s="149">
        <f>+K848+Tabla6[[#This Row],[IMPORTE]]</f>
        <v>93322669.520000041</v>
      </c>
      <c r="L849" s="178" t="s">
        <v>714</v>
      </c>
      <c r="M849" s="174" t="s">
        <v>91</v>
      </c>
    </row>
    <row r="850" spans="2:13" x14ac:dyDescent="0.35">
      <c r="B850" s="173" t="s">
        <v>115</v>
      </c>
      <c r="C850" s="146">
        <v>46044</v>
      </c>
      <c r="D850" s="148">
        <v>9352681</v>
      </c>
      <c r="E850" s="148">
        <v>66</v>
      </c>
      <c r="F850" s="149">
        <v>-200000</v>
      </c>
      <c r="G850" s="147" t="s">
        <v>116</v>
      </c>
      <c r="H850" s="148">
        <v>488</v>
      </c>
      <c r="I850" s="148" t="s">
        <v>123</v>
      </c>
      <c r="J850" s="147" t="s">
        <v>124</v>
      </c>
      <c r="K850" s="149">
        <f>+K849+Tabla6[[#This Row],[IMPORTE]]</f>
        <v>93122669.520000041</v>
      </c>
      <c r="L850" s="178" t="s">
        <v>714</v>
      </c>
      <c r="M850" s="174" t="s">
        <v>91</v>
      </c>
    </row>
    <row r="851" spans="2:13" x14ac:dyDescent="0.35">
      <c r="B851" s="173" t="s">
        <v>115</v>
      </c>
      <c r="C851" s="146">
        <v>46044</v>
      </c>
      <c r="D851" s="148">
        <v>9352271</v>
      </c>
      <c r="E851" s="148">
        <v>66</v>
      </c>
      <c r="F851" s="149">
        <v>-200000</v>
      </c>
      <c r="G851" s="147" t="s">
        <v>116</v>
      </c>
      <c r="H851" s="148">
        <v>488</v>
      </c>
      <c r="I851" s="148" t="s">
        <v>123</v>
      </c>
      <c r="J851" s="147" t="s">
        <v>124</v>
      </c>
      <c r="K851" s="149">
        <f>+K850+Tabla6[[#This Row],[IMPORTE]]</f>
        <v>92922669.520000041</v>
      </c>
      <c r="L851" s="178" t="s">
        <v>714</v>
      </c>
      <c r="M851" s="174" t="s">
        <v>91</v>
      </c>
    </row>
    <row r="852" spans="2:13" x14ac:dyDescent="0.35">
      <c r="B852" s="173" t="s">
        <v>115</v>
      </c>
      <c r="C852" s="146">
        <v>46044</v>
      </c>
      <c r="D852" s="148">
        <v>9352629</v>
      </c>
      <c r="E852" s="148">
        <v>66</v>
      </c>
      <c r="F852" s="149">
        <v>-200000</v>
      </c>
      <c r="G852" s="147" t="s">
        <v>116</v>
      </c>
      <c r="H852" s="148">
        <v>488</v>
      </c>
      <c r="I852" s="148" t="s">
        <v>123</v>
      </c>
      <c r="J852" s="147" t="s">
        <v>124</v>
      </c>
      <c r="K852" s="149">
        <f>+K851+Tabla6[[#This Row],[IMPORTE]]</f>
        <v>92722669.520000041</v>
      </c>
      <c r="L852" s="178" t="s">
        <v>714</v>
      </c>
      <c r="M852" s="174" t="s">
        <v>91</v>
      </c>
    </row>
    <row r="853" spans="2:13" x14ac:dyDescent="0.35">
      <c r="B853" s="173" t="s">
        <v>115</v>
      </c>
      <c r="C853" s="146">
        <v>46044</v>
      </c>
      <c r="D853" s="148">
        <v>9352642</v>
      </c>
      <c r="E853" s="148">
        <v>66</v>
      </c>
      <c r="F853" s="149">
        <v>-200000</v>
      </c>
      <c r="G853" s="147" t="s">
        <v>116</v>
      </c>
      <c r="H853" s="148">
        <v>488</v>
      </c>
      <c r="I853" s="148" t="s">
        <v>123</v>
      </c>
      <c r="J853" s="147" t="s">
        <v>124</v>
      </c>
      <c r="K853" s="149">
        <f>+K852+Tabla6[[#This Row],[IMPORTE]]</f>
        <v>92522669.520000041</v>
      </c>
      <c r="L853" s="178" t="s">
        <v>714</v>
      </c>
      <c r="M853" s="174" t="s">
        <v>91</v>
      </c>
    </row>
    <row r="854" spans="2:13" x14ac:dyDescent="0.35">
      <c r="B854" s="173" t="s">
        <v>115</v>
      </c>
      <c r="C854" s="146">
        <v>46044</v>
      </c>
      <c r="D854" s="148">
        <v>9352600</v>
      </c>
      <c r="E854" s="148">
        <v>66</v>
      </c>
      <c r="F854" s="149">
        <v>-200000</v>
      </c>
      <c r="G854" s="147" t="s">
        <v>116</v>
      </c>
      <c r="H854" s="148">
        <v>488</v>
      </c>
      <c r="I854" s="148" t="s">
        <v>123</v>
      </c>
      <c r="J854" s="147" t="s">
        <v>124</v>
      </c>
      <c r="K854" s="149">
        <f>+K853+Tabla6[[#This Row],[IMPORTE]]</f>
        <v>92322669.520000041</v>
      </c>
      <c r="L854" s="178" t="s">
        <v>714</v>
      </c>
      <c r="M854" s="174" t="s">
        <v>91</v>
      </c>
    </row>
    <row r="855" spans="2:13" x14ac:dyDescent="0.35">
      <c r="B855" s="173" t="s">
        <v>115</v>
      </c>
      <c r="C855" s="146">
        <v>46044</v>
      </c>
      <c r="D855" s="148">
        <v>9352412</v>
      </c>
      <c r="E855" s="148">
        <v>66</v>
      </c>
      <c r="F855" s="149">
        <v>-200000</v>
      </c>
      <c r="G855" s="147" t="s">
        <v>116</v>
      </c>
      <c r="H855" s="148">
        <v>488</v>
      </c>
      <c r="I855" s="148" t="s">
        <v>123</v>
      </c>
      <c r="J855" s="147" t="s">
        <v>124</v>
      </c>
      <c r="K855" s="149">
        <f>+K854+Tabla6[[#This Row],[IMPORTE]]</f>
        <v>92122669.520000041</v>
      </c>
      <c r="L855" s="178" t="s">
        <v>714</v>
      </c>
      <c r="M855" s="174" t="s">
        <v>91</v>
      </c>
    </row>
    <row r="856" spans="2:13" x14ac:dyDescent="0.35">
      <c r="B856" s="173" t="s">
        <v>115</v>
      </c>
      <c r="C856" s="146">
        <v>46044</v>
      </c>
      <c r="D856" s="148">
        <v>9352541</v>
      </c>
      <c r="E856" s="148">
        <v>66</v>
      </c>
      <c r="F856" s="149">
        <v>-200000</v>
      </c>
      <c r="G856" s="147" t="s">
        <v>116</v>
      </c>
      <c r="H856" s="148">
        <v>488</v>
      </c>
      <c r="I856" s="148" t="s">
        <v>123</v>
      </c>
      <c r="J856" s="147" t="s">
        <v>124</v>
      </c>
      <c r="K856" s="149">
        <f>+K855+Tabla6[[#This Row],[IMPORTE]]</f>
        <v>91922669.520000041</v>
      </c>
      <c r="L856" s="178" t="s">
        <v>714</v>
      </c>
      <c r="M856" s="174" t="s">
        <v>91</v>
      </c>
    </row>
    <row r="857" spans="2:13" x14ac:dyDescent="0.35">
      <c r="B857" s="173" t="s">
        <v>115</v>
      </c>
      <c r="C857" s="146">
        <v>46044</v>
      </c>
      <c r="D857" s="148">
        <v>9352436</v>
      </c>
      <c r="E857" s="148">
        <v>66</v>
      </c>
      <c r="F857" s="149">
        <v>-200000</v>
      </c>
      <c r="G857" s="147" t="s">
        <v>116</v>
      </c>
      <c r="H857" s="148">
        <v>488</v>
      </c>
      <c r="I857" s="148" t="s">
        <v>123</v>
      </c>
      <c r="J857" s="147" t="s">
        <v>124</v>
      </c>
      <c r="K857" s="149">
        <f>+K856+Tabla6[[#This Row],[IMPORTE]]</f>
        <v>91722669.520000041</v>
      </c>
      <c r="L857" s="178" t="s">
        <v>714</v>
      </c>
      <c r="M857" s="174" t="s">
        <v>91</v>
      </c>
    </row>
    <row r="858" spans="2:13" x14ac:dyDescent="0.35">
      <c r="B858" s="173" t="s">
        <v>115</v>
      </c>
      <c r="C858" s="146">
        <v>46044</v>
      </c>
      <c r="D858" s="148">
        <v>9352455</v>
      </c>
      <c r="E858" s="148">
        <v>66</v>
      </c>
      <c r="F858" s="149">
        <v>-200000</v>
      </c>
      <c r="G858" s="147" t="s">
        <v>116</v>
      </c>
      <c r="H858" s="148">
        <v>488</v>
      </c>
      <c r="I858" s="148" t="s">
        <v>123</v>
      </c>
      <c r="J858" s="147" t="s">
        <v>124</v>
      </c>
      <c r="K858" s="149">
        <f>+K857+Tabla6[[#This Row],[IMPORTE]]</f>
        <v>91522669.520000041</v>
      </c>
      <c r="L858" s="178" t="s">
        <v>714</v>
      </c>
      <c r="M858" s="174" t="s">
        <v>91</v>
      </c>
    </row>
    <row r="859" spans="2:13" x14ac:dyDescent="0.35">
      <c r="B859" s="173" t="s">
        <v>115</v>
      </c>
      <c r="C859" s="146">
        <v>46044</v>
      </c>
      <c r="D859" s="148">
        <v>9352582</v>
      </c>
      <c r="E859" s="148">
        <v>66</v>
      </c>
      <c r="F859" s="149">
        <v>-200000</v>
      </c>
      <c r="G859" s="147" t="s">
        <v>116</v>
      </c>
      <c r="H859" s="148">
        <v>488</v>
      </c>
      <c r="I859" s="148" t="s">
        <v>123</v>
      </c>
      <c r="J859" s="147" t="s">
        <v>124</v>
      </c>
      <c r="K859" s="149">
        <f>+K858+Tabla6[[#This Row],[IMPORTE]]</f>
        <v>91322669.520000041</v>
      </c>
      <c r="L859" s="178" t="s">
        <v>714</v>
      </c>
      <c r="M859" s="174" t="s">
        <v>91</v>
      </c>
    </row>
    <row r="860" spans="2:13" x14ac:dyDescent="0.35">
      <c r="B860" s="173" t="s">
        <v>115</v>
      </c>
      <c r="C860" s="146">
        <v>46044</v>
      </c>
      <c r="D860" s="148">
        <v>9352549</v>
      </c>
      <c r="E860" s="148">
        <v>66</v>
      </c>
      <c r="F860" s="149">
        <v>-200000</v>
      </c>
      <c r="G860" s="147" t="s">
        <v>116</v>
      </c>
      <c r="H860" s="148">
        <v>488</v>
      </c>
      <c r="I860" s="148" t="s">
        <v>123</v>
      </c>
      <c r="J860" s="147" t="s">
        <v>124</v>
      </c>
      <c r="K860" s="149">
        <f>+K859+Tabla6[[#This Row],[IMPORTE]]</f>
        <v>91122669.520000041</v>
      </c>
      <c r="L860" s="178" t="s">
        <v>714</v>
      </c>
      <c r="M860" s="174" t="s">
        <v>91</v>
      </c>
    </row>
    <row r="861" spans="2:13" x14ac:dyDescent="0.35">
      <c r="B861" s="173" t="s">
        <v>115</v>
      </c>
      <c r="C861" s="146">
        <v>46044</v>
      </c>
      <c r="D861" s="148">
        <v>9352538</v>
      </c>
      <c r="E861" s="148">
        <v>66</v>
      </c>
      <c r="F861" s="149">
        <v>-200000</v>
      </c>
      <c r="G861" s="147" t="s">
        <v>116</v>
      </c>
      <c r="H861" s="148">
        <v>488</v>
      </c>
      <c r="I861" s="148" t="s">
        <v>123</v>
      </c>
      <c r="J861" s="147" t="s">
        <v>124</v>
      </c>
      <c r="K861" s="149">
        <f>+K860+Tabla6[[#This Row],[IMPORTE]]</f>
        <v>90922669.520000041</v>
      </c>
      <c r="L861" s="178" t="s">
        <v>714</v>
      </c>
      <c r="M861" s="174" t="s">
        <v>91</v>
      </c>
    </row>
    <row r="862" spans="2:13" x14ac:dyDescent="0.35">
      <c r="B862" s="173" t="s">
        <v>115</v>
      </c>
      <c r="C862" s="146">
        <v>46044</v>
      </c>
      <c r="D862" s="148">
        <v>9352667</v>
      </c>
      <c r="E862" s="148">
        <v>66</v>
      </c>
      <c r="F862" s="149">
        <v>-200000</v>
      </c>
      <c r="G862" s="147" t="s">
        <v>116</v>
      </c>
      <c r="H862" s="148">
        <v>488</v>
      </c>
      <c r="I862" s="148" t="s">
        <v>123</v>
      </c>
      <c r="J862" s="147" t="s">
        <v>124</v>
      </c>
      <c r="K862" s="149">
        <f>+K861+Tabla6[[#This Row],[IMPORTE]]</f>
        <v>90722669.520000041</v>
      </c>
      <c r="L862" s="178" t="s">
        <v>714</v>
      </c>
      <c r="M862" s="174" t="s">
        <v>91</v>
      </c>
    </row>
    <row r="863" spans="2:13" x14ac:dyDescent="0.35">
      <c r="B863" s="173" t="s">
        <v>115</v>
      </c>
      <c r="C863" s="146">
        <v>46044</v>
      </c>
      <c r="D863" s="148">
        <v>9352504</v>
      </c>
      <c r="E863" s="148">
        <v>66</v>
      </c>
      <c r="F863" s="149">
        <v>-200000</v>
      </c>
      <c r="G863" s="147" t="s">
        <v>116</v>
      </c>
      <c r="H863" s="148">
        <v>488</v>
      </c>
      <c r="I863" s="148" t="s">
        <v>123</v>
      </c>
      <c r="J863" s="147" t="s">
        <v>124</v>
      </c>
      <c r="K863" s="149">
        <f>+K862+Tabla6[[#This Row],[IMPORTE]]</f>
        <v>90522669.520000041</v>
      </c>
      <c r="L863" s="178" t="s">
        <v>714</v>
      </c>
      <c r="M863" s="174" t="s">
        <v>91</v>
      </c>
    </row>
    <row r="864" spans="2:13" x14ac:dyDescent="0.35">
      <c r="B864" s="173" t="s">
        <v>115</v>
      </c>
      <c r="C864" s="146">
        <v>46044</v>
      </c>
      <c r="D864" s="148">
        <v>9352448</v>
      </c>
      <c r="E864" s="148">
        <v>66</v>
      </c>
      <c r="F864" s="149">
        <v>-200000</v>
      </c>
      <c r="G864" s="147" t="s">
        <v>116</v>
      </c>
      <c r="H864" s="148">
        <v>488</v>
      </c>
      <c r="I864" s="148" t="s">
        <v>123</v>
      </c>
      <c r="J864" s="147" t="s">
        <v>124</v>
      </c>
      <c r="K864" s="149">
        <f>+K863+Tabla6[[#This Row],[IMPORTE]]</f>
        <v>90322669.520000041</v>
      </c>
      <c r="L864" s="178" t="s">
        <v>714</v>
      </c>
      <c r="M864" s="174" t="s">
        <v>91</v>
      </c>
    </row>
    <row r="865" spans="2:13" x14ac:dyDescent="0.35">
      <c r="B865" s="173" t="s">
        <v>115</v>
      </c>
      <c r="C865" s="146">
        <v>46044</v>
      </c>
      <c r="D865" s="148">
        <v>9352618</v>
      </c>
      <c r="E865" s="148">
        <v>66</v>
      </c>
      <c r="F865" s="149">
        <v>-200000</v>
      </c>
      <c r="G865" s="147" t="s">
        <v>116</v>
      </c>
      <c r="H865" s="148">
        <v>488</v>
      </c>
      <c r="I865" s="148" t="s">
        <v>123</v>
      </c>
      <c r="J865" s="147" t="s">
        <v>124</v>
      </c>
      <c r="K865" s="149">
        <f>+K864+Tabla6[[#This Row],[IMPORTE]]</f>
        <v>90122669.520000041</v>
      </c>
      <c r="L865" s="178" t="s">
        <v>714</v>
      </c>
      <c r="M865" s="174" t="s">
        <v>91</v>
      </c>
    </row>
    <row r="866" spans="2:13" x14ac:dyDescent="0.35">
      <c r="B866" s="173" t="s">
        <v>115</v>
      </c>
      <c r="C866" s="146">
        <v>46044</v>
      </c>
      <c r="D866" s="148">
        <v>9352607</v>
      </c>
      <c r="E866" s="148">
        <v>66</v>
      </c>
      <c r="F866" s="149">
        <v>-200000</v>
      </c>
      <c r="G866" s="147" t="s">
        <v>116</v>
      </c>
      <c r="H866" s="148">
        <v>488</v>
      </c>
      <c r="I866" s="148" t="s">
        <v>123</v>
      </c>
      <c r="J866" s="147" t="s">
        <v>124</v>
      </c>
      <c r="K866" s="149">
        <f>+K865+Tabla6[[#This Row],[IMPORTE]]</f>
        <v>89922669.520000041</v>
      </c>
      <c r="L866" s="178" t="s">
        <v>714</v>
      </c>
      <c r="M866" s="174" t="s">
        <v>91</v>
      </c>
    </row>
    <row r="867" spans="2:13" x14ac:dyDescent="0.35">
      <c r="B867" s="173" t="s">
        <v>115</v>
      </c>
      <c r="C867" s="146">
        <v>46044</v>
      </c>
      <c r="D867" s="148">
        <v>9352434</v>
      </c>
      <c r="E867" s="148">
        <v>66</v>
      </c>
      <c r="F867" s="149">
        <v>-200000</v>
      </c>
      <c r="G867" s="147" t="s">
        <v>116</v>
      </c>
      <c r="H867" s="148">
        <v>488</v>
      </c>
      <c r="I867" s="148" t="s">
        <v>123</v>
      </c>
      <c r="J867" s="147" t="s">
        <v>124</v>
      </c>
      <c r="K867" s="149">
        <f>+K866+Tabla6[[#This Row],[IMPORTE]]</f>
        <v>89722669.520000041</v>
      </c>
      <c r="L867" s="178" t="s">
        <v>714</v>
      </c>
      <c r="M867" s="174" t="s">
        <v>91</v>
      </c>
    </row>
    <row r="868" spans="2:13" x14ac:dyDescent="0.35">
      <c r="B868" s="173" t="s">
        <v>115</v>
      </c>
      <c r="C868" s="146">
        <v>46044</v>
      </c>
      <c r="D868" s="148">
        <v>9352685</v>
      </c>
      <c r="E868" s="148">
        <v>66</v>
      </c>
      <c r="F868" s="149">
        <v>-200000</v>
      </c>
      <c r="G868" s="147" t="s">
        <v>116</v>
      </c>
      <c r="H868" s="148">
        <v>488</v>
      </c>
      <c r="I868" s="148" t="s">
        <v>123</v>
      </c>
      <c r="J868" s="147" t="s">
        <v>124</v>
      </c>
      <c r="K868" s="149">
        <f>+K867+Tabla6[[#This Row],[IMPORTE]]</f>
        <v>89522669.520000041</v>
      </c>
      <c r="L868" s="178" t="s">
        <v>714</v>
      </c>
      <c r="M868" s="174" t="s">
        <v>91</v>
      </c>
    </row>
    <row r="869" spans="2:13" x14ac:dyDescent="0.35">
      <c r="B869" s="173" t="s">
        <v>115</v>
      </c>
      <c r="C869" s="146">
        <v>46044</v>
      </c>
      <c r="D869" s="148">
        <v>9352658</v>
      </c>
      <c r="E869" s="148">
        <v>66</v>
      </c>
      <c r="F869" s="149">
        <v>-200000</v>
      </c>
      <c r="G869" s="147" t="s">
        <v>116</v>
      </c>
      <c r="H869" s="148">
        <v>488</v>
      </c>
      <c r="I869" s="148" t="s">
        <v>123</v>
      </c>
      <c r="J869" s="147" t="s">
        <v>124</v>
      </c>
      <c r="K869" s="149">
        <f>+K868+Tabla6[[#This Row],[IMPORTE]]</f>
        <v>89322669.520000041</v>
      </c>
      <c r="L869" s="178" t="s">
        <v>714</v>
      </c>
      <c r="M869" s="174" t="s">
        <v>91</v>
      </c>
    </row>
    <row r="870" spans="2:13" x14ac:dyDescent="0.35">
      <c r="B870" s="173" t="s">
        <v>115</v>
      </c>
      <c r="C870" s="146">
        <v>46044</v>
      </c>
      <c r="D870" s="148">
        <v>9352565</v>
      </c>
      <c r="E870" s="148">
        <v>66</v>
      </c>
      <c r="F870" s="149">
        <v>-200000</v>
      </c>
      <c r="G870" s="147" t="s">
        <v>116</v>
      </c>
      <c r="H870" s="148">
        <v>488</v>
      </c>
      <c r="I870" s="148" t="s">
        <v>123</v>
      </c>
      <c r="J870" s="147" t="s">
        <v>124</v>
      </c>
      <c r="K870" s="149">
        <f>+K869+Tabla6[[#This Row],[IMPORTE]]</f>
        <v>89122669.520000041</v>
      </c>
      <c r="L870" s="178" t="s">
        <v>714</v>
      </c>
      <c r="M870" s="174" t="s">
        <v>91</v>
      </c>
    </row>
    <row r="871" spans="2:13" x14ac:dyDescent="0.35">
      <c r="B871" s="173" t="s">
        <v>115</v>
      </c>
      <c r="C871" s="146">
        <v>46044</v>
      </c>
      <c r="D871" s="148">
        <v>9357138</v>
      </c>
      <c r="E871" s="148">
        <v>66</v>
      </c>
      <c r="F871" s="149">
        <v>-200000</v>
      </c>
      <c r="G871" s="147" t="s">
        <v>116</v>
      </c>
      <c r="H871" s="148">
        <v>488</v>
      </c>
      <c r="I871" s="148" t="s">
        <v>123</v>
      </c>
      <c r="J871" s="147" t="s">
        <v>124</v>
      </c>
      <c r="K871" s="149">
        <f>+K870+Tabla6[[#This Row],[IMPORTE]]</f>
        <v>88922669.520000041</v>
      </c>
      <c r="L871" s="178" t="s">
        <v>714</v>
      </c>
      <c r="M871" s="174" t="s">
        <v>91</v>
      </c>
    </row>
    <row r="872" spans="2:13" x14ac:dyDescent="0.35">
      <c r="B872" s="173" t="s">
        <v>115</v>
      </c>
      <c r="C872" s="146">
        <v>46044</v>
      </c>
      <c r="D872" s="148">
        <v>9357124</v>
      </c>
      <c r="E872" s="148">
        <v>66</v>
      </c>
      <c r="F872" s="149">
        <v>-200000</v>
      </c>
      <c r="G872" s="147" t="s">
        <v>116</v>
      </c>
      <c r="H872" s="148">
        <v>488</v>
      </c>
      <c r="I872" s="148" t="s">
        <v>123</v>
      </c>
      <c r="J872" s="147" t="s">
        <v>124</v>
      </c>
      <c r="K872" s="149">
        <f>+K871+Tabla6[[#This Row],[IMPORTE]]</f>
        <v>88722669.520000041</v>
      </c>
      <c r="L872" s="178" t="s">
        <v>714</v>
      </c>
      <c r="M872" s="174" t="s">
        <v>91</v>
      </c>
    </row>
    <row r="873" spans="2:13" x14ac:dyDescent="0.35">
      <c r="B873" s="173" t="s">
        <v>115</v>
      </c>
      <c r="C873" s="146">
        <v>46044</v>
      </c>
      <c r="D873" s="148">
        <v>9357145</v>
      </c>
      <c r="E873" s="148">
        <v>66</v>
      </c>
      <c r="F873" s="149">
        <v>-200000</v>
      </c>
      <c r="G873" s="147" t="s">
        <v>116</v>
      </c>
      <c r="H873" s="148">
        <v>488</v>
      </c>
      <c r="I873" s="148" t="s">
        <v>123</v>
      </c>
      <c r="J873" s="147" t="s">
        <v>124</v>
      </c>
      <c r="K873" s="149">
        <f>+K872+Tabla6[[#This Row],[IMPORTE]]</f>
        <v>88522669.520000041</v>
      </c>
      <c r="L873" s="178" t="s">
        <v>714</v>
      </c>
      <c r="M873" s="174" t="s">
        <v>91</v>
      </c>
    </row>
    <row r="874" spans="2:13" x14ac:dyDescent="0.35">
      <c r="B874" s="173" t="s">
        <v>115</v>
      </c>
      <c r="C874" s="146">
        <v>46044</v>
      </c>
      <c r="D874" s="148">
        <v>9356851</v>
      </c>
      <c r="E874" s="148">
        <v>66</v>
      </c>
      <c r="F874" s="149">
        <v>-200000</v>
      </c>
      <c r="G874" s="147" t="s">
        <v>116</v>
      </c>
      <c r="H874" s="148">
        <v>488</v>
      </c>
      <c r="I874" s="148" t="s">
        <v>123</v>
      </c>
      <c r="J874" s="147" t="s">
        <v>124</v>
      </c>
      <c r="K874" s="149">
        <f>+K873+Tabla6[[#This Row],[IMPORTE]]</f>
        <v>88322669.520000041</v>
      </c>
      <c r="L874" s="178" t="s">
        <v>714</v>
      </c>
      <c r="M874" s="174" t="s">
        <v>91</v>
      </c>
    </row>
    <row r="875" spans="2:13" x14ac:dyDescent="0.35">
      <c r="B875" s="173" t="s">
        <v>115</v>
      </c>
      <c r="C875" s="146">
        <v>46044</v>
      </c>
      <c r="D875" s="148">
        <v>9356931</v>
      </c>
      <c r="E875" s="148">
        <v>66</v>
      </c>
      <c r="F875" s="149">
        <v>-200000</v>
      </c>
      <c r="G875" s="147" t="s">
        <v>116</v>
      </c>
      <c r="H875" s="148">
        <v>488</v>
      </c>
      <c r="I875" s="148" t="s">
        <v>123</v>
      </c>
      <c r="J875" s="147" t="s">
        <v>124</v>
      </c>
      <c r="K875" s="149">
        <f>+K874+Tabla6[[#This Row],[IMPORTE]]</f>
        <v>88122669.520000041</v>
      </c>
      <c r="L875" s="178" t="s">
        <v>714</v>
      </c>
      <c r="M875" s="174" t="s">
        <v>91</v>
      </c>
    </row>
    <row r="876" spans="2:13" x14ac:dyDescent="0.35">
      <c r="B876" s="173" t="s">
        <v>115</v>
      </c>
      <c r="C876" s="146">
        <v>46044</v>
      </c>
      <c r="D876" s="148">
        <v>9357134</v>
      </c>
      <c r="E876" s="148">
        <v>66</v>
      </c>
      <c r="F876" s="149">
        <v>-200000</v>
      </c>
      <c r="G876" s="147" t="s">
        <v>116</v>
      </c>
      <c r="H876" s="148">
        <v>488</v>
      </c>
      <c r="I876" s="148" t="s">
        <v>123</v>
      </c>
      <c r="J876" s="147" t="s">
        <v>124</v>
      </c>
      <c r="K876" s="149">
        <f>+K875+Tabla6[[#This Row],[IMPORTE]]</f>
        <v>87922669.520000041</v>
      </c>
      <c r="L876" s="178" t="s">
        <v>714</v>
      </c>
      <c r="M876" s="174" t="s">
        <v>91</v>
      </c>
    </row>
    <row r="877" spans="2:13" x14ac:dyDescent="0.35">
      <c r="B877" s="173" t="s">
        <v>115</v>
      </c>
      <c r="C877" s="146">
        <v>46044</v>
      </c>
      <c r="D877" s="148">
        <v>9356867</v>
      </c>
      <c r="E877" s="148">
        <v>66</v>
      </c>
      <c r="F877" s="149">
        <v>-200000</v>
      </c>
      <c r="G877" s="147" t="s">
        <v>116</v>
      </c>
      <c r="H877" s="148">
        <v>488</v>
      </c>
      <c r="I877" s="148" t="s">
        <v>123</v>
      </c>
      <c r="J877" s="147" t="s">
        <v>124</v>
      </c>
      <c r="K877" s="149">
        <f>+K876+Tabla6[[#This Row],[IMPORTE]]</f>
        <v>87722669.520000041</v>
      </c>
      <c r="L877" s="178" t="s">
        <v>714</v>
      </c>
      <c r="M877" s="174" t="s">
        <v>91</v>
      </c>
    </row>
    <row r="878" spans="2:13" x14ac:dyDescent="0.35">
      <c r="B878" s="173" t="s">
        <v>115</v>
      </c>
      <c r="C878" s="146">
        <v>46044</v>
      </c>
      <c r="D878" s="148">
        <v>9356928</v>
      </c>
      <c r="E878" s="148">
        <v>66</v>
      </c>
      <c r="F878" s="149">
        <v>-200000</v>
      </c>
      <c r="G878" s="147" t="s">
        <v>116</v>
      </c>
      <c r="H878" s="148">
        <v>488</v>
      </c>
      <c r="I878" s="148" t="s">
        <v>123</v>
      </c>
      <c r="J878" s="147" t="s">
        <v>124</v>
      </c>
      <c r="K878" s="149">
        <f>+K877+Tabla6[[#This Row],[IMPORTE]]</f>
        <v>87522669.520000041</v>
      </c>
      <c r="L878" s="178" t="s">
        <v>714</v>
      </c>
      <c r="M878" s="174" t="s">
        <v>91</v>
      </c>
    </row>
    <row r="879" spans="2:13" x14ac:dyDescent="0.35">
      <c r="B879" s="173" t="s">
        <v>115</v>
      </c>
      <c r="C879" s="146">
        <v>46044</v>
      </c>
      <c r="D879" s="148">
        <v>9356910</v>
      </c>
      <c r="E879" s="148">
        <v>66</v>
      </c>
      <c r="F879" s="149">
        <v>-200000</v>
      </c>
      <c r="G879" s="147" t="s">
        <v>116</v>
      </c>
      <c r="H879" s="148">
        <v>488</v>
      </c>
      <c r="I879" s="148" t="s">
        <v>123</v>
      </c>
      <c r="J879" s="147" t="s">
        <v>124</v>
      </c>
      <c r="K879" s="149">
        <f>+K878+Tabla6[[#This Row],[IMPORTE]]</f>
        <v>87322669.520000041</v>
      </c>
      <c r="L879" s="178" t="s">
        <v>714</v>
      </c>
      <c r="M879" s="174" t="s">
        <v>91</v>
      </c>
    </row>
    <row r="880" spans="2:13" x14ac:dyDescent="0.35">
      <c r="B880" s="173" t="s">
        <v>115</v>
      </c>
      <c r="C880" s="146">
        <v>46044</v>
      </c>
      <c r="D880" s="148">
        <v>9356866</v>
      </c>
      <c r="E880" s="148">
        <v>66</v>
      </c>
      <c r="F880" s="149">
        <v>-200000</v>
      </c>
      <c r="G880" s="147" t="s">
        <v>116</v>
      </c>
      <c r="H880" s="148">
        <v>488</v>
      </c>
      <c r="I880" s="148" t="s">
        <v>123</v>
      </c>
      <c r="J880" s="147" t="s">
        <v>124</v>
      </c>
      <c r="K880" s="149">
        <f>+K879+Tabla6[[#This Row],[IMPORTE]]</f>
        <v>87122669.520000041</v>
      </c>
      <c r="L880" s="178" t="s">
        <v>714</v>
      </c>
      <c r="M880" s="174" t="s">
        <v>91</v>
      </c>
    </row>
    <row r="881" spans="2:13" x14ac:dyDescent="0.35">
      <c r="B881" s="173" t="s">
        <v>115</v>
      </c>
      <c r="C881" s="146">
        <v>46044</v>
      </c>
      <c r="D881" s="148">
        <v>9356904</v>
      </c>
      <c r="E881" s="148">
        <v>66</v>
      </c>
      <c r="F881" s="149">
        <v>-200000</v>
      </c>
      <c r="G881" s="147" t="s">
        <v>116</v>
      </c>
      <c r="H881" s="148">
        <v>488</v>
      </c>
      <c r="I881" s="148" t="s">
        <v>123</v>
      </c>
      <c r="J881" s="147" t="s">
        <v>124</v>
      </c>
      <c r="K881" s="149">
        <f>+K880+Tabla6[[#This Row],[IMPORTE]]</f>
        <v>86922669.520000041</v>
      </c>
      <c r="L881" s="178" t="s">
        <v>714</v>
      </c>
      <c r="M881" s="174" t="s">
        <v>91</v>
      </c>
    </row>
    <row r="882" spans="2:13" x14ac:dyDescent="0.35">
      <c r="B882" s="173" t="s">
        <v>115</v>
      </c>
      <c r="C882" s="146">
        <v>46044</v>
      </c>
      <c r="D882" s="148">
        <v>9356878</v>
      </c>
      <c r="E882" s="148">
        <v>66</v>
      </c>
      <c r="F882" s="149">
        <v>-200000</v>
      </c>
      <c r="G882" s="147" t="s">
        <v>116</v>
      </c>
      <c r="H882" s="148">
        <v>488</v>
      </c>
      <c r="I882" s="148" t="s">
        <v>123</v>
      </c>
      <c r="J882" s="147" t="s">
        <v>124</v>
      </c>
      <c r="K882" s="149">
        <f>+K881+Tabla6[[#This Row],[IMPORTE]]</f>
        <v>86722669.520000041</v>
      </c>
      <c r="L882" s="178" t="s">
        <v>714</v>
      </c>
      <c r="M882" s="174" t="s">
        <v>91</v>
      </c>
    </row>
    <row r="883" spans="2:13" x14ac:dyDescent="0.35">
      <c r="B883" s="173" t="s">
        <v>115</v>
      </c>
      <c r="C883" s="146">
        <v>46044</v>
      </c>
      <c r="D883" s="148">
        <v>9357142</v>
      </c>
      <c r="E883" s="148">
        <v>66</v>
      </c>
      <c r="F883" s="149">
        <v>-200000</v>
      </c>
      <c r="G883" s="147" t="s">
        <v>116</v>
      </c>
      <c r="H883" s="148">
        <v>488</v>
      </c>
      <c r="I883" s="148" t="s">
        <v>123</v>
      </c>
      <c r="J883" s="147" t="s">
        <v>124</v>
      </c>
      <c r="K883" s="149">
        <f>+K882+Tabla6[[#This Row],[IMPORTE]]</f>
        <v>86522669.520000041</v>
      </c>
      <c r="L883" s="178" t="s">
        <v>714</v>
      </c>
      <c r="M883" s="174" t="s">
        <v>91</v>
      </c>
    </row>
    <row r="884" spans="2:13" x14ac:dyDescent="0.35">
      <c r="B884" s="173" t="s">
        <v>115</v>
      </c>
      <c r="C884" s="146">
        <v>46044</v>
      </c>
      <c r="D884" s="148">
        <v>9357104</v>
      </c>
      <c r="E884" s="148">
        <v>66</v>
      </c>
      <c r="F884" s="149">
        <v>-200000</v>
      </c>
      <c r="G884" s="147" t="s">
        <v>116</v>
      </c>
      <c r="H884" s="148">
        <v>488</v>
      </c>
      <c r="I884" s="148" t="s">
        <v>123</v>
      </c>
      <c r="J884" s="147" t="s">
        <v>124</v>
      </c>
      <c r="K884" s="149">
        <f>+K883+Tabla6[[#This Row],[IMPORTE]]</f>
        <v>86322669.520000041</v>
      </c>
      <c r="L884" s="178" t="s">
        <v>714</v>
      </c>
      <c r="M884" s="174" t="s">
        <v>91</v>
      </c>
    </row>
    <row r="885" spans="2:13" x14ac:dyDescent="0.35">
      <c r="B885" s="173" t="s">
        <v>115</v>
      </c>
      <c r="C885" s="146">
        <v>46044</v>
      </c>
      <c r="D885" s="148">
        <v>9357020</v>
      </c>
      <c r="E885" s="148">
        <v>66</v>
      </c>
      <c r="F885" s="149">
        <v>-200000</v>
      </c>
      <c r="G885" s="147" t="s">
        <v>116</v>
      </c>
      <c r="H885" s="148">
        <v>488</v>
      </c>
      <c r="I885" s="148" t="s">
        <v>123</v>
      </c>
      <c r="J885" s="147" t="s">
        <v>124</v>
      </c>
      <c r="K885" s="149">
        <f>+K884+Tabla6[[#This Row],[IMPORTE]]</f>
        <v>86122669.520000041</v>
      </c>
      <c r="L885" s="178" t="s">
        <v>714</v>
      </c>
      <c r="M885" s="174" t="s">
        <v>91</v>
      </c>
    </row>
    <row r="886" spans="2:13" x14ac:dyDescent="0.35">
      <c r="B886" s="173" t="s">
        <v>115</v>
      </c>
      <c r="C886" s="146">
        <v>46044</v>
      </c>
      <c r="D886" s="148">
        <v>9357087</v>
      </c>
      <c r="E886" s="148">
        <v>66</v>
      </c>
      <c r="F886" s="149">
        <v>-200000</v>
      </c>
      <c r="G886" s="147" t="s">
        <v>116</v>
      </c>
      <c r="H886" s="148">
        <v>488</v>
      </c>
      <c r="I886" s="148" t="s">
        <v>123</v>
      </c>
      <c r="J886" s="147" t="s">
        <v>124</v>
      </c>
      <c r="K886" s="149">
        <f>+K885+Tabla6[[#This Row],[IMPORTE]]</f>
        <v>85922669.520000041</v>
      </c>
      <c r="L886" s="178" t="s">
        <v>714</v>
      </c>
      <c r="M886" s="174" t="s">
        <v>91</v>
      </c>
    </row>
    <row r="887" spans="2:13" x14ac:dyDescent="0.35">
      <c r="B887" s="173" t="s">
        <v>115</v>
      </c>
      <c r="C887" s="146">
        <v>46044</v>
      </c>
      <c r="D887" s="148">
        <v>9357139</v>
      </c>
      <c r="E887" s="148">
        <v>66</v>
      </c>
      <c r="F887" s="149">
        <v>-200000</v>
      </c>
      <c r="G887" s="147" t="s">
        <v>116</v>
      </c>
      <c r="H887" s="148">
        <v>488</v>
      </c>
      <c r="I887" s="148" t="s">
        <v>123</v>
      </c>
      <c r="J887" s="147" t="s">
        <v>124</v>
      </c>
      <c r="K887" s="149">
        <f>+K886+Tabla6[[#This Row],[IMPORTE]]</f>
        <v>85722669.520000041</v>
      </c>
      <c r="L887" s="178" t="s">
        <v>714</v>
      </c>
      <c r="M887" s="174" t="s">
        <v>91</v>
      </c>
    </row>
    <row r="888" spans="2:13" x14ac:dyDescent="0.35">
      <c r="B888" s="173" t="s">
        <v>115</v>
      </c>
      <c r="C888" s="146">
        <v>46044</v>
      </c>
      <c r="D888" s="148">
        <v>9357135</v>
      </c>
      <c r="E888" s="148">
        <v>66</v>
      </c>
      <c r="F888" s="149">
        <v>-200000</v>
      </c>
      <c r="G888" s="147" t="s">
        <v>116</v>
      </c>
      <c r="H888" s="148">
        <v>488</v>
      </c>
      <c r="I888" s="148" t="s">
        <v>123</v>
      </c>
      <c r="J888" s="147" t="s">
        <v>124</v>
      </c>
      <c r="K888" s="149">
        <f>+K887+Tabla6[[#This Row],[IMPORTE]]</f>
        <v>85522669.520000041</v>
      </c>
      <c r="L888" s="178" t="s">
        <v>714</v>
      </c>
      <c r="M888" s="174" t="s">
        <v>91</v>
      </c>
    </row>
    <row r="889" spans="2:13" x14ac:dyDescent="0.35">
      <c r="B889" s="173" t="s">
        <v>115</v>
      </c>
      <c r="C889" s="146">
        <v>46044</v>
      </c>
      <c r="D889" s="148">
        <v>9357094</v>
      </c>
      <c r="E889" s="148">
        <v>66</v>
      </c>
      <c r="F889" s="149">
        <v>-200000</v>
      </c>
      <c r="G889" s="147" t="s">
        <v>116</v>
      </c>
      <c r="H889" s="148">
        <v>488</v>
      </c>
      <c r="I889" s="148" t="s">
        <v>123</v>
      </c>
      <c r="J889" s="147" t="s">
        <v>124</v>
      </c>
      <c r="K889" s="149">
        <f>+K888+Tabla6[[#This Row],[IMPORTE]]</f>
        <v>85322669.520000041</v>
      </c>
      <c r="L889" s="178" t="s">
        <v>714</v>
      </c>
      <c r="M889" s="174" t="s">
        <v>91</v>
      </c>
    </row>
    <row r="890" spans="2:13" x14ac:dyDescent="0.35">
      <c r="B890" s="173" t="s">
        <v>115</v>
      </c>
      <c r="C890" s="146">
        <v>46044</v>
      </c>
      <c r="D890" s="148">
        <v>9356937</v>
      </c>
      <c r="E890" s="148">
        <v>66</v>
      </c>
      <c r="F890" s="149">
        <v>-200000</v>
      </c>
      <c r="G890" s="147" t="s">
        <v>116</v>
      </c>
      <c r="H890" s="148">
        <v>488</v>
      </c>
      <c r="I890" s="148" t="s">
        <v>123</v>
      </c>
      <c r="J890" s="147" t="s">
        <v>124</v>
      </c>
      <c r="K890" s="149">
        <f>+K889+Tabla6[[#This Row],[IMPORTE]]</f>
        <v>85122669.520000041</v>
      </c>
      <c r="L890" s="178" t="s">
        <v>714</v>
      </c>
      <c r="M890" s="174" t="s">
        <v>91</v>
      </c>
    </row>
    <row r="891" spans="2:13" x14ac:dyDescent="0.35">
      <c r="B891" s="173" t="s">
        <v>115</v>
      </c>
      <c r="C891" s="146">
        <v>46044</v>
      </c>
      <c r="D891" s="148">
        <v>9356925</v>
      </c>
      <c r="E891" s="148">
        <v>66</v>
      </c>
      <c r="F891" s="149">
        <v>-200000</v>
      </c>
      <c r="G891" s="147" t="s">
        <v>116</v>
      </c>
      <c r="H891" s="148">
        <v>488</v>
      </c>
      <c r="I891" s="148" t="s">
        <v>123</v>
      </c>
      <c r="J891" s="147" t="s">
        <v>124</v>
      </c>
      <c r="K891" s="149">
        <f>+K890+Tabla6[[#This Row],[IMPORTE]]</f>
        <v>84922669.520000041</v>
      </c>
      <c r="L891" s="178" t="s">
        <v>714</v>
      </c>
      <c r="M891" s="174" t="s">
        <v>91</v>
      </c>
    </row>
    <row r="892" spans="2:13" x14ac:dyDescent="0.35">
      <c r="B892" s="173" t="s">
        <v>115</v>
      </c>
      <c r="C892" s="146">
        <v>46044</v>
      </c>
      <c r="D892" s="148">
        <v>9357069</v>
      </c>
      <c r="E892" s="148">
        <v>66</v>
      </c>
      <c r="F892" s="149">
        <v>-200000</v>
      </c>
      <c r="G892" s="147" t="s">
        <v>116</v>
      </c>
      <c r="H892" s="148">
        <v>488</v>
      </c>
      <c r="I892" s="148" t="s">
        <v>123</v>
      </c>
      <c r="J892" s="147" t="s">
        <v>124</v>
      </c>
      <c r="K892" s="149">
        <f>+K891+Tabla6[[#This Row],[IMPORTE]]</f>
        <v>84722669.520000041</v>
      </c>
      <c r="L892" s="178" t="s">
        <v>714</v>
      </c>
      <c r="M892" s="174" t="s">
        <v>91</v>
      </c>
    </row>
    <row r="893" spans="2:13" x14ac:dyDescent="0.35">
      <c r="B893" s="173" t="s">
        <v>115</v>
      </c>
      <c r="C893" s="146">
        <v>46044</v>
      </c>
      <c r="D893" s="148">
        <v>9356874</v>
      </c>
      <c r="E893" s="148">
        <v>66</v>
      </c>
      <c r="F893" s="149">
        <v>-200000</v>
      </c>
      <c r="G893" s="147" t="s">
        <v>116</v>
      </c>
      <c r="H893" s="148">
        <v>488</v>
      </c>
      <c r="I893" s="148" t="s">
        <v>123</v>
      </c>
      <c r="J893" s="147" t="s">
        <v>124</v>
      </c>
      <c r="K893" s="149">
        <f>+K892+Tabla6[[#This Row],[IMPORTE]]</f>
        <v>84522669.520000041</v>
      </c>
      <c r="L893" s="178" t="s">
        <v>714</v>
      </c>
      <c r="M893" s="174" t="s">
        <v>91</v>
      </c>
    </row>
    <row r="894" spans="2:13" x14ac:dyDescent="0.35">
      <c r="B894" s="173" t="s">
        <v>115</v>
      </c>
      <c r="C894" s="146">
        <v>46044</v>
      </c>
      <c r="D894" s="148">
        <v>9356922</v>
      </c>
      <c r="E894" s="148">
        <v>66</v>
      </c>
      <c r="F894" s="149">
        <v>-200000</v>
      </c>
      <c r="G894" s="147" t="s">
        <v>116</v>
      </c>
      <c r="H894" s="148">
        <v>488</v>
      </c>
      <c r="I894" s="148" t="s">
        <v>123</v>
      </c>
      <c r="J894" s="147" t="s">
        <v>124</v>
      </c>
      <c r="K894" s="149">
        <f>+K893+Tabla6[[#This Row],[IMPORTE]]</f>
        <v>84322669.520000041</v>
      </c>
      <c r="L894" s="178" t="s">
        <v>714</v>
      </c>
      <c r="M894" s="174" t="s">
        <v>91</v>
      </c>
    </row>
    <row r="895" spans="2:13" x14ac:dyDescent="0.35">
      <c r="B895" s="173" t="s">
        <v>115</v>
      </c>
      <c r="C895" s="146">
        <v>46044</v>
      </c>
      <c r="D895" s="148">
        <v>9356864</v>
      </c>
      <c r="E895" s="148">
        <v>66</v>
      </c>
      <c r="F895" s="149">
        <v>-200000</v>
      </c>
      <c r="G895" s="147" t="s">
        <v>116</v>
      </c>
      <c r="H895" s="148">
        <v>488</v>
      </c>
      <c r="I895" s="148" t="s">
        <v>123</v>
      </c>
      <c r="J895" s="147" t="s">
        <v>124</v>
      </c>
      <c r="K895" s="149">
        <f>+K894+Tabla6[[#This Row],[IMPORTE]]</f>
        <v>84122669.520000041</v>
      </c>
      <c r="L895" s="178" t="s">
        <v>714</v>
      </c>
      <c r="M895" s="174" t="s">
        <v>91</v>
      </c>
    </row>
    <row r="896" spans="2:13" x14ac:dyDescent="0.35">
      <c r="B896" s="173" t="s">
        <v>115</v>
      </c>
      <c r="C896" s="146">
        <v>46044</v>
      </c>
      <c r="D896" s="148">
        <v>9356945</v>
      </c>
      <c r="E896" s="148">
        <v>66</v>
      </c>
      <c r="F896" s="149">
        <v>-200000</v>
      </c>
      <c r="G896" s="147" t="s">
        <v>116</v>
      </c>
      <c r="H896" s="148">
        <v>488</v>
      </c>
      <c r="I896" s="148" t="s">
        <v>123</v>
      </c>
      <c r="J896" s="147" t="s">
        <v>124</v>
      </c>
      <c r="K896" s="149">
        <f>+K895+Tabla6[[#This Row],[IMPORTE]]</f>
        <v>83922669.520000041</v>
      </c>
      <c r="L896" s="178" t="s">
        <v>714</v>
      </c>
      <c r="M896" s="174" t="s">
        <v>91</v>
      </c>
    </row>
    <row r="897" spans="2:13" x14ac:dyDescent="0.35">
      <c r="B897" s="173" t="s">
        <v>115</v>
      </c>
      <c r="C897" s="146">
        <v>46044</v>
      </c>
      <c r="D897" s="148">
        <v>9357010</v>
      </c>
      <c r="E897" s="148">
        <v>66</v>
      </c>
      <c r="F897" s="149">
        <v>-200000</v>
      </c>
      <c r="G897" s="147" t="s">
        <v>116</v>
      </c>
      <c r="H897" s="148">
        <v>488</v>
      </c>
      <c r="I897" s="148" t="s">
        <v>123</v>
      </c>
      <c r="J897" s="147" t="s">
        <v>124</v>
      </c>
      <c r="K897" s="149">
        <f>+K896+Tabla6[[#This Row],[IMPORTE]]</f>
        <v>83722669.520000041</v>
      </c>
      <c r="L897" s="178" t="s">
        <v>714</v>
      </c>
      <c r="M897" s="174" t="s">
        <v>91</v>
      </c>
    </row>
    <row r="898" spans="2:13" x14ac:dyDescent="0.35">
      <c r="B898" s="173" t="s">
        <v>115</v>
      </c>
      <c r="C898" s="146">
        <v>46044</v>
      </c>
      <c r="D898" s="148">
        <v>9356933</v>
      </c>
      <c r="E898" s="148">
        <v>66</v>
      </c>
      <c r="F898" s="149">
        <v>-200000</v>
      </c>
      <c r="G898" s="147" t="s">
        <v>116</v>
      </c>
      <c r="H898" s="148">
        <v>488</v>
      </c>
      <c r="I898" s="148" t="s">
        <v>123</v>
      </c>
      <c r="J898" s="147" t="s">
        <v>124</v>
      </c>
      <c r="K898" s="149">
        <f>+K897+Tabla6[[#This Row],[IMPORTE]]</f>
        <v>83522669.520000041</v>
      </c>
      <c r="L898" s="178" t="s">
        <v>714</v>
      </c>
      <c r="M898" s="174" t="s">
        <v>91</v>
      </c>
    </row>
    <row r="899" spans="2:13" x14ac:dyDescent="0.35">
      <c r="B899" s="173" t="s">
        <v>115</v>
      </c>
      <c r="C899" s="146">
        <v>46044</v>
      </c>
      <c r="D899" s="148">
        <v>9357100</v>
      </c>
      <c r="E899" s="148">
        <v>66</v>
      </c>
      <c r="F899" s="149">
        <v>-200000</v>
      </c>
      <c r="G899" s="147" t="s">
        <v>116</v>
      </c>
      <c r="H899" s="148">
        <v>488</v>
      </c>
      <c r="I899" s="148" t="s">
        <v>123</v>
      </c>
      <c r="J899" s="147" t="s">
        <v>124</v>
      </c>
      <c r="K899" s="149">
        <f>+K898+Tabla6[[#This Row],[IMPORTE]]</f>
        <v>83322669.520000041</v>
      </c>
      <c r="L899" s="178" t="s">
        <v>714</v>
      </c>
      <c r="M899" s="174" t="s">
        <v>91</v>
      </c>
    </row>
    <row r="900" spans="2:13" x14ac:dyDescent="0.35">
      <c r="B900" s="173" t="s">
        <v>115</v>
      </c>
      <c r="C900" s="146">
        <v>46044</v>
      </c>
      <c r="D900" s="148">
        <v>9356887</v>
      </c>
      <c r="E900" s="148">
        <v>66</v>
      </c>
      <c r="F900" s="149">
        <v>-200000</v>
      </c>
      <c r="G900" s="147" t="s">
        <v>116</v>
      </c>
      <c r="H900" s="148">
        <v>488</v>
      </c>
      <c r="I900" s="148" t="s">
        <v>123</v>
      </c>
      <c r="J900" s="147" t="s">
        <v>124</v>
      </c>
      <c r="K900" s="149">
        <f>+K899+Tabla6[[#This Row],[IMPORTE]]</f>
        <v>83122669.520000041</v>
      </c>
      <c r="L900" s="178" t="s">
        <v>714</v>
      </c>
      <c r="M900" s="174" t="s">
        <v>91</v>
      </c>
    </row>
    <row r="901" spans="2:13" x14ac:dyDescent="0.35">
      <c r="B901" s="173" t="s">
        <v>115</v>
      </c>
      <c r="C901" s="146">
        <v>46044</v>
      </c>
      <c r="D901" s="148">
        <v>9356888</v>
      </c>
      <c r="E901" s="148">
        <v>66</v>
      </c>
      <c r="F901" s="149">
        <v>-200000</v>
      </c>
      <c r="G901" s="147" t="s">
        <v>116</v>
      </c>
      <c r="H901" s="148">
        <v>488</v>
      </c>
      <c r="I901" s="148" t="s">
        <v>123</v>
      </c>
      <c r="J901" s="147" t="s">
        <v>124</v>
      </c>
      <c r="K901" s="149">
        <f>+K900+Tabla6[[#This Row],[IMPORTE]]</f>
        <v>82922669.520000041</v>
      </c>
      <c r="L901" s="178" t="s">
        <v>714</v>
      </c>
      <c r="M901" s="174" t="s">
        <v>91</v>
      </c>
    </row>
    <row r="902" spans="2:13" x14ac:dyDescent="0.35">
      <c r="B902" s="173" t="s">
        <v>115</v>
      </c>
      <c r="C902" s="146">
        <v>46044</v>
      </c>
      <c r="D902" s="148">
        <v>9357115</v>
      </c>
      <c r="E902" s="148">
        <v>66</v>
      </c>
      <c r="F902" s="149">
        <v>-200000</v>
      </c>
      <c r="G902" s="147" t="s">
        <v>116</v>
      </c>
      <c r="H902" s="148">
        <v>488</v>
      </c>
      <c r="I902" s="148" t="s">
        <v>123</v>
      </c>
      <c r="J902" s="147" t="s">
        <v>124</v>
      </c>
      <c r="K902" s="149">
        <f>+K901+Tabla6[[#This Row],[IMPORTE]]</f>
        <v>82722669.520000041</v>
      </c>
      <c r="L902" s="178" t="s">
        <v>714</v>
      </c>
      <c r="M902" s="174" t="s">
        <v>91</v>
      </c>
    </row>
    <row r="903" spans="2:13" x14ac:dyDescent="0.35">
      <c r="B903" s="173" t="s">
        <v>115</v>
      </c>
      <c r="C903" s="146">
        <v>46044</v>
      </c>
      <c r="D903" s="148">
        <v>9356861</v>
      </c>
      <c r="E903" s="148">
        <v>66</v>
      </c>
      <c r="F903" s="149">
        <v>-200000</v>
      </c>
      <c r="G903" s="147" t="s">
        <v>116</v>
      </c>
      <c r="H903" s="148">
        <v>488</v>
      </c>
      <c r="I903" s="148" t="s">
        <v>123</v>
      </c>
      <c r="J903" s="147" t="s">
        <v>124</v>
      </c>
      <c r="K903" s="149">
        <f>+K902+Tabla6[[#This Row],[IMPORTE]]</f>
        <v>82522669.520000041</v>
      </c>
      <c r="L903" s="178" t="s">
        <v>714</v>
      </c>
      <c r="M903" s="174" t="s">
        <v>91</v>
      </c>
    </row>
    <row r="904" spans="2:13" x14ac:dyDescent="0.35">
      <c r="B904" s="173" t="s">
        <v>115</v>
      </c>
      <c r="C904" s="146">
        <v>46044</v>
      </c>
      <c r="D904" s="148">
        <v>9357132</v>
      </c>
      <c r="E904" s="148">
        <v>66</v>
      </c>
      <c r="F904" s="149">
        <v>-200000</v>
      </c>
      <c r="G904" s="147" t="s">
        <v>116</v>
      </c>
      <c r="H904" s="148">
        <v>488</v>
      </c>
      <c r="I904" s="148" t="s">
        <v>123</v>
      </c>
      <c r="J904" s="147" t="s">
        <v>124</v>
      </c>
      <c r="K904" s="149">
        <f>+K903+Tabla6[[#This Row],[IMPORTE]]</f>
        <v>82322669.520000041</v>
      </c>
      <c r="L904" s="178" t="s">
        <v>714</v>
      </c>
      <c r="M904" s="174" t="s">
        <v>91</v>
      </c>
    </row>
    <row r="905" spans="2:13" x14ac:dyDescent="0.35">
      <c r="B905" s="173" t="s">
        <v>115</v>
      </c>
      <c r="C905" s="146">
        <v>46044</v>
      </c>
      <c r="D905" s="148">
        <v>9357143</v>
      </c>
      <c r="E905" s="148">
        <v>66</v>
      </c>
      <c r="F905" s="149">
        <v>-200000</v>
      </c>
      <c r="G905" s="147" t="s">
        <v>116</v>
      </c>
      <c r="H905" s="148">
        <v>488</v>
      </c>
      <c r="I905" s="148" t="s">
        <v>123</v>
      </c>
      <c r="J905" s="147" t="s">
        <v>124</v>
      </c>
      <c r="K905" s="149">
        <f>+K904+Tabla6[[#This Row],[IMPORTE]]</f>
        <v>82122669.520000041</v>
      </c>
      <c r="L905" s="178" t="s">
        <v>714</v>
      </c>
      <c r="M905" s="174" t="s">
        <v>91</v>
      </c>
    </row>
    <row r="906" spans="2:13" x14ac:dyDescent="0.35">
      <c r="B906" s="173" t="s">
        <v>115</v>
      </c>
      <c r="C906" s="146">
        <v>46044</v>
      </c>
      <c r="D906" s="148">
        <v>9356858</v>
      </c>
      <c r="E906" s="148">
        <v>66</v>
      </c>
      <c r="F906" s="149">
        <v>-200000</v>
      </c>
      <c r="G906" s="147" t="s">
        <v>116</v>
      </c>
      <c r="H906" s="148">
        <v>488</v>
      </c>
      <c r="I906" s="148" t="s">
        <v>123</v>
      </c>
      <c r="J906" s="147" t="s">
        <v>124</v>
      </c>
      <c r="K906" s="149">
        <f>+K905+Tabla6[[#This Row],[IMPORTE]]</f>
        <v>81922669.520000041</v>
      </c>
      <c r="L906" s="178" t="s">
        <v>714</v>
      </c>
      <c r="M906" s="174" t="s">
        <v>91</v>
      </c>
    </row>
    <row r="907" spans="2:13" x14ac:dyDescent="0.35">
      <c r="B907" s="173" t="s">
        <v>115</v>
      </c>
      <c r="C907" s="146">
        <v>46044</v>
      </c>
      <c r="D907" s="148">
        <v>9356935</v>
      </c>
      <c r="E907" s="148">
        <v>66</v>
      </c>
      <c r="F907" s="149">
        <v>-200000</v>
      </c>
      <c r="G907" s="147" t="s">
        <v>116</v>
      </c>
      <c r="H907" s="148">
        <v>488</v>
      </c>
      <c r="I907" s="148" t="s">
        <v>123</v>
      </c>
      <c r="J907" s="147" t="s">
        <v>124</v>
      </c>
      <c r="K907" s="149">
        <f>+K906+Tabla6[[#This Row],[IMPORTE]]</f>
        <v>81722669.520000041</v>
      </c>
      <c r="L907" s="178" t="s">
        <v>714</v>
      </c>
      <c r="M907" s="174" t="s">
        <v>91</v>
      </c>
    </row>
    <row r="908" spans="2:13" x14ac:dyDescent="0.35">
      <c r="B908" s="173" t="s">
        <v>115</v>
      </c>
      <c r="C908" s="146">
        <v>46044</v>
      </c>
      <c r="D908" s="148">
        <v>9357120</v>
      </c>
      <c r="E908" s="148">
        <v>66</v>
      </c>
      <c r="F908" s="149">
        <v>-200000</v>
      </c>
      <c r="G908" s="147" t="s">
        <v>116</v>
      </c>
      <c r="H908" s="148">
        <v>488</v>
      </c>
      <c r="I908" s="148" t="s">
        <v>123</v>
      </c>
      <c r="J908" s="147" t="s">
        <v>124</v>
      </c>
      <c r="K908" s="149">
        <f>+K907+Tabla6[[#This Row],[IMPORTE]]</f>
        <v>81522669.520000041</v>
      </c>
      <c r="L908" s="178" t="s">
        <v>714</v>
      </c>
      <c r="M908" s="174" t="s">
        <v>91</v>
      </c>
    </row>
    <row r="909" spans="2:13" x14ac:dyDescent="0.35">
      <c r="B909" s="173" t="s">
        <v>115</v>
      </c>
      <c r="C909" s="146">
        <v>46044</v>
      </c>
      <c r="D909" s="148">
        <v>9356919</v>
      </c>
      <c r="E909" s="148">
        <v>66</v>
      </c>
      <c r="F909" s="149">
        <v>-200000</v>
      </c>
      <c r="G909" s="147" t="s">
        <v>116</v>
      </c>
      <c r="H909" s="148">
        <v>488</v>
      </c>
      <c r="I909" s="148" t="s">
        <v>123</v>
      </c>
      <c r="J909" s="147" t="s">
        <v>124</v>
      </c>
      <c r="K909" s="149">
        <f>+K908+Tabla6[[#This Row],[IMPORTE]]</f>
        <v>81322669.520000041</v>
      </c>
      <c r="L909" s="178" t="s">
        <v>714</v>
      </c>
      <c r="M909" s="174" t="s">
        <v>91</v>
      </c>
    </row>
    <row r="910" spans="2:13" x14ac:dyDescent="0.35">
      <c r="B910" s="173" t="s">
        <v>115</v>
      </c>
      <c r="C910" s="146">
        <v>46044</v>
      </c>
      <c r="D910" s="148">
        <v>9357049</v>
      </c>
      <c r="E910" s="148">
        <v>66</v>
      </c>
      <c r="F910" s="149">
        <v>-200000</v>
      </c>
      <c r="G910" s="147" t="s">
        <v>116</v>
      </c>
      <c r="H910" s="148">
        <v>488</v>
      </c>
      <c r="I910" s="148" t="s">
        <v>123</v>
      </c>
      <c r="J910" s="147" t="s">
        <v>124</v>
      </c>
      <c r="K910" s="149">
        <f>+K909+Tabla6[[#This Row],[IMPORTE]]</f>
        <v>81122669.520000041</v>
      </c>
      <c r="L910" s="178" t="s">
        <v>714</v>
      </c>
      <c r="M910" s="174" t="s">
        <v>91</v>
      </c>
    </row>
    <row r="911" spans="2:13" x14ac:dyDescent="0.35">
      <c r="B911" s="173" t="s">
        <v>115</v>
      </c>
      <c r="C911" s="146">
        <v>46044</v>
      </c>
      <c r="D911" s="148">
        <v>9356854</v>
      </c>
      <c r="E911" s="148">
        <v>66</v>
      </c>
      <c r="F911" s="149">
        <v>-200000</v>
      </c>
      <c r="G911" s="147" t="s">
        <v>116</v>
      </c>
      <c r="H911" s="148">
        <v>488</v>
      </c>
      <c r="I911" s="148" t="s">
        <v>123</v>
      </c>
      <c r="J911" s="147" t="s">
        <v>124</v>
      </c>
      <c r="K911" s="149">
        <f>+K910+Tabla6[[#This Row],[IMPORTE]]</f>
        <v>80922669.520000041</v>
      </c>
      <c r="L911" s="178" t="s">
        <v>714</v>
      </c>
      <c r="M911" s="174" t="s">
        <v>91</v>
      </c>
    </row>
    <row r="912" spans="2:13" x14ac:dyDescent="0.35">
      <c r="B912" s="173" t="s">
        <v>115</v>
      </c>
      <c r="C912" s="146">
        <v>46044</v>
      </c>
      <c r="D912" s="148">
        <v>9357148</v>
      </c>
      <c r="E912" s="148">
        <v>66</v>
      </c>
      <c r="F912" s="149">
        <v>-200000</v>
      </c>
      <c r="G912" s="147" t="s">
        <v>116</v>
      </c>
      <c r="H912" s="148">
        <v>488</v>
      </c>
      <c r="I912" s="148" t="s">
        <v>123</v>
      </c>
      <c r="J912" s="147" t="s">
        <v>124</v>
      </c>
      <c r="K912" s="149">
        <f>+K911+Tabla6[[#This Row],[IMPORTE]]</f>
        <v>80722669.520000041</v>
      </c>
      <c r="L912" s="178" t="s">
        <v>714</v>
      </c>
      <c r="M912" s="174" t="s">
        <v>91</v>
      </c>
    </row>
    <row r="913" spans="2:13" x14ac:dyDescent="0.35">
      <c r="B913" s="173" t="s">
        <v>115</v>
      </c>
      <c r="C913" s="146">
        <v>46044</v>
      </c>
      <c r="D913" s="148">
        <v>9356876</v>
      </c>
      <c r="E913" s="148">
        <v>66</v>
      </c>
      <c r="F913" s="149">
        <v>-200000</v>
      </c>
      <c r="G913" s="147" t="s">
        <v>116</v>
      </c>
      <c r="H913" s="148">
        <v>488</v>
      </c>
      <c r="I913" s="148" t="s">
        <v>123</v>
      </c>
      <c r="J913" s="147" t="s">
        <v>124</v>
      </c>
      <c r="K913" s="149">
        <f>+K912+Tabla6[[#This Row],[IMPORTE]]</f>
        <v>80522669.520000041</v>
      </c>
      <c r="L913" s="178" t="s">
        <v>714</v>
      </c>
      <c r="M913" s="174" t="s">
        <v>91</v>
      </c>
    </row>
    <row r="914" spans="2:13" x14ac:dyDescent="0.35">
      <c r="B914" s="173" t="s">
        <v>115</v>
      </c>
      <c r="C914" s="146">
        <v>46044</v>
      </c>
      <c r="D914" s="148">
        <v>9356880</v>
      </c>
      <c r="E914" s="148">
        <v>66</v>
      </c>
      <c r="F914" s="149">
        <v>-200000</v>
      </c>
      <c r="G914" s="147" t="s">
        <v>116</v>
      </c>
      <c r="H914" s="148">
        <v>488</v>
      </c>
      <c r="I914" s="148" t="s">
        <v>123</v>
      </c>
      <c r="J914" s="147" t="s">
        <v>124</v>
      </c>
      <c r="K914" s="149">
        <f>+K913+Tabla6[[#This Row],[IMPORTE]]</f>
        <v>80322669.520000041</v>
      </c>
      <c r="L914" s="178" t="s">
        <v>714</v>
      </c>
      <c r="M914" s="174" t="s">
        <v>91</v>
      </c>
    </row>
    <row r="915" spans="2:13" x14ac:dyDescent="0.35">
      <c r="B915" s="173" t="s">
        <v>115</v>
      </c>
      <c r="C915" s="146">
        <v>46044</v>
      </c>
      <c r="D915" s="148">
        <v>9357109</v>
      </c>
      <c r="E915" s="148">
        <v>66</v>
      </c>
      <c r="F915" s="149">
        <v>-200000</v>
      </c>
      <c r="G915" s="147" t="s">
        <v>116</v>
      </c>
      <c r="H915" s="148">
        <v>488</v>
      </c>
      <c r="I915" s="148" t="s">
        <v>123</v>
      </c>
      <c r="J915" s="147" t="s">
        <v>124</v>
      </c>
      <c r="K915" s="149">
        <f>+K914+Tabla6[[#This Row],[IMPORTE]]</f>
        <v>80122669.520000041</v>
      </c>
      <c r="L915" s="178" t="s">
        <v>714</v>
      </c>
      <c r="M915" s="174" t="s">
        <v>91</v>
      </c>
    </row>
    <row r="916" spans="2:13" x14ac:dyDescent="0.35">
      <c r="B916" s="173" t="s">
        <v>115</v>
      </c>
      <c r="C916" s="146">
        <v>46044</v>
      </c>
      <c r="D916" s="148">
        <v>9356870</v>
      </c>
      <c r="E916" s="148">
        <v>66</v>
      </c>
      <c r="F916" s="149">
        <v>-200000</v>
      </c>
      <c r="G916" s="147" t="s">
        <v>116</v>
      </c>
      <c r="H916" s="148">
        <v>488</v>
      </c>
      <c r="I916" s="148" t="s">
        <v>123</v>
      </c>
      <c r="J916" s="147" t="s">
        <v>124</v>
      </c>
      <c r="K916" s="149">
        <f>+K915+Tabla6[[#This Row],[IMPORTE]]</f>
        <v>79922669.520000041</v>
      </c>
      <c r="L916" s="178" t="s">
        <v>714</v>
      </c>
      <c r="M916" s="174" t="s">
        <v>91</v>
      </c>
    </row>
    <row r="917" spans="2:13" x14ac:dyDescent="0.35">
      <c r="B917" s="173" t="s">
        <v>115</v>
      </c>
      <c r="C917" s="146">
        <v>46044</v>
      </c>
      <c r="D917" s="148">
        <v>9357092</v>
      </c>
      <c r="E917" s="148">
        <v>66</v>
      </c>
      <c r="F917" s="149">
        <v>-200000</v>
      </c>
      <c r="G917" s="147" t="s">
        <v>116</v>
      </c>
      <c r="H917" s="148">
        <v>488</v>
      </c>
      <c r="I917" s="148" t="s">
        <v>123</v>
      </c>
      <c r="J917" s="147" t="s">
        <v>124</v>
      </c>
      <c r="K917" s="149">
        <f>+K916+Tabla6[[#This Row],[IMPORTE]]</f>
        <v>79722669.520000041</v>
      </c>
      <c r="L917" s="178" t="s">
        <v>714</v>
      </c>
      <c r="M917" s="174" t="s">
        <v>91</v>
      </c>
    </row>
    <row r="918" spans="2:13" x14ac:dyDescent="0.35">
      <c r="B918" s="173" t="s">
        <v>115</v>
      </c>
      <c r="C918" s="146">
        <v>46044</v>
      </c>
      <c r="D918" s="148">
        <v>9357129</v>
      </c>
      <c r="E918" s="148">
        <v>66</v>
      </c>
      <c r="F918" s="149">
        <v>-200000</v>
      </c>
      <c r="G918" s="147" t="s">
        <v>116</v>
      </c>
      <c r="H918" s="148">
        <v>488</v>
      </c>
      <c r="I918" s="148" t="s">
        <v>123</v>
      </c>
      <c r="J918" s="147" t="s">
        <v>124</v>
      </c>
      <c r="K918" s="149">
        <f>+K917+Tabla6[[#This Row],[IMPORTE]]</f>
        <v>79522669.520000041</v>
      </c>
      <c r="L918" s="178" t="s">
        <v>714</v>
      </c>
      <c r="M918" s="174" t="s">
        <v>91</v>
      </c>
    </row>
    <row r="919" spans="2:13" x14ac:dyDescent="0.35">
      <c r="B919" s="173" t="s">
        <v>115</v>
      </c>
      <c r="C919" s="146">
        <v>46044</v>
      </c>
      <c r="D919" s="148">
        <v>9356941</v>
      </c>
      <c r="E919" s="148">
        <v>66</v>
      </c>
      <c r="F919" s="149">
        <v>-200000</v>
      </c>
      <c r="G919" s="147" t="s">
        <v>116</v>
      </c>
      <c r="H919" s="148">
        <v>488</v>
      </c>
      <c r="I919" s="148" t="s">
        <v>123</v>
      </c>
      <c r="J919" s="147" t="s">
        <v>124</v>
      </c>
      <c r="K919" s="149">
        <f>+K918+Tabla6[[#This Row],[IMPORTE]]</f>
        <v>79322669.520000041</v>
      </c>
      <c r="L919" s="178" t="s">
        <v>714</v>
      </c>
      <c r="M919" s="174" t="s">
        <v>91</v>
      </c>
    </row>
    <row r="920" spans="2:13" x14ac:dyDescent="0.35">
      <c r="B920" s="173" t="s">
        <v>115</v>
      </c>
      <c r="C920" s="146">
        <v>46044</v>
      </c>
      <c r="D920" s="148">
        <v>9352609</v>
      </c>
      <c r="E920" s="148">
        <v>66</v>
      </c>
      <c r="F920" s="149">
        <v>-195000</v>
      </c>
      <c r="G920" s="147" t="s">
        <v>116</v>
      </c>
      <c r="H920" s="148">
        <v>488</v>
      </c>
      <c r="I920" s="148" t="s">
        <v>123</v>
      </c>
      <c r="J920" s="147" t="s">
        <v>124</v>
      </c>
      <c r="K920" s="149">
        <f>+K919+Tabla6[[#This Row],[IMPORTE]]</f>
        <v>79127669.520000041</v>
      </c>
      <c r="L920" s="178" t="s">
        <v>714</v>
      </c>
      <c r="M920" s="174" t="s">
        <v>91</v>
      </c>
    </row>
    <row r="921" spans="2:13" x14ac:dyDescent="0.35">
      <c r="B921" s="173" t="s">
        <v>115</v>
      </c>
      <c r="C921" s="146">
        <v>46044</v>
      </c>
      <c r="D921" s="148">
        <v>9352625</v>
      </c>
      <c r="E921" s="148">
        <v>66</v>
      </c>
      <c r="F921" s="149">
        <v>-188000</v>
      </c>
      <c r="G921" s="147" t="s">
        <v>116</v>
      </c>
      <c r="H921" s="148">
        <v>487</v>
      </c>
      <c r="I921" s="148" t="s">
        <v>123</v>
      </c>
      <c r="J921" s="147" t="s">
        <v>124</v>
      </c>
      <c r="K921" s="149">
        <f>+K920+Tabla6[[#This Row],[IMPORTE]]</f>
        <v>78939669.520000041</v>
      </c>
      <c r="L921" s="178" t="s">
        <v>714</v>
      </c>
      <c r="M921" s="174" t="s">
        <v>91</v>
      </c>
    </row>
    <row r="922" spans="2:13" x14ac:dyDescent="0.35">
      <c r="B922" s="173" t="s">
        <v>115</v>
      </c>
      <c r="C922" s="146">
        <v>46044</v>
      </c>
      <c r="D922" s="148">
        <v>9352350</v>
      </c>
      <c r="E922" s="148">
        <v>66</v>
      </c>
      <c r="F922" s="149">
        <v>-188000</v>
      </c>
      <c r="G922" s="147" t="s">
        <v>116</v>
      </c>
      <c r="H922" s="148">
        <v>488</v>
      </c>
      <c r="I922" s="148" t="s">
        <v>123</v>
      </c>
      <c r="J922" s="147" t="s">
        <v>124</v>
      </c>
      <c r="K922" s="149">
        <f>+K921+Tabla6[[#This Row],[IMPORTE]]</f>
        <v>78751669.520000041</v>
      </c>
      <c r="L922" s="178" t="s">
        <v>714</v>
      </c>
      <c r="M922" s="174" t="s">
        <v>91</v>
      </c>
    </row>
    <row r="923" spans="2:13" x14ac:dyDescent="0.35">
      <c r="B923" s="173" t="s">
        <v>115</v>
      </c>
      <c r="C923" s="146">
        <v>46044</v>
      </c>
      <c r="D923" s="148">
        <v>9352614</v>
      </c>
      <c r="E923" s="148">
        <v>66</v>
      </c>
      <c r="F923" s="149">
        <v>-184000</v>
      </c>
      <c r="G923" s="147" t="s">
        <v>116</v>
      </c>
      <c r="H923" s="148">
        <v>488</v>
      </c>
      <c r="I923" s="148" t="s">
        <v>123</v>
      </c>
      <c r="J923" s="147" t="s">
        <v>124</v>
      </c>
      <c r="K923" s="149">
        <f>+K922+Tabla6[[#This Row],[IMPORTE]]</f>
        <v>78567669.520000041</v>
      </c>
      <c r="L923" s="178" t="s">
        <v>714</v>
      </c>
      <c r="M923" s="174" t="s">
        <v>91</v>
      </c>
    </row>
    <row r="924" spans="2:13" x14ac:dyDescent="0.35">
      <c r="B924" s="173" t="s">
        <v>115</v>
      </c>
      <c r="C924" s="146">
        <v>46044</v>
      </c>
      <c r="D924" s="148">
        <v>9243798</v>
      </c>
      <c r="E924" s="148">
        <v>66</v>
      </c>
      <c r="F924" s="149">
        <v>-176319.84</v>
      </c>
      <c r="G924" s="147" t="s">
        <v>116</v>
      </c>
      <c r="H924" s="148">
        <v>488</v>
      </c>
      <c r="I924" s="148" t="s">
        <v>123</v>
      </c>
      <c r="J924" s="147" t="s">
        <v>124</v>
      </c>
      <c r="K924" s="149">
        <f>+K923+Tabla6[[#This Row],[IMPORTE]]</f>
        <v>78391349.680000037</v>
      </c>
      <c r="L924" s="143" t="s">
        <v>705</v>
      </c>
      <c r="M924" s="174" t="s">
        <v>1505</v>
      </c>
    </row>
    <row r="925" spans="2:13" x14ac:dyDescent="0.35">
      <c r="B925" s="173" t="s">
        <v>115</v>
      </c>
      <c r="C925" s="146">
        <v>46044</v>
      </c>
      <c r="D925" s="148">
        <v>9352379</v>
      </c>
      <c r="E925" s="148">
        <v>66</v>
      </c>
      <c r="F925" s="149">
        <v>-164700</v>
      </c>
      <c r="G925" s="147" t="s">
        <v>116</v>
      </c>
      <c r="H925" s="148">
        <v>488</v>
      </c>
      <c r="I925" s="148" t="s">
        <v>123</v>
      </c>
      <c r="J925" s="147" t="s">
        <v>124</v>
      </c>
      <c r="K925" s="149">
        <f>+K924+Tabla6[[#This Row],[IMPORTE]]</f>
        <v>78226649.680000037</v>
      </c>
      <c r="L925" s="178" t="s">
        <v>714</v>
      </c>
      <c r="M925" s="174" t="s">
        <v>91</v>
      </c>
    </row>
    <row r="926" spans="2:13" x14ac:dyDescent="0.35">
      <c r="B926" s="173" t="s">
        <v>115</v>
      </c>
      <c r="C926" s="146">
        <v>46044</v>
      </c>
      <c r="D926" s="148">
        <v>9246382</v>
      </c>
      <c r="E926" s="148">
        <v>66</v>
      </c>
      <c r="F926" s="149">
        <v>-159894</v>
      </c>
      <c r="G926" s="147" t="s">
        <v>116</v>
      </c>
      <c r="H926" s="148">
        <v>487</v>
      </c>
      <c r="I926" s="148" t="s">
        <v>123</v>
      </c>
      <c r="J926" s="147" t="s">
        <v>124</v>
      </c>
      <c r="K926" s="149">
        <f>+K925+Tabla6[[#This Row],[IMPORTE]]</f>
        <v>78066755.680000037</v>
      </c>
      <c r="L926" s="143" t="s">
        <v>709</v>
      </c>
      <c r="M926" s="174" t="s">
        <v>1505</v>
      </c>
    </row>
    <row r="927" spans="2:13" x14ac:dyDescent="0.35">
      <c r="B927" s="4" t="s">
        <v>115</v>
      </c>
      <c r="C927" s="120">
        <v>46044</v>
      </c>
      <c r="D927" s="72">
        <v>9246538</v>
      </c>
      <c r="E927" s="72">
        <v>66</v>
      </c>
      <c r="F927" s="113">
        <v>-142092.5</v>
      </c>
      <c r="G927" s="5" t="s">
        <v>116</v>
      </c>
      <c r="H927" s="72">
        <v>488</v>
      </c>
      <c r="I927" s="72" t="s">
        <v>123</v>
      </c>
      <c r="J927" s="5" t="s">
        <v>153</v>
      </c>
      <c r="K927" s="113">
        <f>+K926+Tabla6[[#This Row],[IMPORTE]]</f>
        <v>77924663.180000037</v>
      </c>
      <c r="L927" s="189" t="s">
        <v>1534</v>
      </c>
      <c r="M927" s="119" t="s">
        <v>100</v>
      </c>
    </row>
    <row r="928" spans="2:13" x14ac:dyDescent="0.35">
      <c r="B928" s="4" t="s">
        <v>115</v>
      </c>
      <c r="C928" s="120">
        <v>46044</v>
      </c>
      <c r="D928" s="72">
        <v>9246539</v>
      </c>
      <c r="E928" s="72">
        <v>66</v>
      </c>
      <c r="F928" s="113">
        <v>-142092.5</v>
      </c>
      <c r="G928" s="5" t="s">
        <v>116</v>
      </c>
      <c r="H928" s="72">
        <v>488</v>
      </c>
      <c r="I928" s="72" t="s">
        <v>123</v>
      </c>
      <c r="J928" s="5" t="s">
        <v>153</v>
      </c>
      <c r="K928" s="113">
        <f>+K927+Tabla6[[#This Row],[IMPORTE]]</f>
        <v>77782570.680000037</v>
      </c>
      <c r="L928" s="189" t="s">
        <v>1534</v>
      </c>
      <c r="M928" s="119" t="s">
        <v>100</v>
      </c>
    </row>
    <row r="929" spans="2:13" x14ac:dyDescent="0.35">
      <c r="B929" s="173" t="s">
        <v>115</v>
      </c>
      <c r="C929" s="146">
        <v>46044</v>
      </c>
      <c r="D929" s="148">
        <v>9273103</v>
      </c>
      <c r="E929" s="148">
        <v>66</v>
      </c>
      <c r="F929" s="149">
        <v>-129359</v>
      </c>
      <c r="G929" s="147" t="s">
        <v>116</v>
      </c>
      <c r="H929" s="148">
        <v>488</v>
      </c>
      <c r="I929" s="148" t="s">
        <v>123</v>
      </c>
      <c r="J929" s="147" t="s">
        <v>124</v>
      </c>
      <c r="K929" s="149">
        <f>+K928+Tabla6[[#This Row],[IMPORTE]]</f>
        <v>77653211.680000037</v>
      </c>
      <c r="L929" s="143" t="s">
        <v>694</v>
      </c>
      <c r="M929" s="174" t="s">
        <v>1505</v>
      </c>
    </row>
    <row r="930" spans="2:13" x14ac:dyDescent="0.35">
      <c r="B930" s="173" t="s">
        <v>115</v>
      </c>
      <c r="C930" s="146">
        <v>46044</v>
      </c>
      <c r="D930" s="148">
        <v>9352521</v>
      </c>
      <c r="E930" s="148">
        <v>66</v>
      </c>
      <c r="F930" s="149">
        <v>-128100</v>
      </c>
      <c r="G930" s="147" t="s">
        <v>116</v>
      </c>
      <c r="H930" s="148">
        <v>487</v>
      </c>
      <c r="I930" s="148" t="s">
        <v>123</v>
      </c>
      <c r="J930" s="147" t="s">
        <v>124</v>
      </c>
      <c r="K930" s="149">
        <f>+K929+Tabla6[[#This Row],[IMPORTE]]</f>
        <v>77525111.680000037</v>
      </c>
      <c r="L930" s="178" t="s">
        <v>714</v>
      </c>
      <c r="M930" s="174" t="s">
        <v>91</v>
      </c>
    </row>
    <row r="931" spans="2:13" x14ac:dyDescent="0.35">
      <c r="B931" s="173" t="s">
        <v>115</v>
      </c>
      <c r="C931" s="146">
        <v>46044</v>
      </c>
      <c r="D931" s="148">
        <v>9357102</v>
      </c>
      <c r="E931" s="148">
        <v>66</v>
      </c>
      <c r="F931" s="149">
        <v>-128100</v>
      </c>
      <c r="G931" s="147" t="s">
        <v>116</v>
      </c>
      <c r="H931" s="148">
        <v>488</v>
      </c>
      <c r="I931" s="148" t="s">
        <v>123</v>
      </c>
      <c r="J931" s="147" t="s">
        <v>124</v>
      </c>
      <c r="K931" s="149">
        <f>+K930+Tabla6[[#This Row],[IMPORTE]]</f>
        <v>77397011.680000037</v>
      </c>
      <c r="L931" s="178" t="s">
        <v>714</v>
      </c>
      <c r="M931" s="174" t="s">
        <v>91</v>
      </c>
    </row>
    <row r="932" spans="2:13" x14ac:dyDescent="0.35">
      <c r="B932" s="173" t="s">
        <v>115</v>
      </c>
      <c r="C932" s="146">
        <v>46044</v>
      </c>
      <c r="D932" s="148">
        <v>9356896</v>
      </c>
      <c r="E932" s="148">
        <v>66</v>
      </c>
      <c r="F932" s="149">
        <v>-128100</v>
      </c>
      <c r="G932" s="147" t="s">
        <v>116</v>
      </c>
      <c r="H932" s="148">
        <v>488</v>
      </c>
      <c r="I932" s="148" t="s">
        <v>123</v>
      </c>
      <c r="J932" s="147" t="s">
        <v>124</v>
      </c>
      <c r="K932" s="149">
        <f>+K931+Tabla6[[#This Row],[IMPORTE]]</f>
        <v>77268911.680000037</v>
      </c>
      <c r="L932" s="178" t="s">
        <v>714</v>
      </c>
      <c r="M932" s="174" t="s">
        <v>91</v>
      </c>
    </row>
    <row r="933" spans="2:13" x14ac:dyDescent="0.35">
      <c r="B933" s="173" t="s">
        <v>115</v>
      </c>
      <c r="C933" s="146">
        <v>46044</v>
      </c>
      <c r="D933" s="148">
        <v>9243795</v>
      </c>
      <c r="E933" s="148">
        <v>66</v>
      </c>
      <c r="F933" s="149">
        <v>-72324</v>
      </c>
      <c r="G933" s="147" t="s">
        <v>116</v>
      </c>
      <c r="H933" s="148">
        <v>488</v>
      </c>
      <c r="I933" s="148" t="s">
        <v>123</v>
      </c>
      <c r="J933" s="147" t="s">
        <v>124</v>
      </c>
      <c r="K933" s="149">
        <f>+K932+Tabla6[[#This Row],[IMPORTE]]</f>
        <v>77196587.680000037</v>
      </c>
      <c r="L933" s="143" t="s">
        <v>702</v>
      </c>
      <c r="M933" s="174" t="s">
        <v>1505</v>
      </c>
    </row>
    <row r="934" spans="2:13" x14ac:dyDescent="0.35">
      <c r="B934" s="172" t="s">
        <v>132</v>
      </c>
      <c r="C934" s="126">
        <v>46044</v>
      </c>
      <c r="D934" s="127">
        <v>746300025</v>
      </c>
      <c r="E934" s="127">
        <v>66</v>
      </c>
      <c r="F934" s="128">
        <v>-60308.29</v>
      </c>
      <c r="G934" s="129" t="s">
        <v>133</v>
      </c>
      <c r="H934" s="127">
        <v>562</v>
      </c>
      <c r="I934" s="127" t="s">
        <v>123</v>
      </c>
      <c r="J934" s="129" t="s">
        <v>124</v>
      </c>
      <c r="K934" s="128">
        <f>+K933+Tabla6[[#This Row],[IMPORTE]]</f>
        <v>77136279.39000003</v>
      </c>
      <c r="L934" s="129" t="s">
        <v>182</v>
      </c>
      <c r="M934" s="130" t="s">
        <v>93</v>
      </c>
    </row>
    <row r="935" spans="2:13" x14ac:dyDescent="0.35">
      <c r="B935" s="173" t="s">
        <v>115</v>
      </c>
      <c r="C935" s="146">
        <v>46044</v>
      </c>
      <c r="D935" s="148">
        <v>9239764</v>
      </c>
      <c r="E935" s="148">
        <v>66</v>
      </c>
      <c r="F935" s="149">
        <v>-44020.9</v>
      </c>
      <c r="G935" s="147" t="s">
        <v>116</v>
      </c>
      <c r="H935" s="148">
        <v>488</v>
      </c>
      <c r="I935" s="148" t="s">
        <v>123</v>
      </c>
      <c r="J935" s="147" t="s">
        <v>124</v>
      </c>
      <c r="K935" s="149">
        <f>+K934+Tabla6[[#This Row],[IMPORTE]]</f>
        <v>77092258.490000024</v>
      </c>
      <c r="L935" s="143" t="s">
        <v>692</v>
      </c>
      <c r="M935" s="174" t="s">
        <v>1505</v>
      </c>
    </row>
    <row r="936" spans="2:13" x14ac:dyDescent="0.35">
      <c r="B936" s="4" t="s">
        <v>115</v>
      </c>
      <c r="C936" s="120">
        <v>46044</v>
      </c>
      <c r="D936" s="72">
        <v>9246541</v>
      </c>
      <c r="E936" s="72">
        <v>66</v>
      </c>
      <c r="F936" s="113">
        <v>-28731.18</v>
      </c>
      <c r="G936" s="5" t="s">
        <v>116</v>
      </c>
      <c r="H936" s="72">
        <v>488</v>
      </c>
      <c r="I936" s="72" t="s">
        <v>123</v>
      </c>
      <c r="J936" s="5" t="s">
        <v>1536</v>
      </c>
      <c r="K936" s="113">
        <f>+K935+Tabla6[[#This Row],[IMPORTE]]</f>
        <v>77063527.310000017</v>
      </c>
      <c r="L936" s="189" t="s">
        <v>1691</v>
      </c>
      <c r="M936" s="119" t="s">
        <v>100</v>
      </c>
    </row>
    <row r="937" spans="2:13" x14ac:dyDescent="0.35">
      <c r="B937" s="4" t="s">
        <v>115</v>
      </c>
      <c r="C937" s="120">
        <v>46044</v>
      </c>
      <c r="D937" s="72">
        <v>9246540</v>
      </c>
      <c r="E937" s="72">
        <v>66</v>
      </c>
      <c r="F937" s="113">
        <v>-5358.5</v>
      </c>
      <c r="G937" s="5" t="s">
        <v>116</v>
      </c>
      <c r="H937" s="72">
        <v>488</v>
      </c>
      <c r="I937" s="72" t="s">
        <v>123</v>
      </c>
      <c r="J937" s="189" t="s">
        <v>1536</v>
      </c>
      <c r="K937" s="113">
        <f>+K936+Tabla6[[#This Row],[IMPORTE]]</f>
        <v>77058168.810000017</v>
      </c>
      <c r="L937" s="5" t="s">
        <v>1691</v>
      </c>
      <c r="M937" s="119" t="s">
        <v>100</v>
      </c>
    </row>
    <row r="938" spans="2:13" x14ac:dyDescent="0.35">
      <c r="B938" s="4" t="s">
        <v>128</v>
      </c>
      <c r="C938" s="120">
        <v>46045</v>
      </c>
      <c r="D938" s="72">
        <v>666301323</v>
      </c>
      <c r="E938" s="72">
        <v>66</v>
      </c>
      <c r="F938" s="113">
        <v>89985.74</v>
      </c>
      <c r="G938" s="5" t="s">
        <v>129</v>
      </c>
      <c r="H938" s="72">
        <v>93</v>
      </c>
      <c r="I938" s="72" t="s">
        <v>123</v>
      </c>
      <c r="J938" s="5" t="s">
        <v>124</v>
      </c>
      <c r="K938" s="113">
        <f>+K937+Tabla6[[#This Row],[IMPORTE]]</f>
        <v>77148154.550000012</v>
      </c>
      <c r="L938" s="5" t="s">
        <v>1492</v>
      </c>
      <c r="M938" s="119" t="s">
        <v>100</v>
      </c>
    </row>
    <row r="939" spans="2:13" x14ac:dyDescent="0.35">
      <c r="B939" s="4" t="s">
        <v>115</v>
      </c>
      <c r="C939" s="120">
        <v>46045</v>
      </c>
      <c r="D939" s="72">
        <v>2603862</v>
      </c>
      <c r="E939" s="72">
        <v>66</v>
      </c>
      <c r="F939" s="113">
        <v>619639.31999999995</v>
      </c>
      <c r="G939" s="5" t="s">
        <v>116</v>
      </c>
      <c r="H939" s="72">
        <v>480</v>
      </c>
      <c r="I939" s="72">
        <v>30685889397</v>
      </c>
      <c r="J939" s="5" t="s">
        <v>168</v>
      </c>
      <c r="K939" s="113">
        <f>+K938+Tabla6[[#This Row],[IMPORTE]]</f>
        <v>77767793.870000005</v>
      </c>
      <c r="L939" s="5" t="s">
        <v>1636</v>
      </c>
      <c r="M939" s="119" t="s">
        <v>100</v>
      </c>
    </row>
    <row r="940" spans="2:13" x14ac:dyDescent="0.35">
      <c r="B940" s="4" t="s">
        <v>115</v>
      </c>
      <c r="C940" s="120">
        <v>46045</v>
      </c>
      <c r="D940" s="72">
        <v>9488713</v>
      </c>
      <c r="E940" s="72">
        <v>66</v>
      </c>
      <c r="F940" s="113">
        <v>659563.59</v>
      </c>
      <c r="G940" s="5" t="s">
        <v>116</v>
      </c>
      <c r="H940" s="72">
        <v>479</v>
      </c>
      <c r="I940" s="72">
        <v>30659863789</v>
      </c>
      <c r="J940" s="5" t="s">
        <v>119</v>
      </c>
      <c r="K940" s="113">
        <f>+K939+Tabla6[[#This Row],[IMPORTE]]</f>
        <v>78427357.460000008</v>
      </c>
      <c r="L940" s="5" t="s">
        <v>1704</v>
      </c>
      <c r="M940" s="119" t="s">
        <v>100</v>
      </c>
    </row>
    <row r="941" spans="2:13" x14ac:dyDescent="0.35">
      <c r="B941" s="4" t="s">
        <v>115</v>
      </c>
      <c r="C941" s="120">
        <v>46045</v>
      </c>
      <c r="D941" s="72">
        <v>9488719</v>
      </c>
      <c r="E941" s="72">
        <v>66</v>
      </c>
      <c r="F941" s="113">
        <v>1473943.08</v>
      </c>
      <c r="G941" s="5" t="s">
        <v>116</v>
      </c>
      <c r="H941" s="72">
        <v>479</v>
      </c>
      <c r="I941" s="72">
        <v>30659863789</v>
      </c>
      <c r="J941" s="5" t="s">
        <v>119</v>
      </c>
      <c r="K941" s="113">
        <f>+K940+Tabla6[[#This Row],[IMPORTE]]</f>
        <v>79901300.540000007</v>
      </c>
      <c r="L941" s="5" t="s">
        <v>1704</v>
      </c>
      <c r="M941" s="119" t="s">
        <v>100</v>
      </c>
    </row>
    <row r="942" spans="2:13" x14ac:dyDescent="0.35">
      <c r="B942" s="4" t="s">
        <v>115</v>
      </c>
      <c r="C942" s="120">
        <v>46045</v>
      </c>
      <c r="D942" s="72">
        <v>9509887</v>
      </c>
      <c r="E942" s="72">
        <v>66</v>
      </c>
      <c r="F942" s="113">
        <v>1973700.11</v>
      </c>
      <c r="G942" s="5" t="s">
        <v>116</v>
      </c>
      <c r="H942" s="72">
        <v>480</v>
      </c>
      <c r="I942" s="72">
        <v>30643990632</v>
      </c>
      <c r="J942" s="5" t="s">
        <v>118</v>
      </c>
      <c r="K942" s="113">
        <f>+K941+Tabla6[[#This Row],[IMPORTE]]</f>
        <v>81875000.650000006</v>
      </c>
      <c r="L942" s="5" t="s">
        <v>1705</v>
      </c>
      <c r="M942" s="119" t="s">
        <v>100</v>
      </c>
    </row>
    <row r="943" spans="2:13" x14ac:dyDescent="0.35">
      <c r="B943" s="4" t="s">
        <v>115</v>
      </c>
      <c r="C943" s="120">
        <v>46045</v>
      </c>
      <c r="D943" s="72">
        <v>9510276</v>
      </c>
      <c r="E943" s="72">
        <v>66</v>
      </c>
      <c r="F943" s="113">
        <v>2235214.15</v>
      </c>
      <c r="G943" s="5" t="s">
        <v>116</v>
      </c>
      <c r="H943" s="72">
        <v>479</v>
      </c>
      <c r="I943" s="72">
        <v>30643990632</v>
      </c>
      <c r="J943" s="5" t="s">
        <v>127</v>
      </c>
      <c r="K943" s="113">
        <f>+K942+Tabla6[[#This Row],[IMPORTE]]</f>
        <v>84110214.800000012</v>
      </c>
      <c r="L943" s="5" t="s">
        <v>1705</v>
      </c>
      <c r="M943" s="119" t="s">
        <v>100</v>
      </c>
    </row>
    <row r="944" spans="2:13" x14ac:dyDescent="0.35">
      <c r="B944" s="4" t="s">
        <v>121</v>
      </c>
      <c r="C944" s="120">
        <v>46045</v>
      </c>
      <c r="D944" s="72">
        <v>2664002016</v>
      </c>
      <c r="E944" s="72">
        <v>66</v>
      </c>
      <c r="F944" s="113">
        <v>3203081.25</v>
      </c>
      <c r="G944" s="5" t="s">
        <v>122</v>
      </c>
      <c r="H944" s="72">
        <v>694</v>
      </c>
      <c r="I944" s="72" t="s">
        <v>123</v>
      </c>
      <c r="J944" s="5" t="s">
        <v>124</v>
      </c>
      <c r="K944" s="113">
        <f>+K943+Tabla6[[#This Row],[IMPORTE]]</f>
        <v>87313296.050000012</v>
      </c>
      <c r="L944" s="5" t="s">
        <v>1493</v>
      </c>
      <c r="M944" s="119" t="s">
        <v>100</v>
      </c>
    </row>
    <row r="945" spans="2:13" x14ac:dyDescent="0.35">
      <c r="B945" s="4" t="s">
        <v>125</v>
      </c>
      <c r="C945" s="120">
        <v>46045</v>
      </c>
      <c r="D945" s="72">
        <v>746000025</v>
      </c>
      <c r="E945" s="72">
        <v>66</v>
      </c>
      <c r="F945" s="113">
        <v>4049955.35</v>
      </c>
      <c r="G945" s="5" t="s">
        <v>126</v>
      </c>
      <c r="H945" s="72">
        <v>558</v>
      </c>
      <c r="I945" s="72" t="s">
        <v>123</v>
      </c>
      <c r="J945" s="5" t="s">
        <v>124</v>
      </c>
      <c r="K945" s="113">
        <f>+K944+Tabla6[[#This Row],[IMPORTE]]</f>
        <v>91363251.400000006</v>
      </c>
      <c r="L945" s="5" t="s">
        <v>1695</v>
      </c>
      <c r="M945" s="119" t="s">
        <v>100</v>
      </c>
    </row>
    <row r="946" spans="2:13" x14ac:dyDescent="0.35">
      <c r="B946" s="4" t="s">
        <v>128</v>
      </c>
      <c r="C946" s="120">
        <v>46045</v>
      </c>
      <c r="D946" s="72">
        <v>666300969</v>
      </c>
      <c r="E946" s="72">
        <v>66</v>
      </c>
      <c r="F946" s="113">
        <v>4085023.81</v>
      </c>
      <c r="G946" s="5" t="s">
        <v>129</v>
      </c>
      <c r="H946" s="72">
        <v>93</v>
      </c>
      <c r="I946" s="72" t="s">
        <v>123</v>
      </c>
      <c r="J946" s="5" t="s">
        <v>124</v>
      </c>
      <c r="K946" s="113">
        <f>+K945+Tabla6[[#This Row],[IMPORTE]]</f>
        <v>95448275.210000008</v>
      </c>
      <c r="L946" s="5" t="s">
        <v>1705</v>
      </c>
      <c r="M946" s="119" t="s">
        <v>100</v>
      </c>
    </row>
    <row r="947" spans="2:13" x14ac:dyDescent="0.35">
      <c r="B947" s="173" t="s">
        <v>115</v>
      </c>
      <c r="C947" s="146">
        <v>46045</v>
      </c>
      <c r="D947" s="148">
        <v>9390297</v>
      </c>
      <c r="E947" s="148">
        <v>66</v>
      </c>
      <c r="F947" s="149">
        <v>14961242.9</v>
      </c>
      <c r="G947" s="147" t="s">
        <v>116</v>
      </c>
      <c r="H947" s="148">
        <v>480</v>
      </c>
      <c r="I947" s="148">
        <v>30715313355</v>
      </c>
      <c r="J947" s="147" t="s">
        <v>169</v>
      </c>
      <c r="K947" s="149">
        <f>+K946+Tabla6[[#This Row],[IMPORTE]]</f>
        <v>110409518.11000001</v>
      </c>
      <c r="L947" s="178" t="s">
        <v>1477</v>
      </c>
      <c r="M947" s="174" t="s">
        <v>89</v>
      </c>
    </row>
    <row r="948" spans="2:13" x14ac:dyDescent="0.35">
      <c r="B948" s="4" t="s">
        <v>115</v>
      </c>
      <c r="C948" s="120">
        <v>46045</v>
      </c>
      <c r="D948" s="72">
        <v>9488716</v>
      </c>
      <c r="E948" s="72">
        <v>66</v>
      </c>
      <c r="F948" s="113">
        <v>17894848.449999999</v>
      </c>
      <c r="G948" s="5" t="s">
        <v>116</v>
      </c>
      <c r="H948" s="72">
        <v>479</v>
      </c>
      <c r="I948" s="72">
        <v>30659863789</v>
      </c>
      <c r="J948" s="5" t="s">
        <v>119</v>
      </c>
      <c r="K948" s="113">
        <f>+K947+Tabla6[[#This Row],[IMPORTE]]</f>
        <v>128304366.56000002</v>
      </c>
      <c r="L948" s="5" t="s">
        <v>1704</v>
      </c>
      <c r="M948" s="119" t="s">
        <v>100</v>
      </c>
    </row>
    <row r="949" spans="2:13" x14ac:dyDescent="0.35">
      <c r="B949" s="173" t="s">
        <v>115</v>
      </c>
      <c r="C949" s="146">
        <v>46045</v>
      </c>
      <c r="D949" s="148">
        <v>9380726</v>
      </c>
      <c r="E949" s="148">
        <v>66</v>
      </c>
      <c r="F949" s="149">
        <v>566717000</v>
      </c>
      <c r="G949" s="147" t="s">
        <v>116</v>
      </c>
      <c r="H949" s="148">
        <v>480</v>
      </c>
      <c r="I949" s="148">
        <v>30999259169</v>
      </c>
      <c r="J949" s="147" t="s">
        <v>148</v>
      </c>
      <c r="K949" s="149">
        <f>+K948+Tabla6[[#This Row],[IMPORTE]]</f>
        <v>695021366.56000006</v>
      </c>
      <c r="L949" s="178" t="s">
        <v>1476</v>
      </c>
      <c r="M949" s="174" t="s">
        <v>89</v>
      </c>
    </row>
    <row r="950" spans="2:13" x14ac:dyDescent="0.35">
      <c r="B950" s="173" t="s">
        <v>130</v>
      </c>
      <c r="C950" s="146">
        <v>46045</v>
      </c>
      <c r="D950" s="148">
        <v>4001990210</v>
      </c>
      <c r="E950" s="148">
        <v>66</v>
      </c>
      <c r="F950" s="149">
        <v>-400000000</v>
      </c>
      <c r="G950" s="147" t="s">
        <v>131</v>
      </c>
      <c r="H950" s="148">
        <v>530</v>
      </c>
      <c r="I950" s="148" t="s">
        <v>123</v>
      </c>
      <c r="J950" s="147" t="s">
        <v>1466</v>
      </c>
      <c r="K950" s="149">
        <f>+K949+Tabla6[[#This Row],[IMPORTE]]</f>
        <v>295021366.56000006</v>
      </c>
      <c r="L950" s="143" t="s">
        <v>762</v>
      </c>
      <c r="M950" s="174" t="s">
        <v>83</v>
      </c>
    </row>
    <row r="951" spans="2:13" x14ac:dyDescent="0.35">
      <c r="B951" s="173" t="s">
        <v>115</v>
      </c>
      <c r="C951" s="146">
        <v>46045</v>
      </c>
      <c r="D951" s="148">
        <v>9427952</v>
      </c>
      <c r="E951" s="148">
        <v>66</v>
      </c>
      <c r="F951" s="149">
        <v>-43472603</v>
      </c>
      <c r="G951" s="147" t="s">
        <v>116</v>
      </c>
      <c r="H951" s="148">
        <v>487</v>
      </c>
      <c r="I951" s="148" t="s">
        <v>123</v>
      </c>
      <c r="J951" s="147" t="s">
        <v>124</v>
      </c>
      <c r="K951" s="149">
        <f>+K950+Tabla6[[#This Row],[IMPORTE]]</f>
        <v>251548763.56000006</v>
      </c>
      <c r="L951" s="143" t="s">
        <v>742</v>
      </c>
      <c r="M951" s="174" t="s">
        <v>1505</v>
      </c>
    </row>
    <row r="952" spans="2:13" x14ac:dyDescent="0.35">
      <c r="B952" s="173" t="s">
        <v>115</v>
      </c>
      <c r="C952" s="146">
        <v>46045</v>
      </c>
      <c r="D952" s="148">
        <v>9435204</v>
      </c>
      <c r="E952" s="148">
        <v>66</v>
      </c>
      <c r="F952" s="149">
        <v>-19355111.940000001</v>
      </c>
      <c r="G952" s="147" t="s">
        <v>116</v>
      </c>
      <c r="H952" s="148">
        <v>488</v>
      </c>
      <c r="I952" s="148" t="s">
        <v>123</v>
      </c>
      <c r="J952" s="147" t="s">
        <v>124</v>
      </c>
      <c r="K952" s="149">
        <f>+K951+Tabla6[[#This Row],[IMPORTE]]</f>
        <v>232193651.62000006</v>
      </c>
      <c r="L952" s="143" t="s">
        <v>754</v>
      </c>
      <c r="M952" s="174" t="s">
        <v>1505</v>
      </c>
    </row>
    <row r="953" spans="2:13" x14ac:dyDescent="0.35">
      <c r="B953" s="173" t="s">
        <v>115</v>
      </c>
      <c r="C953" s="146">
        <v>46045</v>
      </c>
      <c r="D953" s="148">
        <v>9435202</v>
      </c>
      <c r="E953" s="148">
        <v>66</v>
      </c>
      <c r="F953" s="149">
        <v>-18904200</v>
      </c>
      <c r="G953" s="147" t="s">
        <v>116</v>
      </c>
      <c r="H953" s="148">
        <v>488</v>
      </c>
      <c r="I953" s="148" t="s">
        <v>123</v>
      </c>
      <c r="J953" s="147" t="s">
        <v>124</v>
      </c>
      <c r="K953" s="149">
        <f>+K952+Tabla6[[#This Row],[IMPORTE]]</f>
        <v>213289451.62000006</v>
      </c>
      <c r="L953" s="147" t="s">
        <v>757</v>
      </c>
      <c r="M953" s="174" t="s">
        <v>1505</v>
      </c>
    </row>
    <row r="954" spans="2:13" x14ac:dyDescent="0.35">
      <c r="B954" s="173" t="s">
        <v>115</v>
      </c>
      <c r="C954" s="146">
        <v>46045</v>
      </c>
      <c r="D954" s="148">
        <v>9433467</v>
      </c>
      <c r="E954" s="148">
        <v>66</v>
      </c>
      <c r="F954" s="149">
        <v>-9962063.4000000004</v>
      </c>
      <c r="G954" s="147" t="s">
        <v>116</v>
      </c>
      <c r="H954" s="148">
        <v>488</v>
      </c>
      <c r="I954" s="148" t="s">
        <v>123</v>
      </c>
      <c r="J954" s="147" t="s">
        <v>124</v>
      </c>
      <c r="K954" s="149">
        <f>+K953+Tabla6[[#This Row],[IMPORTE]]</f>
        <v>203327388.22000006</v>
      </c>
      <c r="L954" s="143" t="s">
        <v>728</v>
      </c>
      <c r="M954" s="174" t="s">
        <v>1505</v>
      </c>
    </row>
    <row r="955" spans="2:13" x14ac:dyDescent="0.35">
      <c r="B955" s="173" t="s">
        <v>115</v>
      </c>
      <c r="C955" s="146">
        <v>46045</v>
      </c>
      <c r="D955" s="148">
        <v>9433466</v>
      </c>
      <c r="E955" s="148">
        <v>66</v>
      </c>
      <c r="F955" s="149">
        <v>-9334200</v>
      </c>
      <c r="G955" s="147" t="s">
        <v>116</v>
      </c>
      <c r="H955" s="148">
        <v>488</v>
      </c>
      <c r="I955" s="148" t="s">
        <v>123</v>
      </c>
      <c r="J955" s="147" t="s">
        <v>124</v>
      </c>
      <c r="K955" s="149">
        <f>+K954+Tabla6[[#This Row],[IMPORTE]]</f>
        <v>193993188.22000006</v>
      </c>
      <c r="L955" s="143" t="s">
        <v>725</v>
      </c>
      <c r="M955" s="174" t="s">
        <v>1505</v>
      </c>
    </row>
    <row r="956" spans="2:13" x14ac:dyDescent="0.35">
      <c r="B956" s="173" t="s">
        <v>115</v>
      </c>
      <c r="C956" s="146">
        <v>46045</v>
      </c>
      <c r="D956" s="148">
        <v>9427951</v>
      </c>
      <c r="E956" s="148">
        <v>66</v>
      </c>
      <c r="F956" s="149">
        <v>-8359781.5599999996</v>
      </c>
      <c r="G956" s="147" t="s">
        <v>116</v>
      </c>
      <c r="H956" s="148">
        <v>487</v>
      </c>
      <c r="I956" s="148" t="s">
        <v>123</v>
      </c>
      <c r="J956" s="147" t="s">
        <v>124</v>
      </c>
      <c r="K956" s="149">
        <f>+K955+Tabla6[[#This Row],[IMPORTE]]</f>
        <v>185633406.66000006</v>
      </c>
      <c r="L956" s="143" t="s">
        <v>742</v>
      </c>
      <c r="M956" s="174" t="s">
        <v>1505</v>
      </c>
    </row>
    <row r="957" spans="2:13" x14ac:dyDescent="0.35">
      <c r="B957" s="173" t="s">
        <v>115</v>
      </c>
      <c r="C957" s="146">
        <v>46045</v>
      </c>
      <c r="D957" s="148">
        <v>9437905</v>
      </c>
      <c r="E957" s="148">
        <v>66</v>
      </c>
      <c r="F957" s="149">
        <v>-7547512.0599999996</v>
      </c>
      <c r="G957" s="147" t="s">
        <v>116</v>
      </c>
      <c r="H957" s="148">
        <v>487</v>
      </c>
      <c r="I957" s="148" t="s">
        <v>123</v>
      </c>
      <c r="J957" s="147" t="s">
        <v>124</v>
      </c>
      <c r="K957" s="149">
        <f>+K956+Tabla6[[#This Row],[IMPORTE]]</f>
        <v>178085894.60000005</v>
      </c>
      <c r="L957" s="143" t="s">
        <v>752</v>
      </c>
      <c r="M957" s="174" t="s">
        <v>1505</v>
      </c>
    </row>
    <row r="958" spans="2:13" x14ac:dyDescent="0.35">
      <c r="B958" s="173" t="s">
        <v>115</v>
      </c>
      <c r="C958" s="146">
        <v>46045</v>
      </c>
      <c r="D958" s="148">
        <v>9427950</v>
      </c>
      <c r="E958" s="148">
        <v>66</v>
      </c>
      <c r="F958" s="149">
        <v>-6743565.3200000003</v>
      </c>
      <c r="G958" s="147" t="s">
        <v>116</v>
      </c>
      <c r="H958" s="148">
        <v>488</v>
      </c>
      <c r="I958" s="148" t="s">
        <v>123</v>
      </c>
      <c r="J958" s="147" t="s">
        <v>124</v>
      </c>
      <c r="K958" s="149">
        <f>+K957+Tabla6[[#This Row],[IMPORTE]]</f>
        <v>171342329.28000006</v>
      </c>
      <c r="L958" s="143" t="s">
        <v>739</v>
      </c>
      <c r="M958" s="174" t="s">
        <v>1505</v>
      </c>
    </row>
    <row r="959" spans="2:13" x14ac:dyDescent="0.35">
      <c r="B959" s="173" t="s">
        <v>115</v>
      </c>
      <c r="C959" s="146">
        <v>46045</v>
      </c>
      <c r="D959" s="148">
        <v>9433473</v>
      </c>
      <c r="E959" s="148">
        <v>66</v>
      </c>
      <c r="F959" s="149">
        <v>-5909300</v>
      </c>
      <c r="G959" s="147" t="s">
        <v>116</v>
      </c>
      <c r="H959" s="148">
        <v>487</v>
      </c>
      <c r="I959" s="148" t="s">
        <v>123</v>
      </c>
      <c r="J959" s="147" t="s">
        <v>124</v>
      </c>
      <c r="K959" s="149">
        <f>+K958+Tabla6[[#This Row],[IMPORTE]]</f>
        <v>165433029.28000006</v>
      </c>
      <c r="L959" s="143" t="s">
        <v>726</v>
      </c>
      <c r="M959" s="174" t="s">
        <v>1505</v>
      </c>
    </row>
    <row r="960" spans="2:13" x14ac:dyDescent="0.35">
      <c r="B960" s="173" t="s">
        <v>115</v>
      </c>
      <c r="C960" s="146">
        <v>46045</v>
      </c>
      <c r="D960" s="148">
        <v>9427957</v>
      </c>
      <c r="E960" s="148">
        <v>66</v>
      </c>
      <c r="F960" s="149">
        <v>-5851281</v>
      </c>
      <c r="G960" s="147" t="s">
        <v>116</v>
      </c>
      <c r="H960" s="148">
        <v>488</v>
      </c>
      <c r="I960" s="148" t="s">
        <v>123</v>
      </c>
      <c r="J960" s="147" t="s">
        <v>124</v>
      </c>
      <c r="K960" s="149">
        <f>+K959+Tabla6[[#This Row],[IMPORTE]]</f>
        <v>159581748.28000006</v>
      </c>
      <c r="L960" s="143" t="s">
        <v>741</v>
      </c>
      <c r="M960" s="174" t="s">
        <v>1505</v>
      </c>
    </row>
    <row r="961" spans="2:13" x14ac:dyDescent="0.35">
      <c r="B961" s="173" t="s">
        <v>115</v>
      </c>
      <c r="C961" s="146">
        <v>46045</v>
      </c>
      <c r="D961" s="148">
        <v>9433468</v>
      </c>
      <c r="E961" s="148">
        <v>66</v>
      </c>
      <c r="F961" s="149">
        <v>-5730000</v>
      </c>
      <c r="G961" s="147" t="s">
        <v>116</v>
      </c>
      <c r="H961" s="148">
        <v>488</v>
      </c>
      <c r="I961" s="148" t="s">
        <v>123</v>
      </c>
      <c r="J961" s="147" t="s">
        <v>124</v>
      </c>
      <c r="K961" s="149">
        <f>+K960+Tabla6[[#This Row],[IMPORTE]]</f>
        <v>153851748.28000006</v>
      </c>
      <c r="L961" s="143" t="s">
        <v>730</v>
      </c>
      <c r="M961" s="174" t="s">
        <v>1505</v>
      </c>
    </row>
    <row r="962" spans="2:13" x14ac:dyDescent="0.35">
      <c r="B962" s="173" t="s">
        <v>115</v>
      </c>
      <c r="C962" s="146">
        <v>46045</v>
      </c>
      <c r="D962" s="148">
        <v>9457734</v>
      </c>
      <c r="E962" s="148">
        <v>66</v>
      </c>
      <c r="F962" s="149">
        <v>-4376000</v>
      </c>
      <c r="G962" s="147" t="s">
        <v>116</v>
      </c>
      <c r="H962" s="148">
        <v>488</v>
      </c>
      <c r="I962" s="148" t="s">
        <v>123</v>
      </c>
      <c r="J962" s="147" t="s">
        <v>124</v>
      </c>
      <c r="K962" s="149">
        <f>+K961+Tabla6[[#This Row],[IMPORTE]]</f>
        <v>149475748.28000006</v>
      </c>
      <c r="L962" s="143" t="s">
        <v>737</v>
      </c>
      <c r="M962" s="174" t="s">
        <v>1505</v>
      </c>
    </row>
    <row r="963" spans="2:13" x14ac:dyDescent="0.35">
      <c r="B963" s="173" t="s">
        <v>115</v>
      </c>
      <c r="C963" s="146">
        <v>46045</v>
      </c>
      <c r="D963" s="148">
        <v>9433476</v>
      </c>
      <c r="E963" s="148">
        <v>66</v>
      </c>
      <c r="F963" s="149">
        <v>-4175177.12</v>
      </c>
      <c r="G963" s="147" t="s">
        <v>116</v>
      </c>
      <c r="H963" s="148">
        <v>488</v>
      </c>
      <c r="I963" s="148" t="s">
        <v>123</v>
      </c>
      <c r="J963" s="147" t="s">
        <v>124</v>
      </c>
      <c r="K963" s="149">
        <f>+K962+Tabla6[[#This Row],[IMPORTE]]</f>
        <v>145300571.16000006</v>
      </c>
      <c r="L963" s="143" t="s">
        <v>727</v>
      </c>
      <c r="M963" s="174" t="s">
        <v>1505</v>
      </c>
    </row>
    <row r="964" spans="2:13" x14ac:dyDescent="0.35">
      <c r="B964" s="173" t="s">
        <v>115</v>
      </c>
      <c r="C964" s="146">
        <v>46045</v>
      </c>
      <c r="D964" s="148">
        <v>9516199</v>
      </c>
      <c r="E964" s="148">
        <v>66</v>
      </c>
      <c r="F964" s="149">
        <v>-4000000</v>
      </c>
      <c r="G964" s="147" t="s">
        <v>116</v>
      </c>
      <c r="H964" s="148">
        <v>488</v>
      </c>
      <c r="I964" s="148" t="s">
        <v>123</v>
      </c>
      <c r="J964" s="147" t="s">
        <v>124</v>
      </c>
      <c r="K964" s="149">
        <f>+K963+Tabla6[[#This Row],[IMPORTE]]</f>
        <v>141300571.16000006</v>
      </c>
      <c r="L964" s="143" t="s">
        <v>759</v>
      </c>
      <c r="M964" s="174" t="s">
        <v>1505</v>
      </c>
    </row>
    <row r="965" spans="2:13" x14ac:dyDescent="0.35">
      <c r="B965" s="173" t="s">
        <v>115</v>
      </c>
      <c r="C965" s="146">
        <v>46045</v>
      </c>
      <c r="D965" s="148">
        <v>9437908</v>
      </c>
      <c r="E965" s="148">
        <v>66</v>
      </c>
      <c r="F965" s="149">
        <v>-3571436</v>
      </c>
      <c r="G965" s="147" t="s">
        <v>116</v>
      </c>
      <c r="H965" s="148">
        <v>488</v>
      </c>
      <c r="I965" s="148" t="s">
        <v>123</v>
      </c>
      <c r="J965" s="147" t="s">
        <v>124</v>
      </c>
      <c r="K965" s="149">
        <f>+K964+Tabla6[[#This Row],[IMPORTE]]</f>
        <v>137729135.16000006</v>
      </c>
      <c r="L965" s="143" t="s">
        <v>751</v>
      </c>
      <c r="M965" s="174" t="s">
        <v>1505</v>
      </c>
    </row>
    <row r="966" spans="2:13" x14ac:dyDescent="0.35">
      <c r="B966" s="173" t="s">
        <v>115</v>
      </c>
      <c r="C966" s="146">
        <v>46045</v>
      </c>
      <c r="D966" s="148">
        <v>9430796</v>
      </c>
      <c r="E966" s="148">
        <v>66</v>
      </c>
      <c r="F966" s="149">
        <v>-3430000</v>
      </c>
      <c r="G966" s="147" t="s">
        <v>116</v>
      </c>
      <c r="H966" s="148">
        <v>487</v>
      </c>
      <c r="I966" s="148" t="s">
        <v>123</v>
      </c>
      <c r="J966" s="147" t="s">
        <v>124</v>
      </c>
      <c r="K966" s="149">
        <f>+K965+Tabla6[[#This Row],[IMPORTE]]</f>
        <v>134299135.16000006</v>
      </c>
      <c r="L966" s="143" t="s">
        <v>720</v>
      </c>
      <c r="M966" s="174" t="s">
        <v>1505</v>
      </c>
    </row>
    <row r="967" spans="2:13" x14ac:dyDescent="0.35">
      <c r="B967" s="173" t="s">
        <v>115</v>
      </c>
      <c r="C967" s="146">
        <v>46045</v>
      </c>
      <c r="D967" s="148">
        <v>9427954</v>
      </c>
      <c r="E967" s="148">
        <v>66</v>
      </c>
      <c r="F967" s="149">
        <v>-3415572.85</v>
      </c>
      <c r="G967" s="147" t="s">
        <v>116</v>
      </c>
      <c r="H967" s="148">
        <v>488</v>
      </c>
      <c r="I967" s="148" t="s">
        <v>123</v>
      </c>
      <c r="J967" s="147" t="s">
        <v>124</v>
      </c>
      <c r="K967" s="149">
        <f>+K966+Tabla6[[#This Row],[IMPORTE]]</f>
        <v>130883562.31000006</v>
      </c>
      <c r="L967" s="143" t="s">
        <v>735</v>
      </c>
      <c r="M967" s="174" t="s">
        <v>1505</v>
      </c>
    </row>
    <row r="968" spans="2:13" x14ac:dyDescent="0.35">
      <c r="B968" s="173" t="s">
        <v>115</v>
      </c>
      <c r="C968" s="146">
        <v>46045</v>
      </c>
      <c r="D968" s="148">
        <v>9442008</v>
      </c>
      <c r="E968" s="148">
        <v>66</v>
      </c>
      <c r="F968" s="149">
        <v>-3136000</v>
      </c>
      <c r="G968" s="147" t="s">
        <v>116</v>
      </c>
      <c r="H968" s="148">
        <v>488</v>
      </c>
      <c r="I968" s="148" t="s">
        <v>123</v>
      </c>
      <c r="J968" s="147" t="s">
        <v>124</v>
      </c>
      <c r="K968" s="149">
        <f>+K967+Tabla6[[#This Row],[IMPORTE]]</f>
        <v>127747562.31000006</v>
      </c>
      <c r="L968" s="143" t="s">
        <v>717</v>
      </c>
      <c r="M968" s="174" t="s">
        <v>1505</v>
      </c>
    </row>
    <row r="969" spans="2:13" x14ac:dyDescent="0.35">
      <c r="B969" s="173" t="s">
        <v>115</v>
      </c>
      <c r="C969" s="146">
        <v>46045</v>
      </c>
      <c r="D969" s="148">
        <v>9437904</v>
      </c>
      <c r="E969" s="148">
        <v>66</v>
      </c>
      <c r="F969" s="149">
        <v>-3009560.4</v>
      </c>
      <c r="G969" s="147" t="s">
        <v>116</v>
      </c>
      <c r="H969" s="148">
        <v>488</v>
      </c>
      <c r="I969" s="148" t="s">
        <v>123</v>
      </c>
      <c r="J969" s="147" t="s">
        <v>124</v>
      </c>
      <c r="K969" s="149">
        <f>+K968+Tabla6[[#This Row],[IMPORTE]]</f>
        <v>124738001.91000006</v>
      </c>
      <c r="L969" s="143" t="s">
        <v>748</v>
      </c>
      <c r="M969" s="174" t="s">
        <v>1505</v>
      </c>
    </row>
    <row r="970" spans="2:13" x14ac:dyDescent="0.35">
      <c r="B970" s="173" t="s">
        <v>115</v>
      </c>
      <c r="C970" s="146">
        <v>46045</v>
      </c>
      <c r="D970" s="148">
        <v>9427953</v>
      </c>
      <c r="E970" s="148">
        <v>66</v>
      </c>
      <c r="F970" s="149">
        <v>-2835000</v>
      </c>
      <c r="G970" s="147" t="s">
        <v>116</v>
      </c>
      <c r="H970" s="148">
        <v>488</v>
      </c>
      <c r="I970" s="148" t="s">
        <v>123</v>
      </c>
      <c r="J970" s="147" t="s">
        <v>124</v>
      </c>
      <c r="K970" s="149">
        <f>+K969+Tabla6[[#This Row],[IMPORTE]]</f>
        <v>121903001.91000006</v>
      </c>
      <c r="L970" s="143" t="s">
        <v>740</v>
      </c>
      <c r="M970" s="174" t="s">
        <v>1505</v>
      </c>
    </row>
    <row r="971" spans="2:13" x14ac:dyDescent="0.35">
      <c r="B971" s="173" t="s">
        <v>115</v>
      </c>
      <c r="C971" s="146">
        <v>46045</v>
      </c>
      <c r="D971" s="148">
        <v>9435201</v>
      </c>
      <c r="E971" s="148">
        <v>66</v>
      </c>
      <c r="F971" s="149">
        <v>-2250000</v>
      </c>
      <c r="G971" s="147" t="s">
        <v>116</v>
      </c>
      <c r="H971" s="148">
        <v>487</v>
      </c>
      <c r="I971" s="148" t="s">
        <v>123</v>
      </c>
      <c r="J971" s="147" t="s">
        <v>124</v>
      </c>
      <c r="K971" s="149">
        <f>+K970+Tabla6[[#This Row],[IMPORTE]]</f>
        <v>119653001.91000006</v>
      </c>
      <c r="L971" s="143" t="s">
        <v>755</v>
      </c>
      <c r="M971" s="174" t="s">
        <v>1505</v>
      </c>
    </row>
    <row r="972" spans="2:13" x14ac:dyDescent="0.35">
      <c r="B972" s="173" t="s">
        <v>115</v>
      </c>
      <c r="C972" s="146">
        <v>46045</v>
      </c>
      <c r="D972" s="148">
        <v>9458126</v>
      </c>
      <c r="E972" s="148">
        <v>66</v>
      </c>
      <c r="F972" s="149">
        <v>-2132200</v>
      </c>
      <c r="G972" s="147" t="s">
        <v>116</v>
      </c>
      <c r="H972" s="148">
        <v>488</v>
      </c>
      <c r="I972" s="148" t="s">
        <v>123</v>
      </c>
      <c r="J972" s="147" t="s">
        <v>124</v>
      </c>
      <c r="K972" s="149">
        <f>+K971+Tabla6[[#This Row],[IMPORTE]]</f>
        <v>117520801.91000006</v>
      </c>
      <c r="L972" s="143" t="s">
        <v>734</v>
      </c>
      <c r="M972" s="174" t="s">
        <v>1505</v>
      </c>
    </row>
    <row r="973" spans="2:13" x14ac:dyDescent="0.35">
      <c r="B973" s="173" t="s">
        <v>115</v>
      </c>
      <c r="C973" s="146">
        <v>46045</v>
      </c>
      <c r="D973" s="148">
        <v>9437910</v>
      </c>
      <c r="E973" s="148">
        <v>66</v>
      </c>
      <c r="F973" s="149">
        <v>-1350000</v>
      </c>
      <c r="G973" s="147" t="s">
        <v>116</v>
      </c>
      <c r="H973" s="148">
        <v>488</v>
      </c>
      <c r="I973" s="148" t="s">
        <v>123</v>
      </c>
      <c r="J973" s="147" t="s">
        <v>124</v>
      </c>
      <c r="K973" s="149">
        <f>+K972+Tabla6[[#This Row],[IMPORTE]]</f>
        <v>116170801.91000006</v>
      </c>
      <c r="L973" s="143" t="s">
        <v>749</v>
      </c>
      <c r="M973" s="174" t="s">
        <v>1505</v>
      </c>
    </row>
    <row r="974" spans="2:13" x14ac:dyDescent="0.35">
      <c r="B974" s="173" t="s">
        <v>115</v>
      </c>
      <c r="C974" s="146">
        <v>46045</v>
      </c>
      <c r="D974" s="148">
        <v>9433469</v>
      </c>
      <c r="E974" s="148">
        <v>66</v>
      </c>
      <c r="F974" s="149">
        <v>-1281408</v>
      </c>
      <c r="G974" s="147" t="s">
        <v>116</v>
      </c>
      <c r="H974" s="148">
        <v>487</v>
      </c>
      <c r="I974" s="148" t="s">
        <v>123</v>
      </c>
      <c r="J974" s="147" t="s">
        <v>124</v>
      </c>
      <c r="K974" s="149">
        <f>+K973+Tabla6[[#This Row],[IMPORTE]]</f>
        <v>114889393.91000006</v>
      </c>
      <c r="L974" s="143" t="s">
        <v>712</v>
      </c>
      <c r="M974" s="174" t="s">
        <v>1505</v>
      </c>
    </row>
    <row r="975" spans="2:13" x14ac:dyDescent="0.35">
      <c r="B975" s="173" t="s">
        <v>115</v>
      </c>
      <c r="C975" s="146">
        <v>46045</v>
      </c>
      <c r="D975" s="148">
        <v>9457735</v>
      </c>
      <c r="E975" s="148">
        <v>66</v>
      </c>
      <c r="F975" s="149">
        <v>-960000</v>
      </c>
      <c r="G975" s="147" t="s">
        <v>116</v>
      </c>
      <c r="H975" s="148">
        <v>488</v>
      </c>
      <c r="I975" s="148" t="s">
        <v>123</v>
      </c>
      <c r="J975" s="147" t="s">
        <v>124</v>
      </c>
      <c r="K975" s="149">
        <f>+K974+Tabla6[[#This Row],[IMPORTE]]</f>
        <v>113929393.91000006</v>
      </c>
      <c r="L975" s="143" t="s">
        <v>746</v>
      </c>
      <c r="M975" s="174" t="s">
        <v>1505</v>
      </c>
    </row>
    <row r="976" spans="2:13" x14ac:dyDescent="0.35">
      <c r="B976" s="173" t="s">
        <v>115</v>
      </c>
      <c r="C976" s="146">
        <v>46045</v>
      </c>
      <c r="D976" s="148">
        <v>9427956</v>
      </c>
      <c r="E976" s="148">
        <v>66</v>
      </c>
      <c r="F976" s="149">
        <v>-910000</v>
      </c>
      <c r="G976" s="147" t="s">
        <v>116</v>
      </c>
      <c r="H976" s="148">
        <v>487</v>
      </c>
      <c r="I976" s="148" t="s">
        <v>123</v>
      </c>
      <c r="J976" s="147" t="s">
        <v>124</v>
      </c>
      <c r="K976" s="149">
        <f>+K975+Tabla6[[#This Row],[IMPORTE]]</f>
        <v>113019393.91000006</v>
      </c>
      <c r="L976" s="143" t="s">
        <v>736</v>
      </c>
      <c r="M976" s="174" t="s">
        <v>1505</v>
      </c>
    </row>
    <row r="977" spans="2:13" x14ac:dyDescent="0.35">
      <c r="B977" s="121" t="s">
        <v>170</v>
      </c>
      <c r="C977" s="122">
        <v>46045</v>
      </c>
      <c r="D977" s="116">
        <v>32131691</v>
      </c>
      <c r="E977" s="116">
        <v>225</v>
      </c>
      <c r="F977" s="114">
        <v>-703702.74</v>
      </c>
      <c r="G977" s="100" t="s">
        <v>171</v>
      </c>
      <c r="H977" s="116">
        <v>17</v>
      </c>
      <c r="I977" s="116" t="s">
        <v>123</v>
      </c>
      <c r="J977" s="100" t="s">
        <v>124</v>
      </c>
      <c r="K977" s="114">
        <f>+K976+Tabla6[[#This Row],[IMPORTE]]</f>
        <v>112315691.17000006</v>
      </c>
      <c r="L977" s="100" t="s">
        <v>1461</v>
      </c>
      <c r="M977" s="123" t="s">
        <v>181</v>
      </c>
    </row>
    <row r="978" spans="2:13" x14ac:dyDescent="0.35">
      <c r="B978" s="173" t="s">
        <v>115</v>
      </c>
      <c r="C978" s="146">
        <v>46045</v>
      </c>
      <c r="D978" s="148">
        <v>9433475</v>
      </c>
      <c r="E978" s="148">
        <v>66</v>
      </c>
      <c r="F978" s="149">
        <v>-700000</v>
      </c>
      <c r="G978" s="147" t="s">
        <v>116</v>
      </c>
      <c r="H978" s="148">
        <v>488</v>
      </c>
      <c r="I978" s="148" t="s">
        <v>123</v>
      </c>
      <c r="J978" s="147" t="s">
        <v>124</v>
      </c>
      <c r="K978" s="149">
        <f>+K977+Tabla6[[#This Row],[IMPORTE]]</f>
        <v>111615691.17000006</v>
      </c>
      <c r="L978" s="143" t="s">
        <v>731</v>
      </c>
      <c r="M978" s="174" t="s">
        <v>1505</v>
      </c>
    </row>
    <row r="979" spans="2:13" x14ac:dyDescent="0.35">
      <c r="B979" s="173" t="s">
        <v>115</v>
      </c>
      <c r="C979" s="146">
        <v>46045</v>
      </c>
      <c r="D979" s="148">
        <v>9433470</v>
      </c>
      <c r="E979" s="148">
        <v>66</v>
      </c>
      <c r="F979" s="149">
        <v>-663316.68999999994</v>
      </c>
      <c r="G979" s="147" t="s">
        <v>116</v>
      </c>
      <c r="H979" s="148">
        <v>488</v>
      </c>
      <c r="I979" s="148" t="s">
        <v>123</v>
      </c>
      <c r="J979" s="147" t="s">
        <v>124</v>
      </c>
      <c r="K979" s="149">
        <f>+K978+Tabla6[[#This Row],[IMPORTE]]</f>
        <v>110952374.48000006</v>
      </c>
      <c r="L979" s="143" t="s">
        <v>732</v>
      </c>
      <c r="M979" s="174" t="s">
        <v>1505</v>
      </c>
    </row>
    <row r="980" spans="2:13" x14ac:dyDescent="0.35">
      <c r="B980" s="173" t="s">
        <v>115</v>
      </c>
      <c r="C980" s="146">
        <v>46045</v>
      </c>
      <c r="D980" s="148">
        <v>9430799</v>
      </c>
      <c r="E980" s="148">
        <v>66</v>
      </c>
      <c r="F980" s="149">
        <v>-600000</v>
      </c>
      <c r="G980" s="147" t="s">
        <v>116</v>
      </c>
      <c r="H980" s="148">
        <v>488</v>
      </c>
      <c r="I980" s="148" t="s">
        <v>123</v>
      </c>
      <c r="J980" s="147" t="s">
        <v>124</v>
      </c>
      <c r="K980" s="149">
        <f>+K979+Tabla6[[#This Row],[IMPORTE]]</f>
        <v>110352374.48000006</v>
      </c>
      <c r="L980" s="143" t="s">
        <v>722</v>
      </c>
      <c r="M980" s="174" t="s">
        <v>1505</v>
      </c>
    </row>
    <row r="981" spans="2:13" x14ac:dyDescent="0.35">
      <c r="B981" s="173" t="s">
        <v>115</v>
      </c>
      <c r="C981" s="146">
        <v>46045</v>
      </c>
      <c r="D981" s="148">
        <v>9433471</v>
      </c>
      <c r="E981" s="148">
        <v>66</v>
      </c>
      <c r="F981" s="149">
        <v>-583041.31999999995</v>
      </c>
      <c r="G981" s="147" t="s">
        <v>116</v>
      </c>
      <c r="H981" s="148">
        <v>488</v>
      </c>
      <c r="I981" s="148" t="s">
        <v>123</v>
      </c>
      <c r="J981" s="147" t="s">
        <v>124</v>
      </c>
      <c r="K981" s="149">
        <f>+K980+Tabla6[[#This Row],[IMPORTE]]</f>
        <v>109769333.16000007</v>
      </c>
      <c r="L981" s="143" t="s">
        <v>733</v>
      </c>
      <c r="M981" s="174" t="s">
        <v>1505</v>
      </c>
    </row>
    <row r="982" spans="2:13" x14ac:dyDescent="0.35">
      <c r="B982" s="173" t="s">
        <v>115</v>
      </c>
      <c r="C982" s="146">
        <v>46045</v>
      </c>
      <c r="D982" s="148">
        <v>9437907</v>
      </c>
      <c r="E982" s="148">
        <v>66</v>
      </c>
      <c r="F982" s="149">
        <v>-520000</v>
      </c>
      <c r="G982" s="147" t="s">
        <v>116</v>
      </c>
      <c r="H982" s="148">
        <v>488</v>
      </c>
      <c r="I982" s="148" t="s">
        <v>123</v>
      </c>
      <c r="J982" s="147" t="s">
        <v>124</v>
      </c>
      <c r="K982" s="149">
        <f>+K981+Tabla6[[#This Row],[IMPORTE]]</f>
        <v>109249333.16000007</v>
      </c>
      <c r="L982" s="143" t="s">
        <v>744</v>
      </c>
      <c r="M982" s="174" t="s">
        <v>1505</v>
      </c>
    </row>
    <row r="983" spans="2:13" x14ac:dyDescent="0.35">
      <c r="B983" s="173" t="s">
        <v>115</v>
      </c>
      <c r="C983" s="146">
        <v>46045</v>
      </c>
      <c r="D983" s="148">
        <v>9437911</v>
      </c>
      <c r="E983" s="148">
        <v>66</v>
      </c>
      <c r="F983" s="149">
        <v>-510000</v>
      </c>
      <c r="G983" s="147" t="s">
        <v>116</v>
      </c>
      <c r="H983" s="148">
        <v>488</v>
      </c>
      <c r="I983" s="148" t="s">
        <v>123</v>
      </c>
      <c r="J983" s="147" t="s">
        <v>124</v>
      </c>
      <c r="K983" s="149">
        <f>+K982+Tabla6[[#This Row],[IMPORTE]]</f>
        <v>108739333.16000007</v>
      </c>
      <c r="L983" s="143" t="s">
        <v>750</v>
      </c>
      <c r="M983" s="174" t="s">
        <v>1505</v>
      </c>
    </row>
    <row r="984" spans="2:13" x14ac:dyDescent="0.35">
      <c r="B984" s="173" t="s">
        <v>115</v>
      </c>
      <c r="C984" s="146">
        <v>46045</v>
      </c>
      <c r="D984" s="148">
        <v>9430797</v>
      </c>
      <c r="E984" s="148">
        <v>66</v>
      </c>
      <c r="F984" s="149">
        <v>-480000</v>
      </c>
      <c r="G984" s="147" t="s">
        <v>116</v>
      </c>
      <c r="H984" s="148">
        <v>488</v>
      </c>
      <c r="I984" s="148" t="s">
        <v>123</v>
      </c>
      <c r="J984" s="147" t="s">
        <v>124</v>
      </c>
      <c r="K984" s="149">
        <f>+K983+Tabla6[[#This Row],[IMPORTE]]</f>
        <v>108259333.16000007</v>
      </c>
      <c r="L984" s="143" t="s">
        <v>721</v>
      </c>
      <c r="M984" s="174" t="s">
        <v>1505</v>
      </c>
    </row>
    <row r="985" spans="2:13" x14ac:dyDescent="0.35">
      <c r="B985" s="173" t="s">
        <v>115</v>
      </c>
      <c r="C985" s="146">
        <v>46045</v>
      </c>
      <c r="D985" s="148">
        <v>9380237</v>
      </c>
      <c r="E985" s="148">
        <v>66</v>
      </c>
      <c r="F985" s="149">
        <v>-451000</v>
      </c>
      <c r="G985" s="147" t="s">
        <v>116</v>
      </c>
      <c r="H985" s="148">
        <v>488</v>
      </c>
      <c r="I985" s="148" t="s">
        <v>123</v>
      </c>
      <c r="J985" s="147" t="s">
        <v>124</v>
      </c>
      <c r="K985" s="149">
        <f>+K984+Tabla6[[#This Row],[IMPORTE]]</f>
        <v>107808333.16000007</v>
      </c>
      <c r="L985" s="143" t="s">
        <v>714</v>
      </c>
      <c r="M985" s="174" t="s">
        <v>91</v>
      </c>
    </row>
    <row r="986" spans="2:13" x14ac:dyDescent="0.35">
      <c r="B986" s="173" t="s">
        <v>115</v>
      </c>
      <c r="C986" s="146">
        <v>46045</v>
      </c>
      <c r="D986" s="148">
        <v>9471995</v>
      </c>
      <c r="E986" s="148">
        <v>66</v>
      </c>
      <c r="F986" s="149">
        <v>-423564</v>
      </c>
      <c r="G986" s="147" t="s">
        <v>116</v>
      </c>
      <c r="H986" s="148">
        <v>488</v>
      </c>
      <c r="I986" s="148" t="s">
        <v>123</v>
      </c>
      <c r="J986" s="147" t="s">
        <v>124</v>
      </c>
      <c r="K986" s="149">
        <f>+K985+Tabla6[[#This Row],[IMPORTE]]</f>
        <v>107384769.16000007</v>
      </c>
      <c r="L986" s="143" t="s">
        <v>758</v>
      </c>
      <c r="M986" s="174" t="s">
        <v>1505</v>
      </c>
    </row>
    <row r="987" spans="2:13" x14ac:dyDescent="0.35">
      <c r="B987" s="173" t="s">
        <v>115</v>
      </c>
      <c r="C987" s="146">
        <v>46045</v>
      </c>
      <c r="D987" s="148">
        <v>9471994</v>
      </c>
      <c r="E987" s="148">
        <v>66</v>
      </c>
      <c r="F987" s="149">
        <v>-423564</v>
      </c>
      <c r="G987" s="147" t="s">
        <v>116</v>
      </c>
      <c r="H987" s="148">
        <v>488</v>
      </c>
      <c r="I987" s="148" t="s">
        <v>123</v>
      </c>
      <c r="J987" s="147" t="s">
        <v>124</v>
      </c>
      <c r="K987" s="149">
        <f>+K986+Tabla6[[#This Row],[IMPORTE]]</f>
        <v>106961205.16000007</v>
      </c>
      <c r="L987" s="143" t="s">
        <v>758</v>
      </c>
      <c r="M987" s="174" t="s">
        <v>1505</v>
      </c>
    </row>
    <row r="988" spans="2:13" x14ac:dyDescent="0.35">
      <c r="B988" s="173" t="s">
        <v>115</v>
      </c>
      <c r="C988" s="146">
        <v>46045</v>
      </c>
      <c r="D988" s="148">
        <v>9471984</v>
      </c>
      <c r="E988" s="148">
        <v>66</v>
      </c>
      <c r="F988" s="149">
        <v>-363296.25</v>
      </c>
      <c r="G988" s="147" t="s">
        <v>116</v>
      </c>
      <c r="H988" s="148">
        <v>487</v>
      </c>
      <c r="I988" s="148" t="s">
        <v>123</v>
      </c>
      <c r="J988" s="147" t="s">
        <v>124</v>
      </c>
      <c r="K988" s="149">
        <f>+K987+Tabla6[[#This Row],[IMPORTE]]</f>
        <v>106597908.91000007</v>
      </c>
      <c r="L988" s="143" t="s">
        <v>758</v>
      </c>
      <c r="M988" s="174" t="s">
        <v>1505</v>
      </c>
    </row>
    <row r="989" spans="2:13" x14ac:dyDescent="0.35">
      <c r="B989" s="173" t="s">
        <v>115</v>
      </c>
      <c r="C989" s="146">
        <v>46045</v>
      </c>
      <c r="D989" s="148">
        <v>9471972</v>
      </c>
      <c r="E989" s="148">
        <v>66</v>
      </c>
      <c r="F989" s="149">
        <v>-363296.25</v>
      </c>
      <c r="G989" s="147" t="s">
        <v>116</v>
      </c>
      <c r="H989" s="148">
        <v>488</v>
      </c>
      <c r="I989" s="148" t="s">
        <v>123</v>
      </c>
      <c r="J989" s="147" t="s">
        <v>124</v>
      </c>
      <c r="K989" s="149">
        <f>+K988+Tabla6[[#This Row],[IMPORTE]]</f>
        <v>106234612.66000007</v>
      </c>
      <c r="L989" s="143" t="s">
        <v>758</v>
      </c>
      <c r="M989" s="174" t="s">
        <v>1505</v>
      </c>
    </row>
    <row r="990" spans="2:13" x14ac:dyDescent="0.35">
      <c r="B990" s="173" t="s">
        <v>115</v>
      </c>
      <c r="C990" s="146">
        <v>46045</v>
      </c>
      <c r="D990" s="148">
        <v>9471991</v>
      </c>
      <c r="E990" s="148">
        <v>66</v>
      </c>
      <c r="F990" s="149">
        <v>-363296.25</v>
      </c>
      <c r="G990" s="147" t="s">
        <v>116</v>
      </c>
      <c r="H990" s="148">
        <v>488</v>
      </c>
      <c r="I990" s="148" t="s">
        <v>123</v>
      </c>
      <c r="J990" s="147" t="s">
        <v>124</v>
      </c>
      <c r="K990" s="149">
        <f>+K989+Tabla6[[#This Row],[IMPORTE]]</f>
        <v>105871316.41000007</v>
      </c>
      <c r="L990" s="143" t="s">
        <v>758</v>
      </c>
      <c r="M990" s="174" t="s">
        <v>1505</v>
      </c>
    </row>
    <row r="991" spans="2:13" x14ac:dyDescent="0.35">
      <c r="B991" s="173" t="s">
        <v>115</v>
      </c>
      <c r="C991" s="146">
        <v>46045</v>
      </c>
      <c r="D991" s="148">
        <v>9471977</v>
      </c>
      <c r="E991" s="148">
        <v>66</v>
      </c>
      <c r="F991" s="149">
        <v>-363296.25</v>
      </c>
      <c r="G991" s="147" t="s">
        <v>116</v>
      </c>
      <c r="H991" s="148">
        <v>488</v>
      </c>
      <c r="I991" s="148" t="s">
        <v>123</v>
      </c>
      <c r="J991" s="147" t="s">
        <v>124</v>
      </c>
      <c r="K991" s="149">
        <f>+K990+Tabla6[[#This Row],[IMPORTE]]</f>
        <v>105508020.16000007</v>
      </c>
      <c r="L991" s="143" t="s">
        <v>758</v>
      </c>
      <c r="M991" s="174" t="s">
        <v>1505</v>
      </c>
    </row>
    <row r="992" spans="2:13" x14ac:dyDescent="0.35">
      <c r="B992" s="173" t="s">
        <v>115</v>
      </c>
      <c r="C992" s="146">
        <v>46045</v>
      </c>
      <c r="D992" s="148">
        <v>9471988</v>
      </c>
      <c r="E992" s="148">
        <v>66</v>
      </c>
      <c r="F992" s="149">
        <v>-363296.25</v>
      </c>
      <c r="G992" s="147" t="s">
        <v>116</v>
      </c>
      <c r="H992" s="148">
        <v>488</v>
      </c>
      <c r="I992" s="148" t="s">
        <v>123</v>
      </c>
      <c r="J992" s="147" t="s">
        <v>124</v>
      </c>
      <c r="K992" s="149">
        <f>+K991+Tabla6[[#This Row],[IMPORTE]]</f>
        <v>105144723.91000007</v>
      </c>
      <c r="L992" s="143" t="s">
        <v>758</v>
      </c>
      <c r="M992" s="174" t="s">
        <v>1505</v>
      </c>
    </row>
    <row r="993" spans="2:13" x14ac:dyDescent="0.35">
      <c r="B993" s="173" t="s">
        <v>115</v>
      </c>
      <c r="C993" s="146">
        <v>46045</v>
      </c>
      <c r="D993" s="148">
        <v>9471990</v>
      </c>
      <c r="E993" s="148">
        <v>66</v>
      </c>
      <c r="F993" s="149">
        <v>-363296.25</v>
      </c>
      <c r="G993" s="147" t="s">
        <v>116</v>
      </c>
      <c r="H993" s="148">
        <v>488</v>
      </c>
      <c r="I993" s="148" t="s">
        <v>123</v>
      </c>
      <c r="J993" s="147" t="s">
        <v>124</v>
      </c>
      <c r="K993" s="149">
        <f>+K992+Tabla6[[#This Row],[IMPORTE]]</f>
        <v>104781427.66000007</v>
      </c>
      <c r="L993" s="143" t="s">
        <v>758</v>
      </c>
      <c r="M993" s="174" t="s">
        <v>1505</v>
      </c>
    </row>
    <row r="994" spans="2:13" x14ac:dyDescent="0.35">
      <c r="B994" s="173" t="s">
        <v>115</v>
      </c>
      <c r="C994" s="146">
        <v>46045</v>
      </c>
      <c r="D994" s="148">
        <v>9471979</v>
      </c>
      <c r="E994" s="148">
        <v>66</v>
      </c>
      <c r="F994" s="149">
        <v>-363296.25</v>
      </c>
      <c r="G994" s="147" t="s">
        <v>116</v>
      </c>
      <c r="H994" s="148">
        <v>488</v>
      </c>
      <c r="I994" s="148" t="s">
        <v>123</v>
      </c>
      <c r="J994" s="147" t="s">
        <v>124</v>
      </c>
      <c r="K994" s="149">
        <f>+K993+Tabla6[[#This Row],[IMPORTE]]</f>
        <v>104418131.41000007</v>
      </c>
      <c r="L994" s="143" t="s">
        <v>758</v>
      </c>
      <c r="M994" s="174" t="s">
        <v>1505</v>
      </c>
    </row>
    <row r="995" spans="2:13" x14ac:dyDescent="0.35">
      <c r="B995" s="173" t="s">
        <v>115</v>
      </c>
      <c r="C995" s="146">
        <v>46045</v>
      </c>
      <c r="D995" s="148">
        <v>9471982</v>
      </c>
      <c r="E995" s="148">
        <v>66</v>
      </c>
      <c r="F995" s="149">
        <v>-363296.25</v>
      </c>
      <c r="G995" s="147" t="s">
        <v>116</v>
      </c>
      <c r="H995" s="148">
        <v>488</v>
      </c>
      <c r="I995" s="148" t="s">
        <v>123</v>
      </c>
      <c r="J995" s="147" t="s">
        <v>124</v>
      </c>
      <c r="K995" s="149">
        <f>+K994+Tabla6[[#This Row],[IMPORTE]]</f>
        <v>104054835.16000007</v>
      </c>
      <c r="L995" s="143" t="s">
        <v>758</v>
      </c>
      <c r="M995" s="174" t="s">
        <v>1505</v>
      </c>
    </row>
    <row r="996" spans="2:13" x14ac:dyDescent="0.35">
      <c r="B996" s="173" t="s">
        <v>115</v>
      </c>
      <c r="C996" s="146">
        <v>46045</v>
      </c>
      <c r="D996" s="148">
        <v>9471997</v>
      </c>
      <c r="E996" s="148">
        <v>66</v>
      </c>
      <c r="F996" s="149">
        <v>-363296.25</v>
      </c>
      <c r="G996" s="147" t="s">
        <v>116</v>
      </c>
      <c r="H996" s="148">
        <v>488</v>
      </c>
      <c r="I996" s="148" t="s">
        <v>123</v>
      </c>
      <c r="J996" s="147" t="s">
        <v>124</v>
      </c>
      <c r="K996" s="149">
        <f>+K995+Tabla6[[#This Row],[IMPORTE]]</f>
        <v>103691538.91000007</v>
      </c>
      <c r="L996" s="143" t="s">
        <v>758</v>
      </c>
      <c r="M996" s="174" t="s">
        <v>1505</v>
      </c>
    </row>
    <row r="997" spans="2:13" x14ac:dyDescent="0.35">
      <c r="B997" s="173" t="s">
        <v>115</v>
      </c>
      <c r="C997" s="146">
        <v>46045</v>
      </c>
      <c r="D997" s="148">
        <v>9471971</v>
      </c>
      <c r="E997" s="148">
        <v>66</v>
      </c>
      <c r="F997" s="149">
        <v>-363296.25</v>
      </c>
      <c r="G997" s="147" t="s">
        <v>116</v>
      </c>
      <c r="H997" s="148">
        <v>488</v>
      </c>
      <c r="I997" s="148" t="s">
        <v>123</v>
      </c>
      <c r="J997" s="147" t="s">
        <v>124</v>
      </c>
      <c r="K997" s="149">
        <f>+K996+Tabla6[[#This Row],[IMPORTE]]</f>
        <v>103328242.66000007</v>
      </c>
      <c r="L997" s="143" t="s">
        <v>758</v>
      </c>
      <c r="M997" s="174" t="s">
        <v>1505</v>
      </c>
    </row>
    <row r="998" spans="2:13" x14ac:dyDescent="0.35">
      <c r="B998" s="173" t="s">
        <v>115</v>
      </c>
      <c r="C998" s="146">
        <v>46045</v>
      </c>
      <c r="D998" s="148">
        <v>9471974</v>
      </c>
      <c r="E998" s="148">
        <v>66</v>
      </c>
      <c r="F998" s="149">
        <v>-363296.25</v>
      </c>
      <c r="G998" s="147" t="s">
        <v>116</v>
      </c>
      <c r="H998" s="148">
        <v>488</v>
      </c>
      <c r="I998" s="148" t="s">
        <v>123</v>
      </c>
      <c r="J998" s="147" t="s">
        <v>124</v>
      </c>
      <c r="K998" s="149">
        <f>+K997+Tabla6[[#This Row],[IMPORTE]]</f>
        <v>102964946.41000007</v>
      </c>
      <c r="L998" s="143" t="s">
        <v>758</v>
      </c>
      <c r="M998" s="174" t="s">
        <v>1505</v>
      </c>
    </row>
    <row r="999" spans="2:13" x14ac:dyDescent="0.35">
      <c r="B999" s="173" t="s">
        <v>115</v>
      </c>
      <c r="C999" s="146">
        <v>46045</v>
      </c>
      <c r="D999" s="148">
        <v>9471978</v>
      </c>
      <c r="E999" s="148">
        <v>66</v>
      </c>
      <c r="F999" s="149">
        <v>-363296.25</v>
      </c>
      <c r="G999" s="147" t="s">
        <v>116</v>
      </c>
      <c r="H999" s="148">
        <v>488</v>
      </c>
      <c r="I999" s="148" t="s">
        <v>123</v>
      </c>
      <c r="J999" s="147" t="s">
        <v>124</v>
      </c>
      <c r="K999" s="149">
        <f>+K998+Tabla6[[#This Row],[IMPORTE]]</f>
        <v>102601650.16000007</v>
      </c>
      <c r="L999" s="143" t="s">
        <v>758</v>
      </c>
      <c r="M999" s="174" t="s">
        <v>1505</v>
      </c>
    </row>
    <row r="1000" spans="2:13" x14ac:dyDescent="0.35">
      <c r="B1000" s="173" t="s">
        <v>115</v>
      </c>
      <c r="C1000" s="146">
        <v>46045</v>
      </c>
      <c r="D1000" s="148">
        <v>9471992</v>
      </c>
      <c r="E1000" s="148">
        <v>66</v>
      </c>
      <c r="F1000" s="149">
        <v>-363296.25</v>
      </c>
      <c r="G1000" s="147" t="s">
        <v>116</v>
      </c>
      <c r="H1000" s="148">
        <v>488</v>
      </c>
      <c r="I1000" s="148" t="s">
        <v>123</v>
      </c>
      <c r="J1000" s="147" t="s">
        <v>124</v>
      </c>
      <c r="K1000" s="149">
        <f>+K999+Tabla6[[#This Row],[IMPORTE]]</f>
        <v>102238353.91000007</v>
      </c>
      <c r="L1000" s="143" t="s">
        <v>758</v>
      </c>
      <c r="M1000" s="174" t="s">
        <v>1505</v>
      </c>
    </row>
    <row r="1001" spans="2:13" x14ac:dyDescent="0.35">
      <c r="B1001" s="173" t="s">
        <v>115</v>
      </c>
      <c r="C1001" s="146">
        <v>46045</v>
      </c>
      <c r="D1001" s="148">
        <v>9471986</v>
      </c>
      <c r="E1001" s="148">
        <v>66</v>
      </c>
      <c r="F1001" s="149">
        <v>-363296.25</v>
      </c>
      <c r="G1001" s="147" t="s">
        <v>116</v>
      </c>
      <c r="H1001" s="148">
        <v>488</v>
      </c>
      <c r="I1001" s="148" t="s">
        <v>123</v>
      </c>
      <c r="J1001" s="147" t="s">
        <v>124</v>
      </c>
      <c r="K1001" s="149">
        <f>+K1000+Tabla6[[#This Row],[IMPORTE]]</f>
        <v>101875057.66000007</v>
      </c>
      <c r="L1001" s="143" t="s">
        <v>758</v>
      </c>
      <c r="M1001" s="174" t="s">
        <v>1505</v>
      </c>
    </row>
    <row r="1002" spans="2:13" x14ac:dyDescent="0.35">
      <c r="B1002" s="173" t="s">
        <v>115</v>
      </c>
      <c r="C1002" s="146">
        <v>46045</v>
      </c>
      <c r="D1002" s="148">
        <v>9437903</v>
      </c>
      <c r="E1002" s="148">
        <v>66</v>
      </c>
      <c r="F1002" s="149">
        <v>-287404.96000000002</v>
      </c>
      <c r="G1002" s="147" t="s">
        <v>116</v>
      </c>
      <c r="H1002" s="148">
        <v>488</v>
      </c>
      <c r="I1002" s="148" t="s">
        <v>123</v>
      </c>
      <c r="J1002" s="147" t="s">
        <v>124</v>
      </c>
      <c r="K1002" s="149">
        <f>+K1001+Tabla6[[#This Row],[IMPORTE]]</f>
        <v>101587652.70000008</v>
      </c>
      <c r="L1002" s="143" t="s">
        <v>747</v>
      </c>
      <c r="M1002" s="174" t="s">
        <v>1505</v>
      </c>
    </row>
    <row r="1003" spans="2:13" x14ac:dyDescent="0.35">
      <c r="B1003" s="173" t="s">
        <v>115</v>
      </c>
      <c r="C1003" s="146">
        <v>46045</v>
      </c>
      <c r="D1003" s="148">
        <v>9430801</v>
      </c>
      <c r="E1003" s="148">
        <v>66</v>
      </c>
      <c r="F1003" s="149">
        <v>-264600</v>
      </c>
      <c r="G1003" s="147" t="s">
        <v>116</v>
      </c>
      <c r="H1003" s="148">
        <v>487</v>
      </c>
      <c r="I1003" s="148" t="s">
        <v>123</v>
      </c>
      <c r="J1003" s="147" t="s">
        <v>124</v>
      </c>
      <c r="K1003" s="149">
        <f>+K1002+Tabla6[[#This Row],[IMPORTE]]</f>
        <v>101323052.70000008</v>
      </c>
      <c r="L1003" s="143" t="s">
        <v>723</v>
      </c>
      <c r="M1003" s="174" t="s">
        <v>1505</v>
      </c>
    </row>
    <row r="1004" spans="2:13" x14ac:dyDescent="0.35">
      <c r="B1004" s="173" t="s">
        <v>115</v>
      </c>
      <c r="C1004" s="146">
        <v>46045</v>
      </c>
      <c r="D1004" s="148">
        <v>9435205</v>
      </c>
      <c r="E1004" s="148">
        <v>66</v>
      </c>
      <c r="F1004" s="149">
        <v>-235000</v>
      </c>
      <c r="G1004" s="147" t="s">
        <v>116</v>
      </c>
      <c r="H1004" s="148">
        <v>488</v>
      </c>
      <c r="I1004" s="148" t="s">
        <v>123</v>
      </c>
      <c r="J1004" s="147" t="s">
        <v>124</v>
      </c>
      <c r="K1004" s="149">
        <f>+K1003+Tabla6[[#This Row],[IMPORTE]]</f>
        <v>101088052.70000008</v>
      </c>
      <c r="L1004" s="143" t="s">
        <v>756</v>
      </c>
      <c r="M1004" s="174" t="s">
        <v>1505</v>
      </c>
    </row>
    <row r="1005" spans="2:13" x14ac:dyDescent="0.35">
      <c r="B1005" s="4" t="s">
        <v>164</v>
      </c>
      <c r="C1005" s="120">
        <v>46045</v>
      </c>
      <c r="D1005" s="72">
        <v>2633014355</v>
      </c>
      <c r="E1005" s="72">
        <v>66</v>
      </c>
      <c r="F1005" s="113">
        <v>-230501.52</v>
      </c>
      <c r="G1005" s="5" t="s">
        <v>165</v>
      </c>
      <c r="H1005" s="72">
        <v>204</v>
      </c>
      <c r="I1005" s="72" t="s">
        <v>123</v>
      </c>
      <c r="J1005" s="189" t="s">
        <v>1706</v>
      </c>
      <c r="K1005" s="113">
        <f>+K1004+Tabla6[[#This Row],[IMPORTE]]</f>
        <v>100857551.18000008</v>
      </c>
      <c r="L1005" s="5" t="s">
        <v>1707</v>
      </c>
      <c r="M1005" s="119" t="s">
        <v>100</v>
      </c>
    </row>
    <row r="1006" spans="2:13" x14ac:dyDescent="0.35">
      <c r="B1006" s="4" t="s">
        <v>164</v>
      </c>
      <c r="C1006" s="120">
        <v>46045</v>
      </c>
      <c r="D1006" s="72">
        <v>2633014376</v>
      </c>
      <c r="E1006" s="72">
        <v>66</v>
      </c>
      <c r="F1006" s="113">
        <v>-230501.52</v>
      </c>
      <c r="G1006" s="5" t="s">
        <v>165</v>
      </c>
      <c r="H1006" s="72">
        <v>204</v>
      </c>
      <c r="I1006" s="72" t="s">
        <v>123</v>
      </c>
      <c r="J1006" s="5" t="s">
        <v>1706</v>
      </c>
      <c r="K1006" s="113">
        <f>+K1005+Tabla6[[#This Row],[IMPORTE]]</f>
        <v>100627049.66000009</v>
      </c>
      <c r="L1006" s="5" t="s">
        <v>1707</v>
      </c>
      <c r="M1006" s="119" t="s">
        <v>100</v>
      </c>
    </row>
    <row r="1007" spans="2:13" x14ac:dyDescent="0.35">
      <c r="B1007" s="173" t="s">
        <v>115</v>
      </c>
      <c r="C1007" s="146">
        <v>46045</v>
      </c>
      <c r="D1007" s="148">
        <v>9380238</v>
      </c>
      <c r="E1007" s="148">
        <v>66</v>
      </c>
      <c r="F1007" s="149">
        <v>-200000</v>
      </c>
      <c r="G1007" s="147" t="s">
        <v>116</v>
      </c>
      <c r="H1007" s="148">
        <v>488</v>
      </c>
      <c r="I1007" s="148" t="s">
        <v>123</v>
      </c>
      <c r="J1007" s="147" t="s">
        <v>124</v>
      </c>
      <c r="K1007" s="149">
        <f>+K1006+Tabla6[[#This Row],[IMPORTE]]</f>
        <v>100427049.66000009</v>
      </c>
      <c r="L1007" s="143" t="s">
        <v>714</v>
      </c>
      <c r="M1007" s="174" t="s">
        <v>91</v>
      </c>
    </row>
    <row r="1008" spans="2:13" x14ac:dyDescent="0.35">
      <c r="B1008" s="4" t="s">
        <v>164</v>
      </c>
      <c r="C1008" s="120">
        <v>46045</v>
      </c>
      <c r="D1008" s="72">
        <v>2633014061</v>
      </c>
      <c r="E1008" s="72">
        <v>66</v>
      </c>
      <c r="F1008" s="113">
        <v>-176843.55</v>
      </c>
      <c r="G1008" s="5" t="s">
        <v>165</v>
      </c>
      <c r="H1008" s="72">
        <v>204</v>
      </c>
      <c r="I1008" s="72" t="s">
        <v>123</v>
      </c>
      <c r="J1008" s="5" t="s">
        <v>1706</v>
      </c>
      <c r="K1008" s="113">
        <f>+K1007+Tabla6[[#This Row],[IMPORTE]]</f>
        <v>100250206.11000009</v>
      </c>
      <c r="L1008" s="5" t="s">
        <v>1707</v>
      </c>
      <c r="M1008" s="119" t="s">
        <v>100</v>
      </c>
    </row>
    <row r="1009" spans="2:13" x14ac:dyDescent="0.35">
      <c r="B1009" s="4" t="s">
        <v>164</v>
      </c>
      <c r="C1009" s="120">
        <v>46045</v>
      </c>
      <c r="D1009" s="72">
        <v>2633014083</v>
      </c>
      <c r="E1009" s="72">
        <v>66</v>
      </c>
      <c r="F1009" s="113">
        <v>-176843.55</v>
      </c>
      <c r="G1009" s="5" t="s">
        <v>165</v>
      </c>
      <c r="H1009" s="72">
        <v>204</v>
      </c>
      <c r="I1009" s="72" t="s">
        <v>123</v>
      </c>
      <c r="J1009" s="5" t="s">
        <v>1706</v>
      </c>
      <c r="K1009" s="113">
        <f>+K1008+Tabla6[[#This Row],[IMPORTE]]</f>
        <v>100073362.56000009</v>
      </c>
      <c r="L1009" s="5" t="s">
        <v>1707</v>
      </c>
      <c r="M1009" s="119" t="s">
        <v>100</v>
      </c>
    </row>
    <row r="1010" spans="2:13" x14ac:dyDescent="0.35">
      <c r="B1010" s="173" t="s">
        <v>115</v>
      </c>
      <c r="C1010" s="146">
        <v>46045</v>
      </c>
      <c r="D1010" s="148">
        <v>9427955</v>
      </c>
      <c r="E1010" s="148">
        <v>66</v>
      </c>
      <c r="F1010" s="149">
        <v>-156453</v>
      </c>
      <c r="G1010" s="147" t="s">
        <v>116</v>
      </c>
      <c r="H1010" s="148">
        <v>488</v>
      </c>
      <c r="I1010" s="148" t="s">
        <v>123</v>
      </c>
      <c r="J1010" s="147" t="s">
        <v>124</v>
      </c>
      <c r="K1010" s="149">
        <f>+K1009+Tabla6[[#This Row],[IMPORTE]]</f>
        <v>99916909.560000092</v>
      </c>
      <c r="L1010" s="143" t="s">
        <v>738</v>
      </c>
      <c r="M1010" s="174" t="s">
        <v>1505</v>
      </c>
    </row>
    <row r="1011" spans="2:13" x14ac:dyDescent="0.35">
      <c r="B1011" s="173" t="s">
        <v>115</v>
      </c>
      <c r="C1011" s="146">
        <v>46045</v>
      </c>
      <c r="D1011" s="148">
        <v>9430802</v>
      </c>
      <c r="E1011" s="148">
        <v>66</v>
      </c>
      <c r="F1011" s="149">
        <v>-156000</v>
      </c>
      <c r="G1011" s="147" t="s">
        <v>116</v>
      </c>
      <c r="H1011" s="148">
        <v>488</v>
      </c>
      <c r="I1011" s="148" t="s">
        <v>123</v>
      </c>
      <c r="J1011" s="147" t="s">
        <v>124</v>
      </c>
      <c r="K1011" s="149">
        <f>+K1010+Tabla6[[#This Row],[IMPORTE]]</f>
        <v>99760909.560000092</v>
      </c>
      <c r="L1011" s="143" t="s">
        <v>724</v>
      </c>
      <c r="M1011" s="174" t="s">
        <v>1505</v>
      </c>
    </row>
    <row r="1012" spans="2:13" x14ac:dyDescent="0.35">
      <c r="B1012" s="173" t="s">
        <v>115</v>
      </c>
      <c r="C1012" s="146">
        <v>46045</v>
      </c>
      <c r="D1012" s="148">
        <v>9433474</v>
      </c>
      <c r="E1012" s="148">
        <v>66</v>
      </c>
      <c r="F1012" s="149">
        <v>-156000</v>
      </c>
      <c r="G1012" s="147" t="s">
        <v>116</v>
      </c>
      <c r="H1012" s="148">
        <v>488</v>
      </c>
      <c r="I1012" s="148" t="s">
        <v>123</v>
      </c>
      <c r="J1012" s="147" t="s">
        <v>124</v>
      </c>
      <c r="K1012" s="149">
        <f>+K1011+Tabla6[[#This Row],[IMPORTE]]</f>
        <v>99604909.560000092</v>
      </c>
      <c r="L1012" s="143" t="s">
        <v>729</v>
      </c>
      <c r="M1012" s="174" t="s">
        <v>1505</v>
      </c>
    </row>
    <row r="1013" spans="2:13" x14ac:dyDescent="0.35">
      <c r="B1013" s="173" t="s">
        <v>115</v>
      </c>
      <c r="C1013" s="146">
        <v>46045</v>
      </c>
      <c r="D1013" s="148">
        <v>9437909</v>
      </c>
      <c r="E1013" s="148">
        <v>66</v>
      </c>
      <c r="F1013" s="149">
        <v>-144000</v>
      </c>
      <c r="G1013" s="147" t="s">
        <v>116</v>
      </c>
      <c r="H1013" s="148">
        <v>488</v>
      </c>
      <c r="I1013" s="148" t="s">
        <v>123</v>
      </c>
      <c r="J1013" s="147" t="s">
        <v>124</v>
      </c>
      <c r="K1013" s="149">
        <f>+K1012+Tabla6[[#This Row],[IMPORTE]]</f>
        <v>99460909.560000092</v>
      </c>
      <c r="L1013" s="143" t="s">
        <v>743</v>
      </c>
      <c r="M1013" s="174" t="s">
        <v>1505</v>
      </c>
    </row>
    <row r="1014" spans="2:13" x14ac:dyDescent="0.35">
      <c r="B1014" s="173" t="s">
        <v>115</v>
      </c>
      <c r="C1014" s="146">
        <v>46045</v>
      </c>
      <c r="D1014" s="148">
        <v>9440398</v>
      </c>
      <c r="E1014" s="148">
        <v>66</v>
      </c>
      <c r="F1014" s="149">
        <v>-131241.60000000001</v>
      </c>
      <c r="G1014" s="147" t="s">
        <v>116</v>
      </c>
      <c r="H1014" s="148">
        <v>488</v>
      </c>
      <c r="I1014" s="148" t="s">
        <v>123</v>
      </c>
      <c r="J1014" s="147" t="s">
        <v>124</v>
      </c>
      <c r="K1014" s="149">
        <f>+K1013+Tabla6[[#This Row],[IMPORTE]]</f>
        <v>99329667.960000098</v>
      </c>
      <c r="L1014" s="143" t="s">
        <v>718</v>
      </c>
      <c r="M1014" s="174" t="s">
        <v>1505</v>
      </c>
    </row>
    <row r="1015" spans="2:13" x14ac:dyDescent="0.35">
      <c r="B1015" s="173" t="s">
        <v>115</v>
      </c>
      <c r="C1015" s="146">
        <v>46045</v>
      </c>
      <c r="D1015" s="148">
        <v>9430800</v>
      </c>
      <c r="E1015" s="148">
        <v>66</v>
      </c>
      <c r="F1015" s="149">
        <v>-96000</v>
      </c>
      <c r="G1015" s="147" t="s">
        <v>116</v>
      </c>
      <c r="H1015" s="148">
        <v>488</v>
      </c>
      <c r="I1015" s="148" t="s">
        <v>123</v>
      </c>
      <c r="J1015" s="147" t="s">
        <v>124</v>
      </c>
      <c r="K1015" s="149">
        <f>+K1014+Tabla6[[#This Row],[IMPORTE]]</f>
        <v>99233667.960000098</v>
      </c>
      <c r="L1015" s="143" t="s">
        <v>719</v>
      </c>
      <c r="M1015" s="174" t="s">
        <v>1505</v>
      </c>
    </row>
    <row r="1016" spans="2:13" x14ac:dyDescent="0.35">
      <c r="B1016" s="172" t="s">
        <v>132</v>
      </c>
      <c r="C1016" s="126">
        <v>46045</v>
      </c>
      <c r="D1016" s="127">
        <v>746300027</v>
      </c>
      <c r="E1016" s="127">
        <v>66</v>
      </c>
      <c r="F1016" s="128">
        <v>-85119.12</v>
      </c>
      <c r="G1016" s="129" t="s">
        <v>133</v>
      </c>
      <c r="H1016" s="127">
        <v>562</v>
      </c>
      <c r="I1016" s="127" t="s">
        <v>123</v>
      </c>
      <c r="J1016" s="129" t="s">
        <v>124</v>
      </c>
      <c r="K1016" s="128">
        <f>+K1015+Tabla6[[#This Row],[IMPORTE]]</f>
        <v>99148548.840000093</v>
      </c>
      <c r="L1016" s="129" t="s">
        <v>182</v>
      </c>
      <c r="M1016" s="130" t="s">
        <v>93</v>
      </c>
    </row>
    <row r="1017" spans="2:13" x14ac:dyDescent="0.35">
      <c r="B1017" s="173" t="s">
        <v>115</v>
      </c>
      <c r="C1017" s="146">
        <v>46045</v>
      </c>
      <c r="D1017" s="148">
        <v>9435203</v>
      </c>
      <c r="E1017" s="148">
        <v>66</v>
      </c>
      <c r="F1017" s="149">
        <v>-51418</v>
      </c>
      <c r="G1017" s="147" t="s">
        <v>116</v>
      </c>
      <c r="H1017" s="148">
        <v>488</v>
      </c>
      <c r="I1017" s="148" t="s">
        <v>123</v>
      </c>
      <c r="J1017" s="147" t="s">
        <v>124</v>
      </c>
      <c r="K1017" s="149">
        <f>+K1016+Tabla6[[#This Row],[IMPORTE]]</f>
        <v>99097130.840000093</v>
      </c>
      <c r="L1017" s="143" t="s">
        <v>753</v>
      </c>
      <c r="M1017" s="174" t="s">
        <v>1505</v>
      </c>
    </row>
    <row r="1018" spans="2:13" x14ac:dyDescent="0.35">
      <c r="B1018" s="4" t="s">
        <v>115</v>
      </c>
      <c r="C1018" s="120">
        <v>46045</v>
      </c>
      <c r="D1018" s="72">
        <v>9382753</v>
      </c>
      <c r="E1018" s="72">
        <v>66</v>
      </c>
      <c r="F1018" s="113">
        <v>-32423.33</v>
      </c>
      <c r="G1018" s="5" t="s">
        <v>116</v>
      </c>
      <c r="H1018" s="72">
        <v>488</v>
      </c>
      <c r="I1018" s="72" t="s">
        <v>123</v>
      </c>
      <c r="J1018" s="5" t="s">
        <v>1536</v>
      </c>
      <c r="K1018" s="113">
        <f>+K1017+Tabla6[[#This Row],[IMPORTE]]</f>
        <v>99064707.510000095</v>
      </c>
      <c r="L1018" s="5" t="s">
        <v>1691</v>
      </c>
      <c r="M1018" s="119" t="s">
        <v>100</v>
      </c>
    </row>
    <row r="1019" spans="2:13" x14ac:dyDescent="0.35">
      <c r="B1019" s="4" t="s">
        <v>115</v>
      </c>
      <c r="C1019" s="120">
        <v>46045</v>
      </c>
      <c r="D1019" s="72">
        <v>9382754</v>
      </c>
      <c r="E1019" s="72">
        <v>66</v>
      </c>
      <c r="F1019" s="113">
        <v>-30928.1</v>
      </c>
      <c r="G1019" s="5" t="s">
        <v>116</v>
      </c>
      <c r="H1019" s="72">
        <v>488</v>
      </c>
      <c r="I1019" s="72" t="s">
        <v>123</v>
      </c>
      <c r="J1019" s="5" t="s">
        <v>1536</v>
      </c>
      <c r="K1019" s="113">
        <f>+K1018+Tabla6[[#This Row],[IMPORTE]]</f>
        <v>99033779.410000101</v>
      </c>
      <c r="L1019" s="5" t="s">
        <v>1691</v>
      </c>
      <c r="M1019" s="119" t="s">
        <v>100</v>
      </c>
    </row>
    <row r="1020" spans="2:13" x14ac:dyDescent="0.35">
      <c r="B1020" s="4" t="s">
        <v>115</v>
      </c>
      <c r="C1020" s="120">
        <v>46048</v>
      </c>
      <c r="D1020" s="72">
        <v>9620829</v>
      </c>
      <c r="E1020" s="72">
        <v>66</v>
      </c>
      <c r="F1020" s="113">
        <v>1257737.52</v>
      </c>
      <c r="G1020" s="5" t="s">
        <v>116</v>
      </c>
      <c r="H1020" s="72">
        <v>480</v>
      </c>
      <c r="I1020" s="72">
        <v>30643990632</v>
      </c>
      <c r="J1020" s="5" t="s">
        <v>118</v>
      </c>
      <c r="K1020" s="113">
        <f>+K1019+Tabla6[[#This Row],[IMPORTE]]</f>
        <v>100291516.9300001</v>
      </c>
      <c r="L1020" s="5" t="s">
        <v>1708</v>
      </c>
      <c r="M1020" s="119" t="s">
        <v>100</v>
      </c>
    </row>
    <row r="1021" spans="2:13" x14ac:dyDescent="0.35">
      <c r="B1021" s="4" t="s">
        <v>115</v>
      </c>
      <c r="C1021" s="120">
        <v>46048</v>
      </c>
      <c r="D1021" s="72">
        <v>9638104</v>
      </c>
      <c r="E1021" s="72">
        <v>66</v>
      </c>
      <c r="F1021" s="113">
        <v>1930396.06</v>
      </c>
      <c r="G1021" s="5" t="s">
        <v>116</v>
      </c>
      <c r="H1021" s="72">
        <v>479</v>
      </c>
      <c r="I1021" s="72">
        <v>30659863789</v>
      </c>
      <c r="J1021" s="5" t="s">
        <v>119</v>
      </c>
      <c r="K1021" s="113">
        <f>+K1020+Tabla6[[#This Row],[IMPORTE]]</f>
        <v>102221912.9900001</v>
      </c>
      <c r="L1021" s="5" t="s">
        <v>1709</v>
      </c>
      <c r="M1021" s="119" t="s">
        <v>100</v>
      </c>
    </row>
    <row r="1022" spans="2:13" x14ac:dyDescent="0.35">
      <c r="B1022" s="4" t="s">
        <v>115</v>
      </c>
      <c r="C1022" s="120">
        <v>46048</v>
      </c>
      <c r="D1022" s="72">
        <v>9638105</v>
      </c>
      <c r="E1022" s="72">
        <v>66</v>
      </c>
      <c r="F1022" s="113">
        <v>2392299.1</v>
      </c>
      <c r="G1022" s="5" t="s">
        <v>116</v>
      </c>
      <c r="H1022" s="72">
        <v>479</v>
      </c>
      <c r="I1022" s="72">
        <v>30659863789</v>
      </c>
      <c r="J1022" s="5" t="s">
        <v>119</v>
      </c>
      <c r="K1022" s="113">
        <f>+K1021+Tabla6[[#This Row],[IMPORTE]]</f>
        <v>104614212.09000009</v>
      </c>
      <c r="L1022" s="5" t="s">
        <v>1709</v>
      </c>
      <c r="M1022" s="119" t="s">
        <v>100</v>
      </c>
    </row>
    <row r="1023" spans="2:13" x14ac:dyDescent="0.35">
      <c r="B1023" s="4" t="s">
        <v>121</v>
      </c>
      <c r="C1023" s="120">
        <v>46048</v>
      </c>
      <c r="D1023" s="72">
        <v>2663202485</v>
      </c>
      <c r="E1023" s="72">
        <v>66</v>
      </c>
      <c r="F1023" s="113">
        <v>2552015.37</v>
      </c>
      <c r="G1023" s="5" t="s">
        <v>122</v>
      </c>
      <c r="H1023" s="72">
        <v>694</v>
      </c>
      <c r="I1023" s="72" t="s">
        <v>123</v>
      </c>
      <c r="J1023" s="5" t="s">
        <v>1710</v>
      </c>
      <c r="K1023" s="113">
        <f>+K1022+Tabla6[[#This Row],[IMPORTE]]</f>
        <v>107166227.4600001</v>
      </c>
      <c r="L1023" s="5" t="s">
        <v>1730</v>
      </c>
      <c r="M1023" s="119" t="s">
        <v>100</v>
      </c>
    </row>
    <row r="1024" spans="2:13" x14ac:dyDescent="0.35">
      <c r="B1024" s="4" t="s">
        <v>121</v>
      </c>
      <c r="C1024" s="120">
        <v>46048</v>
      </c>
      <c r="D1024" s="72">
        <v>2664009293</v>
      </c>
      <c r="E1024" s="72">
        <v>66</v>
      </c>
      <c r="F1024" s="113">
        <v>3097964.59</v>
      </c>
      <c r="G1024" s="5" t="s">
        <v>122</v>
      </c>
      <c r="H1024" s="72">
        <v>694</v>
      </c>
      <c r="I1024" s="72" t="s">
        <v>123</v>
      </c>
      <c r="J1024" s="5" t="s">
        <v>124</v>
      </c>
      <c r="K1024" s="113">
        <f>+K1023+Tabla6[[#This Row],[IMPORTE]]</f>
        <v>110264192.0500001</v>
      </c>
      <c r="L1024" s="5" t="s">
        <v>1494</v>
      </c>
      <c r="M1024" s="119" t="s">
        <v>100</v>
      </c>
    </row>
    <row r="1025" spans="2:13" x14ac:dyDescent="0.35">
      <c r="B1025" s="4" t="s">
        <v>128</v>
      </c>
      <c r="C1025" s="120">
        <v>46048</v>
      </c>
      <c r="D1025" s="72">
        <v>666302515</v>
      </c>
      <c r="E1025" s="72">
        <v>66</v>
      </c>
      <c r="F1025" s="113">
        <v>3308391.39</v>
      </c>
      <c r="G1025" s="5" t="s">
        <v>129</v>
      </c>
      <c r="H1025" s="72">
        <v>93</v>
      </c>
      <c r="I1025" s="72" t="s">
        <v>123</v>
      </c>
      <c r="J1025" s="5" t="s">
        <v>124</v>
      </c>
      <c r="K1025" s="113">
        <f>+K1024+Tabla6[[#This Row],[IMPORTE]]</f>
        <v>113572583.4400001</v>
      </c>
      <c r="L1025" s="5" t="s">
        <v>1708</v>
      </c>
      <c r="M1025" s="119" t="s">
        <v>100</v>
      </c>
    </row>
    <row r="1026" spans="2:13" x14ac:dyDescent="0.35">
      <c r="B1026" s="4" t="s">
        <v>115</v>
      </c>
      <c r="C1026" s="120">
        <v>46048</v>
      </c>
      <c r="D1026" s="72">
        <v>9637805</v>
      </c>
      <c r="E1026" s="72">
        <v>66</v>
      </c>
      <c r="F1026" s="113">
        <v>4237641.17</v>
      </c>
      <c r="G1026" s="5" t="s">
        <v>116</v>
      </c>
      <c r="H1026" s="72">
        <v>479</v>
      </c>
      <c r="I1026" s="72">
        <v>30643990632</v>
      </c>
      <c r="J1026" s="5" t="s">
        <v>127</v>
      </c>
      <c r="K1026" s="113">
        <f>+K1025+Tabla6[[#This Row],[IMPORTE]]</f>
        <v>117810224.6100001</v>
      </c>
      <c r="L1026" s="5" t="s">
        <v>1708</v>
      </c>
      <c r="M1026" s="119" t="s">
        <v>100</v>
      </c>
    </row>
    <row r="1027" spans="2:13" x14ac:dyDescent="0.35">
      <c r="B1027" s="4" t="s">
        <v>125</v>
      </c>
      <c r="C1027" s="120">
        <v>46048</v>
      </c>
      <c r="D1027" s="72">
        <v>746000031</v>
      </c>
      <c r="E1027" s="72">
        <v>66</v>
      </c>
      <c r="F1027" s="113">
        <v>6804461.4800000004</v>
      </c>
      <c r="G1027" s="5" t="s">
        <v>126</v>
      </c>
      <c r="H1027" s="72">
        <v>558</v>
      </c>
      <c r="I1027" s="72" t="s">
        <v>123</v>
      </c>
      <c r="J1027" s="5" t="s">
        <v>124</v>
      </c>
      <c r="K1027" s="113">
        <f>+K1026+Tabla6[[#This Row],[IMPORTE]]</f>
        <v>124614686.09000011</v>
      </c>
      <c r="L1027" s="5" t="s">
        <v>1711</v>
      </c>
      <c r="M1027" s="119" t="s">
        <v>100</v>
      </c>
    </row>
    <row r="1028" spans="2:13" x14ac:dyDescent="0.35">
      <c r="B1028" s="4" t="s">
        <v>115</v>
      </c>
      <c r="C1028" s="120">
        <v>46048</v>
      </c>
      <c r="D1028" s="72">
        <v>9638106</v>
      </c>
      <c r="E1028" s="72">
        <v>66</v>
      </c>
      <c r="F1028" s="113">
        <v>14357225.41</v>
      </c>
      <c r="G1028" s="5" t="s">
        <v>116</v>
      </c>
      <c r="H1028" s="72">
        <v>479</v>
      </c>
      <c r="I1028" s="72">
        <v>30659863789</v>
      </c>
      <c r="J1028" s="5" t="s">
        <v>119</v>
      </c>
      <c r="K1028" s="113">
        <f>+K1027+Tabla6[[#This Row],[IMPORTE]]</f>
        <v>138971911.50000012</v>
      </c>
      <c r="L1028" s="5" t="s">
        <v>1709</v>
      </c>
      <c r="M1028" s="119" t="s">
        <v>100</v>
      </c>
    </row>
    <row r="1029" spans="2:13" x14ac:dyDescent="0.35">
      <c r="B1029" s="173" t="s">
        <v>115</v>
      </c>
      <c r="C1029" s="146">
        <v>46048</v>
      </c>
      <c r="D1029" s="148">
        <v>9555193</v>
      </c>
      <c r="E1029" s="148">
        <v>66</v>
      </c>
      <c r="F1029" s="149">
        <v>566717000</v>
      </c>
      <c r="G1029" s="147" t="s">
        <v>116</v>
      </c>
      <c r="H1029" s="148">
        <v>480</v>
      </c>
      <c r="I1029" s="148">
        <v>30999259169</v>
      </c>
      <c r="J1029" s="147" t="s">
        <v>148</v>
      </c>
      <c r="K1029" s="149">
        <f>+K1028+Tabla6[[#This Row],[IMPORTE]]</f>
        <v>705688911.50000012</v>
      </c>
      <c r="L1029" s="178" t="s">
        <v>1476</v>
      </c>
      <c r="M1029" s="174" t="s">
        <v>89</v>
      </c>
    </row>
    <row r="1030" spans="2:13" x14ac:dyDescent="0.35">
      <c r="B1030" s="173" t="s">
        <v>130</v>
      </c>
      <c r="C1030" s="146">
        <v>46048</v>
      </c>
      <c r="D1030" s="148">
        <v>4001990220</v>
      </c>
      <c r="E1030" s="148">
        <v>66</v>
      </c>
      <c r="F1030" s="149">
        <v>-400000000</v>
      </c>
      <c r="G1030" s="147" t="s">
        <v>131</v>
      </c>
      <c r="H1030" s="148">
        <v>530</v>
      </c>
      <c r="I1030" s="148" t="s">
        <v>123</v>
      </c>
      <c r="J1030" s="147" t="s">
        <v>1466</v>
      </c>
      <c r="K1030" s="149">
        <f>+K1029+Tabla6[[#This Row],[IMPORTE]]</f>
        <v>305688911.50000012</v>
      </c>
      <c r="L1030" s="143" t="s">
        <v>809</v>
      </c>
      <c r="M1030" s="174" t="s">
        <v>83</v>
      </c>
    </row>
    <row r="1031" spans="2:13" x14ac:dyDescent="0.35">
      <c r="B1031" s="173" t="s">
        <v>115</v>
      </c>
      <c r="C1031" s="146">
        <v>46048</v>
      </c>
      <c r="D1031" s="148">
        <v>9609306</v>
      </c>
      <c r="E1031" s="148">
        <v>66</v>
      </c>
      <c r="F1031" s="149">
        <v>-92173900</v>
      </c>
      <c r="G1031" s="147" t="s">
        <v>116</v>
      </c>
      <c r="H1031" s="148">
        <v>488</v>
      </c>
      <c r="I1031" s="148" t="s">
        <v>123</v>
      </c>
      <c r="J1031" s="147" t="s">
        <v>124</v>
      </c>
      <c r="K1031" s="149">
        <f>+K1030+Tabla6[[#This Row],[IMPORTE]]</f>
        <v>213515011.50000012</v>
      </c>
      <c r="L1031" s="143" t="s">
        <v>774</v>
      </c>
      <c r="M1031" s="174" t="s">
        <v>1505</v>
      </c>
    </row>
    <row r="1032" spans="2:13" x14ac:dyDescent="0.35">
      <c r="B1032" s="173" t="s">
        <v>115</v>
      </c>
      <c r="C1032" s="146">
        <v>46048</v>
      </c>
      <c r="D1032" s="148">
        <v>9613218</v>
      </c>
      <c r="E1032" s="148">
        <v>66</v>
      </c>
      <c r="F1032" s="149">
        <v>-36357542</v>
      </c>
      <c r="G1032" s="147" t="s">
        <v>116</v>
      </c>
      <c r="H1032" s="148">
        <v>488</v>
      </c>
      <c r="I1032" s="148" t="s">
        <v>123</v>
      </c>
      <c r="J1032" s="147" t="s">
        <v>124</v>
      </c>
      <c r="K1032" s="149">
        <f>+K1031+Tabla6[[#This Row],[IMPORTE]]</f>
        <v>177157469.50000012</v>
      </c>
      <c r="L1032" s="143" t="s">
        <v>781</v>
      </c>
      <c r="M1032" s="174" t="s">
        <v>92</v>
      </c>
    </row>
    <row r="1033" spans="2:13" x14ac:dyDescent="0.35">
      <c r="B1033" s="173" t="s">
        <v>115</v>
      </c>
      <c r="C1033" s="146">
        <v>46048</v>
      </c>
      <c r="D1033" s="148">
        <v>9609310</v>
      </c>
      <c r="E1033" s="148">
        <v>66</v>
      </c>
      <c r="F1033" s="149">
        <v>-12954715.52</v>
      </c>
      <c r="G1033" s="147" t="s">
        <v>116</v>
      </c>
      <c r="H1033" s="148">
        <v>487</v>
      </c>
      <c r="I1033" s="148" t="s">
        <v>123</v>
      </c>
      <c r="J1033" s="147" t="s">
        <v>124</v>
      </c>
      <c r="K1033" s="149">
        <f>+K1032+Tabla6[[#This Row],[IMPORTE]]</f>
        <v>164202753.98000011</v>
      </c>
      <c r="L1033" s="143" t="s">
        <v>777</v>
      </c>
      <c r="M1033" s="174" t="s">
        <v>1505</v>
      </c>
    </row>
    <row r="1034" spans="2:13" x14ac:dyDescent="0.35">
      <c r="B1034" s="173" t="s">
        <v>115</v>
      </c>
      <c r="C1034" s="146">
        <v>46048</v>
      </c>
      <c r="D1034" s="148">
        <v>9609314</v>
      </c>
      <c r="E1034" s="148">
        <v>66</v>
      </c>
      <c r="F1034" s="149">
        <v>-10078474.57</v>
      </c>
      <c r="G1034" s="147" t="s">
        <v>116</v>
      </c>
      <c r="H1034" s="148">
        <v>488</v>
      </c>
      <c r="I1034" s="148" t="s">
        <v>123</v>
      </c>
      <c r="J1034" s="147" t="s">
        <v>124</v>
      </c>
      <c r="K1034" s="149">
        <f>+K1033+Tabla6[[#This Row],[IMPORTE]]</f>
        <v>154124279.41000012</v>
      </c>
      <c r="L1034" s="143" t="s">
        <v>770</v>
      </c>
      <c r="M1034" s="174" t="s">
        <v>1505</v>
      </c>
    </row>
    <row r="1035" spans="2:13" x14ac:dyDescent="0.35">
      <c r="B1035" s="173" t="s">
        <v>115</v>
      </c>
      <c r="C1035" s="146">
        <v>46048</v>
      </c>
      <c r="D1035" s="148">
        <v>9609305</v>
      </c>
      <c r="E1035" s="148">
        <v>66</v>
      </c>
      <c r="F1035" s="149">
        <v>-6731813.1500000004</v>
      </c>
      <c r="G1035" s="147" t="s">
        <v>116</v>
      </c>
      <c r="H1035" s="148">
        <v>488</v>
      </c>
      <c r="I1035" s="148" t="s">
        <v>123</v>
      </c>
      <c r="J1035" s="147" t="s">
        <v>124</v>
      </c>
      <c r="K1035" s="149">
        <f>+K1034+Tabla6[[#This Row],[IMPORTE]]</f>
        <v>147392466.26000011</v>
      </c>
      <c r="L1035" s="143" t="s">
        <v>771</v>
      </c>
      <c r="M1035" s="174" t="s">
        <v>1505</v>
      </c>
    </row>
    <row r="1036" spans="2:13" x14ac:dyDescent="0.35">
      <c r="B1036" s="173" t="s">
        <v>115</v>
      </c>
      <c r="C1036" s="146">
        <v>46048</v>
      </c>
      <c r="D1036" s="148">
        <v>9591941</v>
      </c>
      <c r="E1036" s="148">
        <v>66</v>
      </c>
      <c r="F1036" s="149">
        <v>-5692500</v>
      </c>
      <c r="G1036" s="147" t="s">
        <v>116</v>
      </c>
      <c r="H1036" s="148">
        <v>488</v>
      </c>
      <c r="I1036" s="148" t="s">
        <v>123</v>
      </c>
      <c r="J1036" s="147" t="s">
        <v>124</v>
      </c>
      <c r="K1036" s="149">
        <f>+K1035+Tabla6[[#This Row],[IMPORTE]]</f>
        <v>141699966.26000011</v>
      </c>
      <c r="L1036" s="143" t="s">
        <v>745</v>
      </c>
      <c r="M1036" s="174" t="s">
        <v>1505</v>
      </c>
    </row>
    <row r="1037" spans="2:13" x14ac:dyDescent="0.35">
      <c r="B1037" s="173" t="s">
        <v>115</v>
      </c>
      <c r="C1037" s="146">
        <v>46048</v>
      </c>
      <c r="D1037" s="148">
        <v>9620911</v>
      </c>
      <c r="E1037" s="148">
        <v>66</v>
      </c>
      <c r="F1037" s="149">
        <v>-5522588.0099999998</v>
      </c>
      <c r="G1037" s="147" t="s">
        <v>116</v>
      </c>
      <c r="H1037" s="148">
        <v>488</v>
      </c>
      <c r="I1037" s="148" t="s">
        <v>123</v>
      </c>
      <c r="J1037" s="147" t="s">
        <v>124</v>
      </c>
      <c r="K1037" s="149">
        <f>+K1036+Tabla6[[#This Row],[IMPORTE]]</f>
        <v>136177378.25000012</v>
      </c>
      <c r="L1037" s="143" t="s">
        <v>782</v>
      </c>
      <c r="M1037" s="174" t="s">
        <v>1505</v>
      </c>
    </row>
    <row r="1038" spans="2:13" x14ac:dyDescent="0.35">
      <c r="B1038" s="173" t="s">
        <v>115</v>
      </c>
      <c r="C1038" s="146">
        <v>46048</v>
      </c>
      <c r="D1038" s="148">
        <v>9591940</v>
      </c>
      <c r="E1038" s="148">
        <v>66</v>
      </c>
      <c r="F1038" s="149">
        <v>-4598056.79</v>
      </c>
      <c r="G1038" s="147" t="s">
        <v>116</v>
      </c>
      <c r="H1038" s="148">
        <v>488</v>
      </c>
      <c r="I1038" s="148" t="s">
        <v>123</v>
      </c>
      <c r="J1038" s="147" t="s">
        <v>124</v>
      </c>
      <c r="K1038" s="149">
        <f>+K1037+Tabla6[[#This Row],[IMPORTE]]</f>
        <v>131579321.46000011</v>
      </c>
      <c r="L1038" s="143" t="s">
        <v>766</v>
      </c>
      <c r="M1038" s="174" t="s">
        <v>1505</v>
      </c>
    </row>
    <row r="1039" spans="2:13" x14ac:dyDescent="0.35">
      <c r="B1039" s="173" t="s">
        <v>115</v>
      </c>
      <c r="C1039" s="146">
        <v>46048</v>
      </c>
      <c r="D1039" s="148">
        <v>9609316</v>
      </c>
      <c r="E1039" s="148">
        <v>66</v>
      </c>
      <c r="F1039" s="149">
        <v>-2411631.08</v>
      </c>
      <c r="G1039" s="147" t="s">
        <v>116</v>
      </c>
      <c r="H1039" s="148">
        <v>488</v>
      </c>
      <c r="I1039" s="148" t="s">
        <v>123</v>
      </c>
      <c r="J1039" s="147" t="s">
        <v>124</v>
      </c>
      <c r="K1039" s="149">
        <f>+K1038+Tabla6[[#This Row],[IMPORTE]]</f>
        <v>129167690.38000011</v>
      </c>
      <c r="L1039" s="143" t="s">
        <v>773</v>
      </c>
      <c r="M1039" s="174" t="s">
        <v>1505</v>
      </c>
    </row>
    <row r="1040" spans="2:13" x14ac:dyDescent="0.35">
      <c r="B1040" s="173" t="s">
        <v>115</v>
      </c>
      <c r="C1040" s="146">
        <v>46048</v>
      </c>
      <c r="D1040" s="148">
        <v>9609318</v>
      </c>
      <c r="E1040" s="148">
        <v>66</v>
      </c>
      <c r="F1040" s="149">
        <v>-2372943.4</v>
      </c>
      <c r="G1040" s="147" t="s">
        <v>116</v>
      </c>
      <c r="H1040" s="148">
        <v>488</v>
      </c>
      <c r="I1040" s="148" t="s">
        <v>123</v>
      </c>
      <c r="J1040" s="147" t="s">
        <v>124</v>
      </c>
      <c r="K1040" s="149">
        <f>+K1039+Tabla6[[#This Row],[IMPORTE]]</f>
        <v>126794746.98000011</v>
      </c>
      <c r="L1040" s="143" t="s">
        <v>776</v>
      </c>
      <c r="M1040" s="174" t="s">
        <v>1505</v>
      </c>
    </row>
    <row r="1041" spans="2:13" x14ac:dyDescent="0.35">
      <c r="B1041" s="173" t="s">
        <v>115</v>
      </c>
      <c r="C1041" s="146">
        <v>46048</v>
      </c>
      <c r="D1041" s="148">
        <v>9609317</v>
      </c>
      <c r="E1041" s="148">
        <v>66</v>
      </c>
      <c r="F1041" s="149">
        <v>-1200000</v>
      </c>
      <c r="G1041" s="147" t="s">
        <v>116</v>
      </c>
      <c r="H1041" s="148">
        <v>488</v>
      </c>
      <c r="I1041" s="148" t="s">
        <v>123</v>
      </c>
      <c r="J1041" s="147" t="s">
        <v>124</v>
      </c>
      <c r="K1041" s="149">
        <f>+K1040+Tabla6[[#This Row],[IMPORTE]]</f>
        <v>125594746.98000011</v>
      </c>
      <c r="L1041" s="143" t="s">
        <v>780</v>
      </c>
      <c r="M1041" s="174" t="s">
        <v>1505</v>
      </c>
    </row>
    <row r="1042" spans="2:13" x14ac:dyDescent="0.35">
      <c r="B1042" s="173" t="s">
        <v>115</v>
      </c>
      <c r="C1042" s="146">
        <v>46048</v>
      </c>
      <c r="D1042" s="148">
        <v>9609313</v>
      </c>
      <c r="E1042" s="148">
        <v>66</v>
      </c>
      <c r="F1042" s="149">
        <v>-622080</v>
      </c>
      <c r="G1042" s="147" t="s">
        <v>116</v>
      </c>
      <c r="H1042" s="148">
        <v>488</v>
      </c>
      <c r="I1042" s="148" t="s">
        <v>123</v>
      </c>
      <c r="J1042" s="147" t="s">
        <v>124</v>
      </c>
      <c r="K1042" s="149">
        <f>+K1041+Tabla6[[#This Row],[IMPORTE]]</f>
        <v>124972666.98000011</v>
      </c>
      <c r="L1042" s="143" t="s">
        <v>779</v>
      </c>
      <c r="M1042" s="174" t="s">
        <v>1505</v>
      </c>
    </row>
    <row r="1043" spans="2:13" x14ac:dyDescent="0.35">
      <c r="B1043" s="173" t="s">
        <v>115</v>
      </c>
      <c r="C1043" s="146">
        <v>46048</v>
      </c>
      <c r="D1043" s="148">
        <v>9609307</v>
      </c>
      <c r="E1043" s="148">
        <v>66</v>
      </c>
      <c r="F1043" s="149">
        <v>-478893.79</v>
      </c>
      <c r="G1043" s="147" t="s">
        <v>116</v>
      </c>
      <c r="H1043" s="148">
        <v>488</v>
      </c>
      <c r="I1043" s="148" t="s">
        <v>123</v>
      </c>
      <c r="J1043" s="147" t="s">
        <v>124</v>
      </c>
      <c r="K1043" s="149">
        <f>+K1042+Tabla6[[#This Row],[IMPORTE]]</f>
        <v>124493773.1900001</v>
      </c>
      <c r="L1043" s="143" t="s">
        <v>772</v>
      </c>
      <c r="M1043" s="174" t="s">
        <v>1505</v>
      </c>
    </row>
    <row r="1044" spans="2:13" x14ac:dyDescent="0.35">
      <c r="B1044" s="173" t="s">
        <v>115</v>
      </c>
      <c r="C1044" s="146">
        <v>46048</v>
      </c>
      <c r="D1044" s="148">
        <v>9609311</v>
      </c>
      <c r="E1044" s="148">
        <v>66</v>
      </c>
      <c r="F1044" s="149">
        <v>-220000</v>
      </c>
      <c r="G1044" s="147" t="s">
        <v>116</v>
      </c>
      <c r="H1044" s="148">
        <v>488</v>
      </c>
      <c r="I1044" s="148" t="s">
        <v>123</v>
      </c>
      <c r="J1044" s="147" t="s">
        <v>124</v>
      </c>
      <c r="K1044" s="149">
        <f>+K1043+Tabla6[[#This Row],[IMPORTE]]</f>
        <v>124273773.1900001</v>
      </c>
      <c r="L1044" s="143" t="s">
        <v>775</v>
      </c>
      <c r="M1044" s="174" t="s">
        <v>1505</v>
      </c>
    </row>
    <row r="1045" spans="2:13" x14ac:dyDescent="0.35">
      <c r="B1045" s="173" t="s">
        <v>115</v>
      </c>
      <c r="C1045" s="146">
        <v>46048</v>
      </c>
      <c r="D1045" s="148">
        <v>9609312</v>
      </c>
      <c r="E1045" s="148">
        <v>66</v>
      </c>
      <c r="F1045" s="149">
        <v>-165600</v>
      </c>
      <c r="G1045" s="147" t="s">
        <v>116</v>
      </c>
      <c r="H1045" s="148">
        <v>488</v>
      </c>
      <c r="I1045" s="148" t="s">
        <v>123</v>
      </c>
      <c r="J1045" s="147" t="s">
        <v>124</v>
      </c>
      <c r="K1045" s="149">
        <f>+K1044+Tabla6[[#This Row],[IMPORTE]]</f>
        <v>124108173.1900001</v>
      </c>
      <c r="L1045" s="143" t="s">
        <v>778</v>
      </c>
      <c r="M1045" s="174" t="s">
        <v>1505</v>
      </c>
    </row>
    <row r="1046" spans="2:13" x14ac:dyDescent="0.35">
      <c r="B1046" s="173" t="s">
        <v>115</v>
      </c>
      <c r="C1046" s="146">
        <v>46048</v>
      </c>
      <c r="D1046" s="148">
        <v>9609121</v>
      </c>
      <c r="E1046" s="148">
        <v>66</v>
      </c>
      <c r="F1046" s="149">
        <v>-143500.04</v>
      </c>
      <c r="G1046" s="147" t="s">
        <v>116</v>
      </c>
      <c r="H1046" s="148">
        <v>488</v>
      </c>
      <c r="I1046" s="148" t="s">
        <v>123</v>
      </c>
      <c r="J1046" s="147" t="s">
        <v>124</v>
      </c>
      <c r="K1046" s="149">
        <f>+K1045+Tabla6[[#This Row],[IMPORTE]]</f>
        <v>123964673.1500001</v>
      </c>
      <c r="L1046" s="143" t="s">
        <v>769</v>
      </c>
      <c r="M1046" s="174" t="s">
        <v>91</v>
      </c>
    </row>
    <row r="1047" spans="2:13" x14ac:dyDescent="0.35">
      <c r="B1047" s="4" t="s">
        <v>115</v>
      </c>
      <c r="C1047" s="120">
        <v>46048</v>
      </c>
      <c r="D1047" s="72">
        <v>9561494</v>
      </c>
      <c r="E1047" s="72">
        <v>66</v>
      </c>
      <c r="F1047" s="113">
        <v>-139436</v>
      </c>
      <c r="G1047" s="5" t="s">
        <v>116</v>
      </c>
      <c r="H1047" s="72">
        <v>488</v>
      </c>
      <c r="I1047" s="72" t="s">
        <v>123</v>
      </c>
      <c r="J1047" s="5" t="s">
        <v>153</v>
      </c>
      <c r="K1047" s="113">
        <f>+K1046+Tabla6[[#This Row],[IMPORTE]]</f>
        <v>123825237.1500001</v>
      </c>
      <c r="L1047" s="5" t="s">
        <v>1707</v>
      </c>
      <c r="M1047" s="119" t="s">
        <v>100</v>
      </c>
    </row>
    <row r="1048" spans="2:13" x14ac:dyDescent="0.35">
      <c r="B1048" s="172" t="s">
        <v>132</v>
      </c>
      <c r="C1048" s="126">
        <v>46048</v>
      </c>
      <c r="D1048" s="127">
        <v>746300044</v>
      </c>
      <c r="E1048" s="127">
        <v>66</v>
      </c>
      <c r="F1048" s="128">
        <v>-138339.29</v>
      </c>
      <c r="G1048" s="129" t="s">
        <v>133</v>
      </c>
      <c r="H1048" s="127">
        <v>562</v>
      </c>
      <c r="I1048" s="127" t="s">
        <v>123</v>
      </c>
      <c r="J1048" s="129" t="s">
        <v>124</v>
      </c>
      <c r="K1048" s="128">
        <f>+K1047+Tabla6[[#This Row],[IMPORTE]]</f>
        <v>123686897.86000009</v>
      </c>
      <c r="L1048" s="129" t="s">
        <v>182</v>
      </c>
      <c r="M1048" s="130" t="s">
        <v>93</v>
      </c>
    </row>
    <row r="1049" spans="2:13" x14ac:dyDescent="0.35">
      <c r="B1049" s="4" t="s">
        <v>115</v>
      </c>
      <c r="C1049" s="120">
        <v>46048</v>
      </c>
      <c r="D1049" s="72">
        <v>9561493</v>
      </c>
      <c r="E1049" s="72">
        <v>66</v>
      </c>
      <c r="F1049" s="113">
        <v>-84309.71</v>
      </c>
      <c r="G1049" s="5" t="s">
        <v>116</v>
      </c>
      <c r="H1049" s="72">
        <v>488</v>
      </c>
      <c r="I1049" s="72" t="s">
        <v>123</v>
      </c>
      <c r="J1049" s="5" t="s">
        <v>1536</v>
      </c>
      <c r="K1049" s="113">
        <f>+K1048+Tabla6[[#This Row],[IMPORTE]]</f>
        <v>123602588.1500001</v>
      </c>
      <c r="L1049" s="5" t="s">
        <v>1707</v>
      </c>
      <c r="M1049" s="119" t="s">
        <v>100</v>
      </c>
    </row>
    <row r="1050" spans="2:13" x14ac:dyDescent="0.35">
      <c r="B1050" s="4" t="s">
        <v>115</v>
      </c>
      <c r="C1050" s="120">
        <v>46048</v>
      </c>
      <c r="D1050" s="72">
        <v>9561495</v>
      </c>
      <c r="E1050" s="72">
        <v>66</v>
      </c>
      <c r="F1050" s="113">
        <v>-60492.14</v>
      </c>
      <c r="G1050" s="5" t="s">
        <v>116</v>
      </c>
      <c r="H1050" s="72">
        <v>488</v>
      </c>
      <c r="I1050" s="72" t="s">
        <v>123</v>
      </c>
      <c r="J1050" s="5" t="s">
        <v>1536</v>
      </c>
      <c r="K1050" s="113">
        <f>+K1049+Tabla6[[#This Row],[IMPORTE]]</f>
        <v>123542096.01000009</v>
      </c>
      <c r="L1050" s="5" t="s">
        <v>1707</v>
      </c>
      <c r="M1050" s="119" t="s">
        <v>100</v>
      </c>
    </row>
    <row r="1051" spans="2:13" x14ac:dyDescent="0.35">
      <c r="B1051" s="173" t="s">
        <v>115</v>
      </c>
      <c r="C1051" s="146">
        <v>46048</v>
      </c>
      <c r="D1051" s="148">
        <v>9620910</v>
      </c>
      <c r="E1051" s="148">
        <v>66</v>
      </c>
      <c r="F1051" s="149">
        <v>-52500</v>
      </c>
      <c r="G1051" s="147" t="s">
        <v>116</v>
      </c>
      <c r="H1051" s="148">
        <v>488</v>
      </c>
      <c r="I1051" s="148" t="s">
        <v>123</v>
      </c>
      <c r="J1051" s="147" t="s">
        <v>124</v>
      </c>
      <c r="K1051" s="149">
        <f>+K1050+Tabla6[[#This Row],[IMPORTE]]</f>
        <v>123489596.01000009</v>
      </c>
      <c r="L1051" s="143" t="s">
        <v>783</v>
      </c>
      <c r="M1051" s="174" t="s">
        <v>1505</v>
      </c>
    </row>
    <row r="1052" spans="2:13" x14ac:dyDescent="0.35">
      <c r="B1052" s="4" t="s">
        <v>115</v>
      </c>
      <c r="C1052" s="120">
        <v>46048</v>
      </c>
      <c r="D1052" s="72">
        <v>9561496</v>
      </c>
      <c r="E1052" s="72">
        <v>66</v>
      </c>
      <c r="F1052" s="113">
        <v>-32466.79</v>
      </c>
      <c r="G1052" s="5" t="s">
        <v>116</v>
      </c>
      <c r="H1052" s="72">
        <v>488</v>
      </c>
      <c r="I1052" s="72" t="s">
        <v>123</v>
      </c>
      <c r="J1052" s="5" t="s">
        <v>1536</v>
      </c>
      <c r="K1052" s="113">
        <f>+K1051+Tabla6[[#This Row],[IMPORTE]]</f>
        <v>123457129.22000009</v>
      </c>
      <c r="L1052" s="5" t="s">
        <v>1707</v>
      </c>
      <c r="M1052" s="119" t="s">
        <v>100</v>
      </c>
    </row>
    <row r="1053" spans="2:13" x14ac:dyDescent="0.35">
      <c r="B1053" s="173" t="s">
        <v>115</v>
      </c>
      <c r="C1053" s="146">
        <v>46048</v>
      </c>
      <c r="D1053" s="148">
        <v>9591939</v>
      </c>
      <c r="E1053" s="148">
        <v>66</v>
      </c>
      <c r="F1053" s="149">
        <v>-11265</v>
      </c>
      <c r="G1053" s="147" t="s">
        <v>116</v>
      </c>
      <c r="H1053" s="148">
        <v>488</v>
      </c>
      <c r="I1053" s="148" t="s">
        <v>123</v>
      </c>
      <c r="J1053" s="147" t="s">
        <v>124</v>
      </c>
      <c r="K1053" s="149">
        <f>+K1052+Tabla6[[#This Row],[IMPORTE]]</f>
        <v>123445864.22000009</v>
      </c>
      <c r="L1053" s="143" t="s">
        <v>763</v>
      </c>
      <c r="M1053" s="174" t="s">
        <v>1505</v>
      </c>
    </row>
    <row r="1054" spans="2:13" x14ac:dyDescent="0.35">
      <c r="B1054" s="4" t="s">
        <v>128</v>
      </c>
      <c r="C1054" s="120">
        <v>46049</v>
      </c>
      <c r="D1054" s="72">
        <v>666301471</v>
      </c>
      <c r="E1054" s="72">
        <v>66</v>
      </c>
      <c r="F1054" s="113">
        <v>177748.56</v>
      </c>
      <c r="G1054" s="5" t="s">
        <v>129</v>
      </c>
      <c r="H1054" s="72">
        <v>93</v>
      </c>
      <c r="I1054" s="72" t="s">
        <v>123</v>
      </c>
      <c r="J1054" s="5" t="s">
        <v>124</v>
      </c>
      <c r="K1054" s="113">
        <f>+K1053+Tabla6[[#This Row],[IMPORTE]]</f>
        <v>123623612.78000009</v>
      </c>
      <c r="L1054" s="5" t="s">
        <v>1495</v>
      </c>
      <c r="M1054" s="119" t="s">
        <v>100</v>
      </c>
    </row>
    <row r="1055" spans="2:13" x14ac:dyDescent="0.35">
      <c r="B1055" s="4" t="s">
        <v>115</v>
      </c>
      <c r="C1055" s="120">
        <v>46049</v>
      </c>
      <c r="D1055" s="72">
        <v>9790018</v>
      </c>
      <c r="E1055" s="72">
        <v>66</v>
      </c>
      <c r="F1055" s="113">
        <v>318038.63</v>
      </c>
      <c r="G1055" s="5" t="s">
        <v>116</v>
      </c>
      <c r="H1055" s="72">
        <v>479</v>
      </c>
      <c r="I1055" s="72">
        <v>30659863789</v>
      </c>
      <c r="J1055" s="5" t="s">
        <v>119</v>
      </c>
      <c r="K1055" s="113">
        <f>+K1054+Tabla6[[#This Row],[IMPORTE]]</f>
        <v>123941651.41000009</v>
      </c>
      <c r="L1055" s="5" t="s">
        <v>1712</v>
      </c>
      <c r="M1055" s="119" t="s">
        <v>100</v>
      </c>
    </row>
    <row r="1056" spans="2:13" x14ac:dyDescent="0.35">
      <c r="B1056" s="4" t="s">
        <v>115</v>
      </c>
      <c r="C1056" s="120">
        <v>46049</v>
      </c>
      <c r="D1056" s="72">
        <v>9754609</v>
      </c>
      <c r="E1056" s="72">
        <v>66</v>
      </c>
      <c r="F1056" s="113">
        <v>553770.28</v>
      </c>
      <c r="G1056" s="5" t="s">
        <v>116</v>
      </c>
      <c r="H1056" s="72">
        <v>480</v>
      </c>
      <c r="I1056" s="72">
        <v>30643990632</v>
      </c>
      <c r="J1056" s="5" t="s">
        <v>118</v>
      </c>
      <c r="K1056" s="113">
        <f>+K1055+Tabla6[[#This Row],[IMPORTE]]</f>
        <v>124495421.69000009</v>
      </c>
      <c r="L1056" s="5" t="s">
        <v>1713</v>
      </c>
      <c r="M1056" s="119" t="s">
        <v>100</v>
      </c>
    </row>
    <row r="1057" spans="2:13" x14ac:dyDescent="0.35">
      <c r="B1057" s="4" t="s">
        <v>121</v>
      </c>
      <c r="C1057" s="120">
        <v>46049</v>
      </c>
      <c r="D1057" s="72">
        <v>2664003209</v>
      </c>
      <c r="E1057" s="72">
        <v>66</v>
      </c>
      <c r="F1057" s="113">
        <v>1544761.92</v>
      </c>
      <c r="G1057" s="5" t="s">
        <v>122</v>
      </c>
      <c r="H1057" s="72">
        <v>694</v>
      </c>
      <c r="I1057" s="72" t="s">
        <v>123</v>
      </c>
      <c r="J1057" s="5" t="s">
        <v>124</v>
      </c>
      <c r="K1057" s="113">
        <f>+K1056+Tabla6[[#This Row],[IMPORTE]]</f>
        <v>126040183.61000009</v>
      </c>
      <c r="L1057" s="5" t="s">
        <v>1496</v>
      </c>
      <c r="M1057" s="119" t="s">
        <v>100</v>
      </c>
    </row>
    <row r="1058" spans="2:13" x14ac:dyDescent="0.35">
      <c r="B1058" s="4" t="s">
        <v>115</v>
      </c>
      <c r="C1058" s="120">
        <v>46049</v>
      </c>
      <c r="D1058" s="72">
        <v>9790017</v>
      </c>
      <c r="E1058" s="72">
        <v>66</v>
      </c>
      <c r="F1058" s="113">
        <v>1595859.47</v>
      </c>
      <c r="G1058" s="5" t="s">
        <v>116</v>
      </c>
      <c r="H1058" s="72">
        <v>479</v>
      </c>
      <c r="I1058" s="72">
        <v>30659863789</v>
      </c>
      <c r="J1058" s="5" t="s">
        <v>119</v>
      </c>
      <c r="K1058" s="113">
        <f>+K1057+Tabla6[[#This Row],[IMPORTE]]</f>
        <v>127636043.08000009</v>
      </c>
      <c r="L1058" s="5" t="s">
        <v>1712</v>
      </c>
      <c r="M1058" s="119" t="s">
        <v>100</v>
      </c>
    </row>
    <row r="1059" spans="2:13" x14ac:dyDescent="0.35">
      <c r="B1059" s="4" t="s">
        <v>115</v>
      </c>
      <c r="C1059" s="120">
        <v>46049</v>
      </c>
      <c r="D1059" s="72">
        <v>9753440</v>
      </c>
      <c r="E1059" s="72">
        <v>66</v>
      </c>
      <c r="F1059" s="113">
        <v>2280231.09</v>
      </c>
      <c r="G1059" s="5" t="s">
        <v>116</v>
      </c>
      <c r="H1059" s="72">
        <v>479</v>
      </c>
      <c r="I1059" s="72">
        <v>30643990632</v>
      </c>
      <c r="J1059" s="5" t="s">
        <v>127</v>
      </c>
      <c r="K1059" s="113">
        <f>+K1058+Tabla6[[#This Row],[IMPORTE]]</f>
        <v>129916274.17000009</v>
      </c>
      <c r="L1059" s="5" t="s">
        <v>1713</v>
      </c>
      <c r="M1059" s="119" t="s">
        <v>100</v>
      </c>
    </row>
    <row r="1060" spans="2:13" x14ac:dyDescent="0.35">
      <c r="B1060" s="4" t="s">
        <v>128</v>
      </c>
      <c r="C1060" s="120">
        <v>46049</v>
      </c>
      <c r="D1060" s="72">
        <v>666307991</v>
      </c>
      <c r="E1060" s="72">
        <v>66</v>
      </c>
      <c r="F1060" s="113">
        <v>2319396.0499999998</v>
      </c>
      <c r="G1060" s="5" t="s">
        <v>129</v>
      </c>
      <c r="H1060" s="72">
        <v>93</v>
      </c>
      <c r="I1060" s="72" t="s">
        <v>123</v>
      </c>
      <c r="J1060" s="5" t="s">
        <v>124</v>
      </c>
      <c r="K1060" s="113">
        <f>+K1059+Tabla6[[#This Row],[IMPORTE]]</f>
        <v>132235670.22000009</v>
      </c>
      <c r="L1060" s="5" t="s">
        <v>1713</v>
      </c>
      <c r="M1060" s="119" t="s">
        <v>100</v>
      </c>
    </row>
    <row r="1061" spans="2:13" x14ac:dyDescent="0.35">
      <c r="B1061" s="4" t="s">
        <v>125</v>
      </c>
      <c r="C1061" s="120">
        <v>46049</v>
      </c>
      <c r="D1061" s="72">
        <v>746000029</v>
      </c>
      <c r="E1061" s="72">
        <v>66</v>
      </c>
      <c r="F1061" s="113">
        <v>5219681.47</v>
      </c>
      <c r="G1061" s="5" t="s">
        <v>126</v>
      </c>
      <c r="H1061" s="72">
        <v>558</v>
      </c>
      <c r="I1061" s="72" t="s">
        <v>123</v>
      </c>
      <c r="J1061" s="5" t="s">
        <v>124</v>
      </c>
      <c r="K1061" s="113">
        <f>+K1060+Tabla6[[#This Row],[IMPORTE]]</f>
        <v>137455351.69000009</v>
      </c>
      <c r="L1061" s="5" t="s">
        <v>1714</v>
      </c>
      <c r="M1061" s="119" t="s">
        <v>100</v>
      </c>
    </row>
    <row r="1062" spans="2:13" x14ac:dyDescent="0.35">
      <c r="B1062" s="4" t="s">
        <v>115</v>
      </c>
      <c r="C1062" s="120">
        <v>46049</v>
      </c>
      <c r="D1062" s="72">
        <v>9790021</v>
      </c>
      <c r="E1062" s="72">
        <v>66</v>
      </c>
      <c r="F1062" s="113">
        <v>15070079.310000001</v>
      </c>
      <c r="G1062" s="5" t="s">
        <v>116</v>
      </c>
      <c r="H1062" s="72">
        <v>479</v>
      </c>
      <c r="I1062" s="72">
        <v>30659863789</v>
      </c>
      <c r="J1062" s="5" t="s">
        <v>119</v>
      </c>
      <c r="K1062" s="113">
        <f>+K1061+Tabla6[[#This Row],[IMPORTE]]</f>
        <v>152525431.00000009</v>
      </c>
      <c r="L1062" s="5" t="s">
        <v>1712</v>
      </c>
      <c r="M1062" s="119" t="s">
        <v>100</v>
      </c>
    </row>
    <row r="1063" spans="2:13" x14ac:dyDescent="0.35">
      <c r="B1063" s="173" t="s">
        <v>115</v>
      </c>
      <c r="C1063" s="146">
        <v>46049</v>
      </c>
      <c r="D1063" s="148">
        <v>9679371</v>
      </c>
      <c r="E1063" s="148">
        <v>66</v>
      </c>
      <c r="F1063" s="149">
        <v>566717000</v>
      </c>
      <c r="G1063" s="147" t="s">
        <v>116</v>
      </c>
      <c r="H1063" s="148">
        <v>480</v>
      </c>
      <c r="I1063" s="148">
        <v>30999259169</v>
      </c>
      <c r="J1063" s="147" t="s">
        <v>148</v>
      </c>
      <c r="K1063" s="149">
        <f>+K1062+Tabla6[[#This Row],[IMPORTE]]</f>
        <v>719242431.00000012</v>
      </c>
      <c r="L1063" s="178" t="s">
        <v>1476</v>
      </c>
      <c r="M1063" s="174" t="s">
        <v>89</v>
      </c>
    </row>
    <row r="1064" spans="2:13" x14ac:dyDescent="0.35">
      <c r="B1064" s="173" t="s">
        <v>115</v>
      </c>
      <c r="C1064" s="146">
        <v>46049</v>
      </c>
      <c r="D1064" s="148">
        <v>9711588</v>
      </c>
      <c r="E1064" s="148">
        <v>66</v>
      </c>
      <c r="F1064" s="149">
        <v>-37495706.740000002</v>
      </c>
      <c r="G1064" s="147" t="s">
        <v>116</v>
      </c>
      <c r="H1064" s="148">
        <v>488</v>
      </c>
      <c r="I1064" s="148" t="s">
        <v>123</v>
      </c>
      <c r="J1064" s="147" t="s">
        <v>124</v>
      </c>
      <c r="K1064" s="149">
        <f>+K1063+Tabla6[[#This Row],[IMPORTE]]</f>
        <v>681746724.26000011</v>
      </c>
      <c r="L1064" s="143" t="s">
        <v>787</v>
      </c>
      <c r="M1064" s="174" t="s">
        <v>1505</v>
      </c>
    </row>
    <row r="1065" spans="2:13" x14ac:dyDescent="0.35">
      <c r="B1065" s="173" t="s">
        <v>115</v>
      </c>
      <c r="C1065" s="146">
        <v>46049</v>
      </c>
      <c r="D1065" s="148">
        <v>9714801</v>
      </c>
      <c r="E1065" s="148">
        <v>66</v>
      </c>
      <c r="F1065" s="149">
        <v>-29992710.73</v>
      </c>
      <c r="G1065" s="147" t="s">
        <v>116</v>
      </c>
      <c r="H1065" s="148">
        <v>488</v>
      </c>
      <c r="I1065" s="148" t="s">
        <v>123</v>
      </c>
      <c r="J1065" s="147" t="s">
        <v>124</v>
      </c>
      <c r="K1065" s="149">
        <f>+K1064+Tabla6[[#This Row],[IMPORTE]]</f>
        <v>651754013.53000009</v>
      </c>
      <c r="L1065" s="143" t="s">
        <v>793</v>
      </c>
      <c r="M1065" s="174" t="s">
        <v>1505</v>
      </c>
    </row>
    <row r="1066" spans="2:13" x14ac:dyDescent="0.35">
      <c r="B1066" s="173" t="s">
        <v>115</v>
      </c>
      <c r="C1066" s="146">
        <v>46049</v>
      </c>
      <c r="D1066" s="148">
        <v>9709082</v>
      </c>
      <c r="E1066" s="148">
        <v>66</v>
      </c>
      <c r="F1066" s="149">
        <v>-9134998.7899999991</v>
      </c>
      <c r="G1066" s="147" t="s">
        <v>116</v>
      </c>
      <c r="H1066" s="148">
        <v>488</v>
      </c>
      <c r="I1066" s="148" t="s">
        <v>123</v>
      </c>
      <c r="J1066" s="147" t="s">
        <v>124</v>
      </c>
      <c r="K1066" s="149">
        <f>+K1065+Tabla6[[#This Row],[IMPORTE]]</f>
        <v>642619014.74000013</v>
      </c>
      <c r="L1066" s="143" t="s">
        <v>800</v>
      </c>
      <c r="M1066" s="174" t="s">
        <v>1505</v>
      </c>
    </row>
    <row r="1067" spans="2:13" x14ac:dyDescent="0.35">
      <c r="B1067" s="173" t="s">
        <v>115</v>
      </c>
      <c r="C1067" s="146">
        <v>46049</v>
      </c>
      <c r="D1067" s="148">
        <v>9714804</v>
      </c>
      <c r="E1067" s="148">
        <v>66</v>
      </c>
      <c r="F1067" s="149">
        <v>-5271334.16</v>
      </c>
      <c r="G1067" s="147" t="s">
        <v>116</v>
      </c>
      <c r="H1067" s="148">
        <v>488</v>
      </c>
      <c r="I1067" s="148" t="s">
        <v>123</v>
      </c>
      <c r="J1067" s="147" t="s">
        <v>124</v>
      </c>
      <c r="K1067" s="149">
        <f>+K1066+Tabla6[[#This Row],[IMPORTE]]</f>
        <v>637347680.58000016</v>
      </c>
      <c r="L1067" s="143" t="s">
        <v>790</v>
      </c>
      <c r="M1067" s="174" t="s">
        <v>1505</v>
      </c>
    </row>
    <row r="1068" spans="2:13" x14ac:dyDescent="0.35">
      <c r="B1068" s="173" t="s">
        <v>115</v>
      </c>
      <c r="C1068" s="146">
        <v>46049</v>
      </c>
      <c r="D1068" s="148">
        <v>9711589</v>
      </c>
      <c r="E1068" s="148">
        <v>66</v>
      </c>
      <c r="F1068" s="149">
        <v>-2639834.0299999998</v>
      </c>
      <c r="G1068" s="147" t="s">
        <v>116</v>
      </c>
      <c r="H1068" s="148">
        <v>488</v>
      </c>
      <c r="I1068" s="148" t="s">
        <v>123</v>
      </c>
      <c r="J1068" s="147" t="s">
        <v>124</v>
      </c>
      <c r="K1068" s="149">
        <f>+K1067+Tabla6[[#This Row],[IMPORTE]]</f>
        <v>634707846.55000019</v>
      </c>
      <c r="L1068" s="143" t="s">
        <v>798</v>
      </c>
      <c r="M1068" s="174" t="s">
        <v>1505</v>
      </c>
    </row>
    <row r="1069" spans="2:13" x14ac:dyDescent="0.35">
      <c r="B1069" s="173" t="s">
        <v>115</v>
      </c>
      <c r="C1069" s="146">
        <v>46049</v>
      </c>
      <c r="D1069" s="148">
        <v>9708355</v>
      </c>
      <c r="E1069" s="148">
        <v>66</v>
      </c>
      <c r="F1069" s="149">
        <v>-2000000</v>
      </c>
      <c r="G1069" s="147" t="s">
        <v>116</v>
      </c>
      <c r="H1069" s="148">
        <v>488</v>
      </c>
      <c r="I1069" s="148" t="s">
        <v>123</v>
      </c>
      <c r="J1069" s="147" t="s">
        <v>1538</v>
      </c>
      <c r="K1069" s="149">
        <f>+K1068+Tabla6[[#This Row],[IMPORTE]]</f>
        <v>632707846.55000019</v>
      </c>
      <c r="L1069" s="143" t="s">
        <v>785</v>
      </c>
      <c r="M1069" s="174" t="s">
        <v>87</v>
      </c>
    </row>
    <row r="1070" spans="2:13" x14ac:dyDescent="0.35">
      <c r="B1070" s="173" t="s">
        <v>115</v>
      </c>
      <c r="C1070" s="146">
        <v>46049</v>
      </c>
      <c r="D1070" s="148">
        <v>9709081</v>
      </c>
      <c r="E1070" s="148">
        <v>66</v>
      </c>
      <c r="F1070" s="149">
        <v>-1913308.03</v>
      </c>
      <c r="G1070" s="147" t="s">
        <v>116</v>
      </c>
      <c r="H1070" s="148">
        <v>488</v>
      </c>
      <c r="I1070" s="148" t="s">
        <v>123</v>
      </c>
      <c r="J1070" s="147" t="s">
        <v>124</v>
      </c>
      <c r="K1070" s="149">
        <f>+K1069+Tabla6[[#This Row],[IMPORTE]]</f>
        <v>630794538.52000022</v>
      </c>
      <c r="L1070" s="143" t="s">
        <v>800</v>
      </c>
      <c r="M1070" s="174" t="s">
        <v>1505</v>
      </c>
    </row>
    <row r="1071" spans="2:13" x14ac:dyDescent="0.35">
      <c r="B1071" s="173" t="s">
        <v>115</v>
      </c>
      <c r="C1071" s="146">
        <v>46049</v>
      </c>
      <c r="D1071" s="148">
        <v>9706750</v>
      </c>
      <c r="E1071" s="148">
        <v>66</v>
      </c>
      <c r="F1071" s="149">
        <v>-938903</v>
      </c>
      <c r="G1071" s="147" t="s">
        <v>116</v>
      </c>
      <c r="H1071" s="148">
        <v>488</v>
      </c>
      <c r="I1071" s="148" t="s">
        <v>123</v>
      </c>
      <c r="J1071" s="147" t="s">
        <v>124</v>
      </c>
      <c r="K1071" s="149">
        <f>+K1070+Tabla6[[#This Row],[IMPORTE]]</f>
        <v>629855635.52000022</v>
      </c>
      <c r="L1071" s="147" t="s">
        <v>799</v>
      </c>
      <c r="M1071" s="174" t="s">
        <v>1505</v>
      </c>
    </row>
    <row r="1072" spans="2:13" x14ac:dyDescent="0.35">
      <c r="B1072" s="173" t="s">
        <v>115</v>
      </c>
      <c r="C1072" s="146">
        <v>46049</v>
      </c>
      <c r="D1072" s="148">
        <v>9714805</v>
      </c>
      <c r="E1072" s="148">
        <v>66</v>
      </c>
      <c r="F1072" s="149">
        <v>-700000</v>
      </c>
      <c r="G1072" s="147" t="s">
        <v>116</v>
      </c>
      <c r="H1072" s="148">
        <v>488</v>
      </c>
      <c r="I1072" s="148" t="s">
        <v>123</v>
      </c>
      <c r="J1072" s="147" t="s">
        <v>124</v>
      </c>
      <c r="K1072" s="149">
        <f>+K1071+Tabla6[[#This Row],[IMPORTE]]</f>
        <v>629155635.52000022</v>
      </c>
      <c r="L1072" s="143" t="s">
        <v>794</v>
      </c>
      <c r="M1072" s="174" t="s">
        <v>1505</v>
      </c>
    </row>
    <row r="1073" spans="2:13" x14ac:dyDescent="0.35">
      <c r="B1073" s="173" t="s">
        <v>115</v>
      </c>
      <c r="C1073" s="146">
        <v>46049</v>
      </c>
      <c r="D1073" s="148">
        <v>9737929</v>
      </c>
      <c r="E1073" s="148">
        <v>66</v>
      </c>
      <c r="F1073" s="149">
        <v>-637059.11</v>
      </c>
      <c r="G1073" s="147" t="s">
        <v>116</v>
      </c>
      <c r="H1073" s="148">
        <v>488</v>
      </c>
      <c r="I1073" s="148" t="s">
        <v>123</v>
      </c>
      <c r="J1073" s="147" t="s">
        <v>1539</v>
      </c>
      <c r="K1073" s="149">
        <f>+K1072+Tabla6[[#This Row],[IMPORTE]]</f>
        <v>628518576.41000021</v>
      </c>
      <c r="L1073" s="143" t="s">
        <v>804</v>
      </c>
      <c r="M1073" s="174" t="s">
        <v>87</v>
      </c>
    </row>
    <row r="1074" spans="2:13" x14ac:dyDescent="0.35">
      <c r="B1074" s="173" t="s">
        <v>115</v>
      </c>
      <c r="C1074" s="146">
        <v>46049</v>
      </c>
      <c r="D1074" s="148">
        <v>9737927</v>
      </c>
      <c r="E1074" s="148">
        <v>66</v>
      </c>
      <c r="F1074" s="149">
        <v>-384682</v>
      </c>
      <c r="G1074" s="147" t="s">
        <v>116</v>
      </c>
      <c r="H1074" s="148">
        <v>487</v>
      </c>
      <c r="I1074" s="148" t="s">
        <v>123</v>
      </c>
      <c r="J1074" s="147" t="s">
        <v>1540</v>
      </c>
      <c r="K1074" s="149">
        <f>+K1073+Tabla6[[#This Row],[IMPORTE]]</f>
        <v>628133894.41000021</v>
      </c>
      <c r="L1074" s="143" t="s">
        <v>807</v>
      </c>
      <c r="M1074" s="174" t="s">
        <v>87</v>
      </c>
    </row>
    <row r="1075" spans="2:13" x14ac:dyDescent="0.35">
      <c r="B1075" s="173" t="s">
        <v>115</v>
      </c>
      <c r="C1075" s="146">
        <v>46049</v>
      </c>
      <c r="D1075" s="148">
        <v>9709083</v>
      </c>
      <c r="E1075" s="148">
        <v>66</v>
      </c>
      <c r="F1075" s="149">
        <v>-336292.16</v>
      </c>
      <c r="G1075" s="147" t="s">
        <v>116</v>
      </c>
      <c r="H1075" s="148">
        <v>488</v>
      </c>
      <c r="I1075" s="148" t="s">
        <v>123</v>
      </c>
      <c r="J1075" s="147" t="s">
        <v>124</v>
      </c>
      <c r="K1075" s="149">
        <f>+K1074+Tabla6[[#This Row],[IMPORTE]]</f>
        <v>627797602.25000024</v>
      </c>
      <c r="L1075" s="143" t="s">
        <v>789</v>
      </c>
      <c r="M1075" s="174" t="s">
        <v>1505</v>
      </c>
    </row>
    <row r="1076" spans="2:13" x14ac:dyDescent="0.35">
      <c r="B1076" s="173" t="s">
        <v>115</v>
      </c>
      <c r="C1076" s="146">
        <v>46049</v>
      </c>
      <c r="D1076" s="148">
        <v>9711593</v>
      </c>
      <c r="E1076" s="148">
        <v>66</v>
      </c>
      <c r="F1076" s="149">
        <v>-300000</v>
      </c>
      <c r="G1076" s="147" t="s">
        <v>116</v>
      </c>
      <c r="H1076" s="148">
        <v>488</v>
      </c>
      <c r="I1076" s="148" t="s">
        <v>123</v>
      </c>
      <c r="J1076" s="147" t="s">
        <v>124</v>
      </c>
      <c r="K1076" s="149">
        <f>+K1075+Tabla6[[#This Row],[IMPORTE]]</f>
        <v>627497602.25000024</v>
      </c>
      <c r="L1076" s="143" t="s">
        <v>792</v>
      </c>
      <c r="M1076" s="174" t="s">
        <v>1505</v>
      </c>
    </row>
    <row r="1077" spans="2:13" x14ac:dyDescent="0.35">
      <c r="B1077" s="173" t="s">
        <v>115</v>
      </c>
      <c r="C1077" s="146">
        <v>46049</v>
      </c>
      <c r="D1077" s="148">
        <v>9711594</v>
      </c>
      <c r="E1077" s="148">
        <v>66</v>
      </c>
      <c r="F1077" s="149">
        <v>-250000</v>
      </c>
      <c r="G1077" s="147" t="s">
        <v>116</v>
      </c>
      <c r="H1077" s="148">
        <v>488</v>
      </c>
      <c r="I1077" s="148" t="s">
        <v>123</v>
      </c>
      <c r="J1077" s="147" t="s">
        <v>124</v>
      </c>
      <c r="K1077" s="149">
        <f>+K1076+Tabla6[[#This Row],[IMPORTE]]</f>
        <v>627247602.25000024</v>
      </c>
      <c r="L1077" s="143" t="s">
        <v>788</v>
      </c>
      <c r="M1077" s="174" t="s">
        <v>1505</v>
      </c>
    </row>
    <row r="1078" spans="2:13" x14ac:dyDescent="0.35">
      <c r="B1078" s="173" t="s">
        <v>115</v>
      </c>
      <c r="C1078" s="146">
        <v>46049</v>
      </c>
      <c r="D1078" s="148">
        <v>9711591</v>
      </c>
      <c r="E1078" s="148">
        <v>66</v>
      </c>
      <c r="F1078" s="149">
        <v>-210000</v>
      </c>
      <c r="G1078" s="147" t="s">
        <v>116</v>
      </c>
      <c r="H1078" s="148">
        <v>487</v>
      </c>
      <c r="I1078" s="148" t="s">
        <v>123</v>
      </c>
      <c r="J1078" s="147" t="s">
        <v>124</v>
      </c>
      <c r="K1078" s="149">
        <f>+K1077+Tabla6[[#This Row],[IMPORTE]]</f>
        <v>627037602.25000024</v>
      </c>
      <c r="L1078" s="143" t="s">
        <v>795</v>
      </c>
      <c r="M1078" s="174" t="s">
        <v>1505</v>
      </c>
    </row>
    <row r="1079" spans="2:13" x14ac:dyDescent="0.35">
      <c r="B1079" s="173" t="s">
        <v>115</v>
      </c>
      <c r="C1079" s="146">
        <v>46049</v>
      </c>
      <c r="D1079" s="148">
        <v>9707636</v>
      </c>
      <c r="E1079" s="148">
        <v>66</v>
      </c>
      <c r="F1079" s="149">
        <v>-172826.84</v>
      </c>
      <c r="G1079" s="147" t="s">
        <v>116</v>
      </c>
      <c r="H1079" s="148">
        <v>488</v>
      </c>
      <c r="I1079" s="148" t="s">
        <v>123</v>
      </c>
      <c r="J1079" s="147" t="s">
        <v>124</v>
      </c>
      <c r="K1079" s="149">
        <f>+K1078+Tabla6[[#This Row],[IMPORTE]]</f>
        <v>626864775.41000021</v>
      </c>
      <c r="L1079" s="143" t="s">
        <v>802</v>
      </c>
      <c r="M1079" s="174" t="s">
        <v>1505</v>
      </c>
    </row>
    <row r="1080" spans="2:13" x14ac:dyDescent="0.35">
      <c r="B1080" s="173" t="s">
        <v>115</v>
      </c>
      <c r="C1080" s="146">
        <v>46049</v>
      </c>
      <c r="D1080" s="148">
        <v>9708354</v>
      </c>
      <c r="E1080" s="148">
        <v>66</v>
      </c>
      <c r="F1080" s="149">
        <v>-165000</v>
      </c>
      <c r="G1080" s="147" t="s">
        <v>116</v>
      </c>
      <c r="H1080" s="148">
        <v>487</v>
      </c>
      <c r="I1080" s="148" t="s">
        <v>123</v>
      </c>
      <c r="J1080" s="147" t="s">
        <v>124</v>
      </c>
      <c r="K1080" s="149">
        <f>+K1079+Tabla6[[#This Row],[IMPORTE]]</f>
        <v>626699775.41000021</v>
      </c>
      <c r="L1080" s="143" t="s">
        <v>801</v>
      </c>
      <c r="M1080" s="174" t="s">
        <v>1505</v>
      </c>
    </row>
    <row r="1081" spans="2:13" x14ac:dyDescent="0.35">
      <c r="B1081" s="173" t="s">
        <v>115</v>
      </c>
      <c r="C1081" s="146">
        <v>46049</v>
      </c>
      <c r="D1081" s="148">
        <v>9714802</v>
      </c>
      <c r="E1081" s="148">
        <v>66</v>
      </c>
      <c r="F1081" s="149">
        <v>-158170.23999999999</v>
      </c>
      <c r="G1081" s="147" t="s">
        <v>116</v>
      </c>
      <c r="H1081" s="148">
        <v>488</v>
      </c>
      <c r="I1081" s="148" t="s">
        <v>123</v>
      </c>
      <c r="J1081" s="147" t="s">
        <v>124</v>
      </c>
      <c r="K1081" s="149">
        <f>+K1080+Tabla6[[#This Row],[IMPORTE]]</f>
        <v>626541605.1700002</v>
      </c>
      <c r="L1081" s="143" t="s">
        <v>796</v>
      </c>
      <c r="M1081" s="174" t="s">
        <v>1505</v>
      </c>
    </row>
    <row r="1082" spans="2:13" x14ac:dyDescent="0.35">
      <c r="B1082" s="173" t="s">
        <v>115</v>
      </c>
      <c r="C1082" s="146">
        <v>46049</v>
      </c>
      <c r="D1082" s="148">
        <v>9711587</v>
      </c>
      <c r="E1082" s="148">
        <v>66</v>
      </c>
      <c r="F1082" s="149">
        <v>-118570.2</v>
      </c>
      <c r="G1082" s="147" t="s">
        <v>116</v>
      </c>
      <c r="H1082" s="148">
        <v>488</v>
      </c>
      <c r="I1082" s="148" t="s">
        <v>123</v>
      </c>
      <c r="J1082" s="147" t="s">
        <v>124</v>
      </c>
      <c r="K1082" s="149">
        <f>+K1081+Tabla6[[#This Row],[IMPORTE]]</f>
        <v>626423034.97000015</v>
      </c>
      <c r="L1082" s="143" t="s">
        <v>797</v>
      </c>
      <c r="M1082" s="174" t="s">
        <v>1505</v>
      </c>
    </row>
    <row r="1083" spans="2:13" x14ac:dyDescent="0.35">
      <c r="B1083" s="172" t="s">
        <v>132</v>
      </c>
      <c r="C1083" s="126">
        <v>46049</v>
      </c>
      <c r="D1083" s="127">
        <v>746300030</v>
      </c>
      <c r="E1083" s="127">
        <v>66</v>
      </c>
      <c r="F1083" s="128">
        <v>-106929.64</v>
      </c>
      <c r="G1083" s="129" t="s">
        <v>133</v>
      </c>
      <c r="H1083" s="127">
        <v>562</v>
      </c>
      <c r="I1083" s="127" t="s">
        <v>123</v>
      </c>
      <c r="J1083" s="129" t="s">
        <v>124</v>
      </c>
      <c r="K1083" s="128">
        <f>+K1082+Tabla6[[#This Row],[IMPORTE]]</f>
        <v>626316105.33000016</v>
      </c>
      <c r="L1083" s="129" t="s">
        <v>182</v>
      </c>
      <c r="M1083" s="130" t="s">
        <v>93</v>
      </c>
    </row>
    <row r="1084" spans="2:13" x14ac:dyDescent="0.35">
      <c r="B1084" s="173" t="s">
        <v>115</v>
      </c>
      <c r="C1084" s="146">
        <v>46049</v>
      </c>
      <c r="D1084" s="148">
        <v>9714803</v>
      </c>
      <c r="E1084" s="148">
        <v>66</v>
      </c>
      <c r="F1084" s="149">
        <v>-67669.8</v>
      </c>
      <c r="G1084" s="147" t="s">
        <v>116</v>
      </c>
      <c r="H1084" s="148">
        <v>488</v>
      </c>
      <c r="I1084" s="148" t="s">
        <v>123</v>
      </c>
      <c r="J1084" s="147" t="s">
        <v>124</v>
      </c>
      <c r="K1084" s="149">
        <f>+K1083+Tabla6[[#This Row],[IMPORTE]]</f>
        <v>626248435.53000021</v>
      </c>
      <c r="L1084" s="143" t="s">
        <v>791</v>
      </c>
      <c r="M1084" s="174" t="s">
        <v>1505</v>
      </c>
    </row>
    <row r="1085" spans="2:13" x14ac:dyDescent="0.35">
      <c r="B1085" s="173" t="s">
        <v>115</v>
      </c>
      <c r="C1085" s="146">
        <v>46049</v>
      </c>
      <c r="D1085" s="148">
        <v>9715435</v>
      </c>
      <c r="E1085" s="148">
        <v>66</v>
      </c>
      <c r="F1085" s="149">
        <v>-45060</v>
      </c>
      <c r="G1085" s="147" t="s">
        <v>116</v>
      </c>
      <c r="H1085" s="148">
        <v>487</v>
      </c>
      <c r="I1085" s="148" t="s">
        <v>123</v>
      </c>
      <c r="J1085" s="147" t="s">
        <v>124</v>
      </c>
      <c r="K1085" s="149">
        <f>+K1084+Tabla6[[#This Row],[IMPORTE]]</f>
        <v>626203375.53000021</v>
      </c>
      <c r="L1085" s="143" t="s">
        <v>803</v>
      </c>
      <c r="M1085" s="174" t="s">
        <v>1505</v>
      </c>
    </row>
    <row r="1086" spans="2:13" x14ac:dyDescent="0.35">
      <c r="B1086" s="173" t="s">
        <v>115</v>
      </c>
      <c r="C1086" s="146">
        <v>46049</v>
      </c>
      <c r="D1086" s="148">
        <v>9715438</v>
      </c>
      <c r="E1086" s="148">
        <v>66</v>
      </c>
      <c r="F1086" s="149">
        <v>-45060</v>
      </c>
      <c r="G1086" s="147" t="s">
        <v>116</v>
      </c>
      <c r="H1086" s="148">
        <v>488</v>
      </c>
      <c r="I1086" s="148" t="s">
        <v>123</v>
      </c>
      <c r="J1086" s="147" t="s">
        <v>124</v>
      </c>
      <c r="K1086" s="149">
        <f>+K1085+Tabla6[[#This Row],[IMPORTE]]</f>
        <v>626158315.53000021</v>
      </c>
      <c r="L1086" s="143" t="s">
        <v>764</v>
      </c>
      <c r="M1086" s="174" t="s">
        <v>1505</v>
      </c>
    </row>
    <row r="1087" spans="2:13" x14ac:dyDescent="0.35">
      <c r="B1087" s="4" t="s">
        <v>128</v>
      </c>
      <c r="C1087" s="120">
        <v>46050</v>
      </c>
      <c r="D1087" s="72">
        <v>666308379</v>
      </c>
      <c r="E1087" s="72">
        <v>66</v>
      </c>
      <c r="F1087" s="113">
        <v>38622.480000000003</v>
      </c>
      <c r="G1087" s="5" t="s">
        <v>129</v>
      </c>
      <c r="H1087" s="72">
        <v>93</v>
      </c>
      <c r="I1087" s="72" t="s">
        <v>123</v>
      </c>
      <c r="J1087" s="5" t="s">
        <v>124</v>
      </c>
      <c r="K1087" s="113">
        <f>+K1086+Tabla6[[#This Row],[IMPORTE]]</f>
        <v>626196938.01000023</v>
      </c>
      <c r="L1087" s="5" t="s">
        <v>1497</v>
      </c>
      <c r="M1087" s="119" t="s">
        <v>100</v>
      </c>
    </row>
    <row r="1088" spans="2:13" x14ac:dyDescent="0.35">
      <c r="B1088" s="4" t="s">
        <v>115</v>
      </c>
      <c r="C1088" s="120">
        <v>46050</v>
      </c>
      <c r="D1088" s="72">
        <v>9942579</v>
      </c>
      <c r="E1088" s="72">
        <v>66</v>
      </c>
      <c r="F1088" s="113">
        <v>686903.93</v>
      </c>
      <c r="G1088" s="5" t="s">
        <v>116</v>
      </c>
      <c r="H1088" s="72">
        <v>479</v>
      </c>
      <c r="I1088" s="72">
        <v>30659863789</v>
      </c>
      <c r="J1088" s="5" t="s">
        <v>119</v>
      </c>
      <c r="K1088" s="113">
        <f>+K1087+Tabla6[[#This Row],[IMPORTE]]</f>
        <v>626883841.94000018</v>
      </c>
      <c r="L1088" s="5" t="s">
        <v>1715</v>
      </c>
      <c r="M1088" s="119" t="s">
        <v>100</v>
      </c>
    </row>
    <row r="1089" spans="2:13" x14ac:dyDescent="0.35">
      <c r="B1089" s="4" t="s">
        <v>115</v>
      </c>
      <c r="C1089" s="120">
        <v>46050</v>
      </c>
      <c r="D1089" s="72">
        <v>9942578</v>
      </c>
      <c r="E1089" s="72">
        <v>66</v>
      </c>
      <c r="F1089" s="113">
        <v>880858.99</v>
      </c>
      <c r="G1089" s="5" t="s">
        <v>116</v>
      </c>
      <c r="H1089" s="72">
        <v>479</v>
      </c>
      <c r="I1089" s="72">
        <v>30659863789</v>
      </c>
      <c r="J1089" s="5" t="s">
        <v>119</v>
      </c>
      <c r="K1089" s="113">
        <f>+K1088+Tabla6[[#This Row],[IMPORTE]]</f>
        <v>627764700.93000019</v>
      </c>
      <c r="L1089" s="5" t="s">
        <v>1715</v>
      </c>
      <c r="M1089" s="119" t="s">
        <v>100</v>
      </c>
    </row>
    <row r="1090" spans="2:13" x14ac:dyDescent="0.35">
      <c r="B1090" s="4" t="s">
        <v>115</v>
      </c>
      <c r="C1090" s="120">
        <v>46050</v>
      </c>
      <c r="D1090" s="72">
        <v>9873767</v>
      </c>
      <c r="E1090" s="72">
        <v>66</v>
      </c>
      <c r="F1090" s="113">
        <v>1502956.32</v>
      </c>
      <c r="G1090" s="5" t="s">
        <v>116</v>
      </c>
      <c r="H1090" s="72">
        <v>480</v>
      </c>
      <c r="I1090" s="72">
        <v>30539353620</v>
      </c>
      <c r="J1090" s="5" t="s">
        <v>172</v>
      </c>
      <c r="K1090" s="113">
        <f>+K1089+Tabla6[[#This Row],[IMPORTE]]</f>
        <v>629267657.25000024</v>
      </c>
      <c r="L1090" s="5" t="s">
        <v>1637</v>
      </c>
      <c r="M1090" s="119" t="s">
        <v>100</v>
      </c>
    </row>
    <row r="1091" spans="2:13" x14ac:dyDescent="0.35">
      <c r="B1091" s="4" t="s">
        <v>115</v>
      </c>
      <c r="C1091" s="120">
        <v>46050</v>
      </c>
      <c r="D1091" s="72">
        <v>9947748</v>
      </c>
      <c r="E1091" s="72">
        <v>66</v>
      </c>
      <c r="F1091" s="113">
        <v>1510014.48</v>
      </c>
      <c r="G1091" s="5" t="s">
        <v>116</v>
      </c>
      <c r="H1091" s="72">
        <v>480</v>
      </c>
      <c r="I1091" s="72">
        <v>30643990632</v>
      </c>
      <c r="J1091" s="5" t="s">
        <v>118</v>
      </c>
      <c r="K1091" s="113">
        <f>+K1090+Tabla6[[#This Row],[IMPORTE]]</f>
        <v>630777671.73000026</v>
      </c>
      <c r="L1091" s="5" t="s">
        <v>1716</v>
      </c>
      <c r="M1091" s="119" t="s">
        <v>100</v>
      </c>
    </row>
    <row r="1092" spans="2:13" x14ac:dyDescent="0.35">
      <c r="B1092" s="4" t="s">
        <v>121</v>
      </c>
      <c r="C1092" s="120">
        <v>46050</v>
      </c>
      <c r="D1092" s="72">
        <v>2664002863</v>
      </c>
      <c r="E1092" s="72">
        <v>66</v>
      </c>
      <c r="F1092" s="113">
        <v>1570291.21</v>
      </c>
      <c r="G1092" s="5" t="s">
        <v>122</v>
      </c>
      <c r="H1092" s="72">
        <v>694</v>
      </c>
      <c r="I1092" s="72" t="s">
        <v>123</v>
      </c>
      <c r="J1092" s="5" t="s">
        <v>124</v>
      </c>
      <c r="K1092" s="113">
        <f>+K1091+Tabla6[[#This Row],[IMPORTE]]</f>
        <v>632347962.9400003</v>
      </c>
      <c r="L1092" s="5" t="s">
        <v>1498</v>
      </c>
      <c r="M1092" s="119" t="s">
        <v>100</v>
      </c>
    </row>
    <row r="1093" spans="2:13" x14ac:dyDescent="0.35">
      <c r="B1093" s="4" t="s">
        <v>128</v>
      </c>
      <c r="C1093" s="120">
        <v>46050</v>
      </c>
      <c r="D1093" s="72">
        <v>666301278</v>
      </c>
      <c r="E1093" s="72">
        <v>66</v>
      </c>
      <c r="F1093" s="113">
        <v>2325929.86</v>
      </c>
      <c r="G1093" s="5" t="s">
        <v>129</v>
      </c>
      <c r="H1093" s="72">
        <v>93</v>
      </c>
      <c r="I1093" s="72" t="s">
        <v>123</v>
      </c>
      <c r="J1093" s="5" t="s">
        <v>124</v>
      </c>
      <c r="K1093" s="113">
        <f>+K1092+Tabla6[[#This Row],[IMPORTE]]</f>
        <v>634673892.80000031</v>
      </c>
      <c r="L1093" s="5" t="s">
        <v>1716</v>
      </c>
      <c r="M1093" s="119" t="s">
        <v>100</v>
      </c>
    </row>
    <row r="1094" spans="2:13" x14ac:dyDescent="0.35">
      <c r="B1094" s="4" t="s">
        <v>125</v>
      </c>
      <c r="C1094" s="120">
        <v>46050</v>
      </c>
      <c r="D1094" s="72">
        <v>746000035</v>
      </c>
      <c r="E1094" s="72">
        <v>66</v>
      </c>
      <c r="F1094" s="113">
        <v>2800153.9</v>
      </c>
      <c r="G1094" s="5" t="s">
        <v>126</v>
      </c>
      <c r="H1094" s="72">
        <v>558</v>
      </c>
      <c r="I1094" s="72" t="s">
        <v>123</v>
      </c>
      <c r="J1094" s="5" t="s">
        <v>124</v>
      </c>
      <c r="K1094" s="113">
        <f>+K1093+Tabla6[[#This Row],[IMPORTE]]</f>
        <v>637474046.70000029</v>
      </c>
      <c r="L1094" s="5" t="s">
        <v>1679</v>
      </c>
      <c r="M1094" s="119" t="s">
        <v>100</v>
      </c>
    </row>
    <row r="1095" spans="2:13" x14ac:dyDescent="0.35">
      <c r="B1095" s="4" t="s">
        <v>115</v>
      </c>
      <c r="C1095" s="120">
        <v>46050</v>
      </c>
      <c r="D1095" s="72">
        <v>9928044</v>
      </c>
      <c r="E1095" s="72">
        <v>66</v>
      </c>
      <c r="F1095" s="113">
        <v>4060847.23</v>
      </c>
      <c r="G1095" s="5" t="s">
        <v>116</v>
      </c>
      <c r="H1095" s="72">
        <v>479</v>
      </c>
      <c r="I1095" s="72">
        <v>30643990632</v>
      </c>
      <c r="J1095" s="5" t="s">
        <v>127</v>
      </c>
      <c r="K1095" s="113">
        <f>+K1094+Tabla6[[#This Row],[IMPORTE]]</f>
        <v>641534893.93000031</v>
      </c>
      <c r="L1095" s="5" t="s">
        <v>1716</v>
      </c>
      <c r="M1095" s="119" t="s">
        <v>100</v>
      </c>
    </row>
    <row r="1096" spans="2:13" x14ac:dyDescent="0.35">
      <c r="B1096" s="4" t="s">
        <v>115</v>
      </c>
      <c r="C1096" s="120">
        <v>46050</v>
      </c>
      <c r="D1096" s="72">
        <v>9942580</v>
      </c>
      <c r="E1096" s="72">
        <v>66</v>
      </c>
      <c r="F1096" s="113">
        <v>16802112.530000001</v>
      </c>
      <c r="G1096" s="5" t="s">
        <v>116</v>
      </c>
      <c r="H1096" s="72">
        <v>479</v>
      </c>
      <c r="I1096" s="72">
        <v>30659863789</v>
      </c>
      <c r="J1096" s="5" t="s">
        <v>119</v>
      </c>
      <c r="K1096" s="113">
        <f>+K1095+Tabla6[[#This Row],[IMPORTE]]</f>
        <v>658337006.46000028</v>
      </c>
      <c r="L1096" s="5" t="s">
        <v>1715</v>
      </c>
      <c r="M1096" s="119" t="s">
        <v>100</v>
      </c>
    </row>
    <row r="1097" spans="2:13" x14ac:dyDescent="0.35">
      <c r="B1097" s="4" t="s">
        <v>115</v>
      </c>
      <c r="C1097" s="120">
        <v>46050</v>
      </c>
      <c r="D1097" s="72">
        <v>9859446</v>
      </c>
      <c r="E1097" s="72">
        <v>66</v>
      </c>
      <c r="F1097" s="113">
        <v>566717000</v>
      </c>
      <c r="G1097" s="5" t="s">
        <v>116</v>
      </c>
      <c r="H1097" s="72">
        <v>480</v>
      </c>
      <c r="I1097" s="72">
        <v>30999259169</v>
      </c>
      <c r="J1097" s="5" t="s">
        <v>148</v>
      </c>
      <c r="K1097" s="113">
        <f>+K1096+Tabla6[[#This Row],[IMPORTE]]</f>
        <v>1225054006.4600003</v>
      </c>
      <c r="L1097" s="5" t="s">
        <v>1732</v>
      </c>
      <c r="M1097" s="119" t="s">
        <v>100</v>
      </c>
    </row>
    <row r="1098" spans="2:13" x14ac:dyDescent="0.35">
      <c r="B1098" s="4" t="s">
        <v>130</v>
      </c>
      <c r="C1098" s="120">
        <v>46050</v>
      </c>
      <c r="D1098" s="72">
        <v>4001990191</v>
      </c>
      <c r="E1098" s="72">
        <v>66</v>
      </c>
      <c r="F1098" s="113">
        <v>-200000000</v>
      </c>
      <c r="G1098" s="5" t="s">
        <v>131</v>
      </c>
      <c r="H1098" s="72">
        <v>530</v>
      </c>
      <c r="I1098" s="72" t="s">
        <v>123</v>
      </c>
      <c r="J1098" s="5" t="s">
        <v>1466</v>
      </c>
      <c r="K1098" s="113">
        <f>+K1097+Tabla6[[#This Row],[IMPORTE]]</f>
        <v>1025054006.4600003</v>
      </c>
      <c r="L1098" s="5" t="s">
        <v>1738</v>
      </c>
      <c r="M1098" s="119" t="s">
        <v>100</v>
      </c>
    </row>
    <row r="1099" spans="2:13" x14ac:dyDescent="0.35">
      <c r="B1099" s="173" t="s">
        <v>115</v>
      </c>
      <c r="C1099" s="146">
        <v>46050</v>
      </c>
      <c r="D1099" s="148">
        <v>9865099</v>
      </c>
      <c r="E1099" s="148">
        <v>66</v>
      </c>
      <c r="F1099" s="149">
        <v>-16215080</v>
      </c>
      <c r="G1099" s="147" t="s">
        <v>116</v>
      </c>
      <c r="H1099" s="148">
        <v>488</v>
      </c>
      <c r="I1099" s="148" t="s">
        <v>123</v>
      </c>
      <c r="J1099" s="147" t="s">
        <v>124</v>
      </c>
      <c r="K1099" s="149">
        <f>+K1098+Tabla6[[#This Row],[IMPORTE]]</f>
        <v>1008838926.4600003</v>
      </c>
      <c r="L1099" s="143" t="s">
        <v>810</v>
      </c>
      <c r="M1099" s="174" t="s">
        <v>1505</v>
      </c>
    </row>
    <row r="1100" spans="2:13" x14ac:dyDescent="0.35">
      <c r="B1100" s="173" t="s">
        <v>115</v>
      </c>
      <c r="C1100" s="146">
        <v>46050</v>
      </c>
      <c r="D1100" s="148">
        <v>9865097</v>
      </c>
      <c r="E1100" s="148">
        <v>66</v>
      </c>
      <c r="F1100" s="149">
        <v>-12838172.640000001</v>
      </c>
      <c r="G1100" s="147" t="s">
        <v>116</v>
      </c>
      <c r="H1100" s="148">
        <v>487</v>
      </c>
      <c r="I1100" s="148" t="s">
        <v>123</v>
      </c>
      <c r="J1100" s="147" t="s">
        <v>124</v>
      </c>
      <c r="K1100" s="149">
        <f>+K1099+Tabla6[[#This Row],[IMPORTE]]</f>
        <v>996000753.82000029</v>
      </c>
      <c r="L1100" s="143" t="s">
        <v>819</v>
      </c>
      <c r="M1100" s="174" t="s">
        <v>1505</v>
      </c>
    </row>
    <row r="1101" spans="2:13" x14ac:dyDescent="0.35">
      <c r="B1101" s="173" t="s">
        <v>115</v>
      </c>
      <c r="C1101" s="146">
        <v>46050</v>
      </c>
      <c r="D1101" s="148">
        <v>9865100</v>
      </c>
      <c r="E1101" s="148">
        <v>66</v>
      </c>
      <c r="F1101" s="149">
        <v>-10012500</v>
      </c>
      <c r="G1101" s="147" t="s">
        <v>116</v>
      </c>
      <c r="H1101" s="148">
        <v>487</v>
      </c>
      <c r="I1101" s="148" t="s">
        <v>123</v>
      </c>
      <c r="J1101" s="147" t="s">
        <v>124</v>
      </c>
      <c r="K1101" s="149">
        <f>+K1100+Tabla6[[#This Row],[IMPORTE]]</f>
        <v>985988253.82000029</v>
      </c>
      <c r="L1101" s="143" t="s">
        <v>818</v>
      </c>
      <c r="M1101" s="174" t="s">
        <v>1505</v>
      </c>
    </row>
    <row r="1102" spans="2:13" x14ac:dyDescent="0.35">
      <c r="B1102" s="173" t="s">
        <v>115</v>
      </c>
      <c r="C1102" s="146">
        <v>46050</v>
      </c>
      <c r="D1102" s="148">
        <v>9865094</v>
      </c>
      <c r="E1102" s="148">
        <v>66</v>
      </c>
      <c r="F1102" s="149">
        <v>-9011968</v>
      </c>
      <c r="G1102" s="147" t="s">
        <v>116</v>
      </c>
      <c r="H1102" s="148">
        <v>488</v>
      </c>
      <c r="I1102" s="148" t="s">
        <v>123</v>
      </c>
      <c r="J1102" s="147" t="s">
        <v>124</v>
      </c>
      <c r="K1102" s="149">
        <f>+K1101+Tabla6[[#This Row],[IMPORTE]]</f>
        <v>976976285.82000029</v>
      </c>
      <c r="L1102" s="143" t="s">
        <v>815</v>
      </c>
      <c r="M1102" s="174" t="s">
        <v>1505</v>
      </c>
    </row>
    <row r="1103" spans="2:13" x14ac:dyDescent="0.35">
      <c r="B1103" s="173" t="s">
        <v>115</v>
      </c>
      <c r="C1103" s="146">
        <v>46050</v>
      </c>
      <c r="D1103" s="148">
        <v>9897120</v>
      </c>
      <c r="E1103" s="148">
        <v>66</v>
      </c>
      <c r="F1103" s="149">
        <v>-7010428.6699999999</v>
      </c>
      <c r="G1103" s="147" t="s">
        <v>116</v>
      </c>
      <c r="H1103" s="148">
        <v>488</v>
      </c>
      <c r="I1103" s="148" t="s">
        <v>123</v>
      </c>
      <c r="J1103" s="147" t="s">
        <v>124</v>
      </c>
      <c r="K1103" s="149">
        <f>+K1102+Tabla6[[#This Row],[IMPORTE]]</f>
        <v>969965857.15000033</v>
      </c>
      <c r="L1103" s="143" t="s">
        <v>825</v>
      </c>
      <c r="M1103" s="174" t="s">
        <v>1505</v>
      </c>
    </row>
    <row r="1104" spans="2:13" x14ac:dyDescent="0.35">
      <c r="B1104" s="173" t="s">
        <v>115</v>
      </c>
      <c r="C1104" s="146">
        <v>46050</v>
      </c>
      <c r="D1104" s="148">
        <v>9865093</v>
      </c>
      <c r="E1104" s="148">
        <v>66</v>
      </c>
      <c r="F1104" s="149">
        <v>-5351364.7</v>
      </c>
      <c r="G1104" s="147" t="s">
        <v>116</v>
      </c>
      <c r="H1104" s="148">
        <v>487</v>
      </c>
      <c r="I1104" s="148" t="s">
        <v>123</v>
      </c>
      <c r="J1104" s="147" t="s">
        <v>124</v>
      </c>
      <c r="K1104" s="149">
        <f>+K1103+Tabla6[[#This Row],[IMPORTE]]</f>
        <v>964614492.45000029</v>
      </c>
      <c r="L1104" s="143" t="s">
        <v>812</v>
      </c>
      <c r="M1104" s="174" t="s">
        <v>1505</v>
      </c>
    </row>
    <row r="1105" spans="2:13" x14ac:dyDescent="0.35">
      <c r="B1105" s="173" t="s">
        <v>115</v>
      </c>
      <c r="C1105" s="146">
        <v>46050</v>
      </c>
      <c r="D1105" s="148">
        <v>9865096</v>
      </c>
      <c r="E1105" s="148">
        <v>66</v>
      </c>
      <c r="F1105" s="149">
        <v>-3528000</v>
      </c>
      <c r="G1105" s="147" t="s">
        <v>116</v>
      </c>
      <c r="H1105" s="148">
        <v>488</v>
      </c>
      <c r="I1105" s="148" t="s">
        <v>123</v>
      </c>
      <c r="J1105" s="147" t="s">
        <v>124</v>
      </c>
      <c r="K1105" s="149">
        <f>+K1104+Tabla6[[#This Row],[IMPORTE]]</f>
        <v>961086492.45000029</v>
      </c>
      <c r="L1105" s="143" t="s">
        <v>820</v>
      </c>
      <c r="M1105" s="174" t="s">
        <v>1505</v>
      </c>
    </row>
    <row r="1106" spans="2:13" x14ac:dyDescent="0.35">
      <c r="B1106" s="173" t="s">
        <v>115</v>
      </c>
      <c r="C1106" s="146">
        <v>46050</v>
      </c>
      <c r="D1106" s="148">
        <v>9865102</v>
      </c>
      <c r="E1106" s="148">
        <v>66</v>
      </c>
      <c r="F1106" s="149">
        <v>-3250000</v>
      </c>
      <c r="G1106" s="147" t="s">
        <v>116</v>
      </c>
      <c r="H1106" s="148">
        <v>488</v>
      </c>
      <c r="I1106" s="148" t="s">
        <v>123</v>
      </c>
      <c r="J1106" s="147" t="s">
        <v>124</v>
      </c>
      <c r="K1106" s="149">
        <f>+K1105+Tabla6[[#This Row],[IMPORTE]]</f>
        <v>957836492.45000029</v>
      </c>
      <c r="L1106" s="143" t="s">
        <v>816</v>
      </c>
      <c r="M1106" s="174" t="s">
        <v>1505</v>
      </c>
    </row>
    <row r="1107" spans="2:13" x14ac:dyDescent="0.35">
      <c r="B1107" s="173" t="s">
        <v>115</v>
      </c>
      <c r="C1107" s="146">
        <v>46050</v>
      </c>
      <c r="D1107" s="148">
        <v>9861712</v>
      </c>
      <c r="E1107" s="148">
        <v>66</v>
      </c>
      <c r="F1107" s="149">
        <v>-2400000</v>
      </c>
      <c r="G1107" s="147" t="s">
        <v>116</v>
      </c>
      <c r="H1107" s="148">
        <v>487</v>
      </c>
      <c r="I1107" s="148" t="s">
        <v>123</v>
      </c>
      <c r="J1107" s="147" t="s">
        <v>124</v>
      </c>
      <c r="K1107" s="149">
        <f>+K1106+Tabla6[[#This Row],[IMPORTE]]</f>
        <v>955436492.45000029</v>
      </c>
      <c r="L1107" s="143" t="s">
        <v>822</v>
      </c>
      <c r="M1107" s="174" t="s">
        <v>1505</v>
      </c>
    </row>
    <row r="1108" spans="2:13" x14ac:dyDescent="0.35">
      <c r="B1108" s="173" t="s">
        <v>115</v>
      </c>
      <c r="C1108" s="146">
        <v>46050</v>
      </c>
      <c r="D1108" s="148">
        <v>9865092</v>
      </c>
      <c r="E1108" s="148">
        <v>66</v>
      </c>
      <c r="F1108" s="149">
        <v>-2250000</v>
      </c>
      <c r="G1108" s="147" t="s">
        <v>116</v>
      </c>
      <c r="H1108" s="148">
        <v>488</v>
      </c>
      <c r="I1108" s="148" t="s">
        <v>123</v>
      </c>
      <c r="J1108" s="147" t="s">
        <v>124</v>
      </c>
      <c r="K1108" s="149">
        <f>+K1107+Tabla6[[#This Row],[IMPORTE]]</f>
        <v>953186492.45000029</v>
      </c>
      <c r="L1108" s="143" t="s">
        <v>817</v>
      </c>
      <c r="M1108" s="174" t="s">
        <v>1505</v>
      </c>
    </row>
    <row r="1109" spans="2:13" x14ac:dyDescent="0.35">
      <c r="B1109" s="173" t="s">
        <v>115</v>
      </c>
      <c r="C1109" s="146">
        <v>46050</v>
      </c>
      <c r="D1109" s="148">
        <v>9865101</v>
      </c>
      <c r="E1109" s="148">
        <v>66</v>
      </c>
      <c r="F1109" s="149">
        <v>-2185000</v>
      </c>
      <c r="G1109" s="147" t="s">
        <v>116</v>
      </c>
      <c r="H1109" s="148">
        <v>488</v>
      </c>
      <c r="I1109" s="148" t="s">
        <v>123</v>
      </c>
      <c r="J1109" s="147" t="s">
        <v>124</v>
      </c>
      <c r="K1109" s="149">
        <f>+K1108+Tabla6[[#This Row],[IMPORTE]]</f>
        <v>951001492.45000029</v>
      </c>
      <c r="L1109" s="143" t="s">
        <v>813</v>
      </c>
      <c r="M1109" s="174" t="s">
        <v>1505</v>
      </c>
    </row>
    <row r="1110" spans="2:13" x14ac:dyDescent="0.35">
      <c r="B1110" s="173" t="s">
        <v>115</v>
      </c>
      <c r="C1110" s="146">
        <v>46050</v>
      </c>
      <c r="D1110" s="148">
        <v>9861709</v>
      </c>
      <c r="E1110" s="148">
        <v>66</v>
      </c>
      <c r="F1110" s="149">
        <v>-2000000</v>
      </c>
      <c r="G1110" s="147" t="s">
        <v>116</v>
      </c>
      <c r="H1110" s="148">
        <v>488</v>
      </c>
      <c r="I1110" s="148" t="s">
        <v>123</v>
      </c>
      <c r="J1110" s="147" t="s">
        <v>1545</v>
      </c>
      <c r="K1110" s="149">
        <f>+K1109+Tabla6[[#This Row],[IMPORTE]]</f>
        <v>949001492.45000029</v>
      </c>
      <c r="L1110" s="143" t="s">
        <v>806</v>
      </c>
      <c r="M1110" s="174" t="s">
        <v>87</v>
      </c>
    </row>
    <row r="1111" spans="2:13" x14ac:dyDescent="0.35">
      <c r="B1111" s="173" t="s">
        <v>115</v>
      </c>
      <c r="C1111" s="146">
        <v>46050</v>
      </c>
      <c r="D1111" s="148">
        <v>9860084</v>
      </c>
      <c r="E1111" s="148">
        <v>66</v>
      </c>
      <c r="F1111" s="149">
        <v>-2000000</v>
      </c>
      <c r="G1111" s="147" t="s">
        <v>116</v>
      </c>
      <c r="H1111" s="148">
        <v>488</v>
      </c>
      <c r="I1111" s="148" t="s">
        <v>123</v>
      </c>
      <c r="J1111" s="147" t="s">
        <v>1543</v>
      </c>
      <c r="K1111" s="149">
        <f>+K1110+Tabla6[[#This Row],[IMPORTE]]</f>
        <v>947001492.45000029</v>
      </c>
      <c r="L1111" s="143" t="s">
        <v>824</v>
      </c>
      <c r="M1111" s="174" t="s">
        <v>87</v>
      </c>
    </row>
    <row r="1112" spans="2:13" x14ac:dyDescent="0.35">
      <c r="B1112" s="173" t="s">
        <v>173</v>
      </c>
      <c r="C1112" s="146">
        <v>46050</v>
      </c>
      <c r="D1112" s="148">
        <v>3</v>
      </c>
      <c r="E1112" s="148">
        <v>100</v>
      </c>
      <c r="F1112" s="149">
        <v>-2000000</v>
      </c>
      <c r="G1112" s="147" t="s">
        <v>174</v>
      </c>
      <c r="H1112" s="148">
        <v>421</v>
      </c>
      <c r="I1112" s="148" t="s">
        <v>123</v>
      </c>
      <c r="J1112" s="147" t="s">
        <v>1547</v>
      </c>
      <c r="K1112" s="149">
        <f>+K1111+Tabla6[[#This Row],[IMPORTE]]</f>
        <v>945001492.45000029</v>
      </c>
      <c r="L1112" s="143" t="s">
        <v>808</v>
      </c>
      <c r="M1112" s="174" t="s">
        <v>87</v>
      </c>
    </row>
    <row r="1113" spans="2:13" x14ac:dyDescent="0.35">
      <c r="B1113" s="173" t="s">
        <v>115</v>
      </c>
      <c r="C1113" s="146">
        <v>46050</v>
      </c>
      <c r="D1113" s="148">
        <v>9865098</v>
      </c>
      <c r="E1113" s="148">
        <v>66</v>
      </c>
      <c r="F1113" s="149">
        <v>-930600</v>
      </c>
      <c r="G1113" s="147" t="s">
        <v>116</v>
      </c>
      <c r="H1113" s="148">
        <v>487</v>
      </c>
      <c r="I1113" s="148" t="s">
        <v>123</v>
      </c>
      <c r="J1113" s="147" t="s">
        <v>124</v>
      </c>
      <c r="K1113" s="149">
        <f>+K1112+Tabla6[[#This Row],[IMPORTE]]</f>
        <v>944070892.45000029</v>
      </c>
      <c r="L1113" s="143" t="s">
        <v>814</v>
      </c>
      <c r="M1113" s="174" t="s">
        <v>1505</v>
      </c>
    </row>
    <row r="1114" spans="2:13" x14ac:dyDescent="0.35">
      <c r="B1114" s="173" t="s">
        <v>115</v>
      </c>
      <c r="C1114" s="146">
        <v>46050</v>
      </c>
      <c r="D1114" s="148">
        <v>9860082</v>
      </c>
      <c r="E1114" s="148">
        <v>66</v>
      </c>
      <c r="F1114" s="149">
        <v>-818981.4</v>
      </c>
      <c r="G1114" s="147" t="s">
        <v>116</v>
      </c>
      <c r="H1114" s="148">
        <v>487</v>
      </c>
      <c r="I1114" s="148" t="s">
        <v>123</v>
      </c>
      <c r="J1114" s="147" t="s">
        <v>1544</v>
      </c>
      <c r="K1114" s="149">
        <f>+K1113+Tabla6[[#This Row],[IMPORTE]]</f>
        <v>943251911.05000031</v>
      </c>
      <c r="L1114" s="143" t="s">
        <v>784</v>
      </c>
      <c r="M1114" s="174" t="s">
        <v>87</v>
      </c>
    </row>
    <row r="1115" spans="2:13" x14ac:dyDescent="0.35">
      <c r="B1115" s="173" t="s">
        <v>115</v>
      </c>
      <c r="C1115" s="146">
        <v>46050</v>
      </c>
      <c r="D1115" s="148">
        <v>9860085</v>
      </c>
      <c r="E1115" s="148">
        <v>66</v>
      </c>
      <c r="F1115" s="149">
        <v>-804320.03</v>
      </c>
      <c r="G1115" s="147" t="s">
        <v>116</v>
      </c>
      <c r="H1115" s="148">
        <v>488</v>
      </c>
      <c r="I1115" s="148" t="s">
        <v>123</v>
      </c>
      <c r="J1115" s="147" t="s">
        <v>1541</v>
      </c>
      <c r="K1115" s="149">
        <f>+K1114+Tabla6[[#This Row],[IMPORTE]]</f>
        <v>942447591.02000034</v>
      </c>
      <c r="L1115" s="143" t="s">
        <v>786</v>
      </c>
      <c r="M1115" s="174" t="s">
        <v>87</v>
      </c>
    </row>
    <row r="1116" spans="2:13" x14ac:dyDescent="0.35">
      <c r="B1116" s="173" t="s">
        <v>115</v>
      </c>
      <c r="C1116" s="146">
        <v>46050</v>
      </c>
      <c r="D1116" s="148">
        <v>9860083</v>
      </c>
      <c r="E1116" s="148">
        <v>66</v>
      </c>
      <c r="F1116" s="149">
        <v>-714191.03</v>
      </c>
      <c r="G1116" s="147" t="s">
        <v>116</v>
      </c>
      <c r="H1116" s="148">
        <v>488</v>
      </c>
      <c r="I1116" s="148" t="s">
        <v>123</v>
      </c>
      <c r="J1116" s="147" t="s">
        <v>1542</v>
      </c>
      <c r="K1116" s="149">
        <f>+K1115+Tabla6[[#This Row],[IMPORTE]]</f>
        <v>941733399.99000037</v>
      </c>
      <c r="L1116" s="143" t="s">
        <v>823</v>
      </c>
      <c r="M1116" s="174" t="s">
        <v>87</v>
      </c>
    </row>
    <row r="1117" spans="2:13" x14ac:dyDescent="0.35">
      <c r="B1117" s="173" t="s">
        <v>115</v>
      </c>
      <c r="C1117" s="146">
        <v>46050</v>
      </c>
      <c r="D1117" s="148">
        <v>9959587</v>
      </c>
      <c r="E1117" s="148">
        <v>66</v>
      </c>
      <c r="F1117" s="149">
        <v>-250000</v>
      </c>
      <c r="G1117" s="147" t="s">
        <v>116</v>
      </c>
      <c r="H1117" s="148">
        <v>487</v>
      </c>
      <c r="I1117" s="148" t="s">
        <v>123</v>
      </c>
      <c r="J1117" s="147" t="s">
        <v>1537</v>
      </c>
      <c r="K1117" s="149">
        <f>+K1116+Tabla6[[#This Row],[IMPORTE]]</f>
        <v>941483399.99000037</v>
      </c>
      <c r="L1117" s="143" t="s">
        <v>649</v>
      </c>
      <c r="M1117" s="174" t="s">
        <v>1505</v>
      </c>
    </row>
    <row r="1118" spans="2:13" x14ac:dyDescent="0.35">
      <c r="B1118" s="173" t="s">
        <v>115</v>
      </c>
      <c r="C1118" s="146">
        <v>46050</v>
      </c>
      <c r="D1118" s="148">
        <v>9959585</v>
      </c>
      <c r="E1118" s="148">
        <v>66</v>
      </c>
      <c r="F1118" s="149">
        <v>-250000</v>
      </c>
      <c r="G1118" s="147" t="s">
        <v>116</v>
      </c>
      <c r="H1118" s="148">
        <v>488</v>
      </c>
      <c r="I1118" s="148" t="s">
        <v>123</v>
      </c>
      <c r="J1118" s="147" t="s">
        <v>1537</v>
      </c>
      <c r="K1118" s="149">
        <f>+K1117+Tabla6[[#This Row],[IMPORTE]]</f>
        <v>941233399.99000037</v>
      </c>
      <c r="L1118" s="143" t="s">
        <v>649</v>
      </c>
      <c r="M1118" s="174" t="s">
        <v>1505</v>
      </c>
    </row>
    <row r="1119" spans="2:13" x14ac:dyDescent="0.35">
      <c r="B1119" s="173" t="s">
        <v>115</v>
      </c>
      <c r="C1119" s="146">
        <v>46050</v>
      </c>
      <c r="D1119" s="148">
        <v>9959589</v>
      </c>
      <c r="E1119" s="148">
        <v>66</v>
      </c>
      <c r="F1119" s="149">
        <v>-250000</v>
      </c>
      <c r="G1119" s="147" t="s">
        <v>116</v>
      </c>
      <c r="H1119" s="148">
        <v>488</v>
      </c>
      <c r="I1119" s="148" t="s">
        <v>123</v>
      </c>
      <c r="J1119" s="147" t="s">
        <v>1537</v>
      </c>
      <c r="K1119" s="149">
        <f>+K1118+Tabla6[[#This Row],[IMPORTE]]</f>
        <v>940983399.99000037</v>
      </c>
      <c r="L1119" s="143" t="s">
        <v>649</v>
      </c>
      <c r="M1119" s="174" t="s">
        <v>1505</v>
      </c>
    </row>
    <row r="1120" spans="2:13" x14ac:dyDescent="0.35">
      <c r="B1120" s="173" t="s">
        <v>115</v>
      </c>
      <c r="C1120" s="146">
        <v>46050</v>
      </c>
      <c r="D1120" s="148">
        <v>9959591</v>
      </c>
      <c r="E1120" s="148">
        <v>66</v>
      </c>
      <c r="F1120" s="149">
        <v>-250000</v>
      </c>
      <c r="G1120" s="147" t="s">
        <v>116</v>
      </c>
      <c r="H1120" s="148">
        <v>488</v>
      </c>
      <c r="I1120" s="148" t="s">
        <v>123</v>
      </c>
      <c r="J1120" s="147" t="s">
        <v>1537</v>
      </c>
      <c r="K1120" s="149">
        <f>+K1119+Tabla6[[#This Row],[IMPORTE]]</f>
        <v>940733399.99000037</v>
      </c>
      <c r="L1120" s="143" t="s">
        <v>649</v>
      </c>
      <c r="M1120" s="174" t="s">
        <v>1505</v>
      </c>
    </row>
    <row r="1121" spans="2:13" x14ac:dyDescent="0.35">
      <c r="B1121" s="173" t="s">
        <v>115</v>
      </c>
      <c r="C1121" s="146">
        <v>46050</v>
      </c>
      <c r="D1121" s="148">
        <v>9959593</v>
      </c>
      <c r="E1121" s="148">
        <v>66</v>
      </c>
      <c r="F1121" s="149">
        <v>-125000</v>
      </c>
      <c r="G1121" s="147" t="s">
        <v>116</v>
      </c>
      <c r="H1121" s="148">
        <v>488</v>
      </c>
      <c r="I1121" s="148" t="s">
        <v>123</v>
      </c>
      <c r="J1121" s="147" t="s">
        <v>1537</v>
      </c>
      <c r="K1121" s="149">
        <f>+K1120+Tabla6[[#This Row],[IMPORTE]]</f>
        <v>940608399.99000037</v>
      </c>
      <c r="L1121" s="143" t="s">
        <v>649</v>
      </c>
      <c r="M1121" s="174" t="s">
        <v>1505</v>
      </c>
    </row>
    <row r="1122" spans="2:13" x14ac:dyDescent="0.35">
      <c r="B1122" s="4" t="s">
        <v>115</v>
      </c>
      <c r="C1122" s="120">
        <v>46050</v>
      </c>
      <c r="D1122" s="72">
        <v>9897395</v>
      </c>
      <c r="E1122" s="72">
        <v>66</v>
      </c>
      <c r="F1122" s="113">
        <v>-81732.5</v>
      </c>
      <c r="G1122" s="5" t="s">
        <v>116</v>
      </c>
      <c r="H1122" s="72">
        <v>488</v>
      </c>
      <c r="I1122" s="72" t="s">
        <v>123</v>
      </c>
      <c r="J1122" s="5" t="s">
        <v>153</v>
      </c>
      <c r="K1122" s="113">
        <f>+K1121+Tabla6[[#This Row],[IMPORTE]]</f>
        <v>940526667.49000037</v>
      </c>
      <c r="L1122" s="5" t="s">
        <v>1707</v>
      </c>
      <c r="M1122" s="119" t="s">
        <v>100</v>
      </c>
    </row>
    <row r="1123" spans="2:13" x14ac:dyDescent="0.35">
      <c r="B1123" s="4" t="s">
        <v>115</v>
      </c>
      <c r="C1123" s="120">
        <v>46050</v>
      </c>
      <c r="D1123" s="72">
        <v>9897396</v>
      </c>
      <c r="E1123" s="72">
        <v>66</v>
      </c>
      <c r="F1123" s="113">
        <v>-81732.5</v>
      </c>
      <c r="G1123" s="5" t="s">
        <v>116</v>
      </c>
      <c r="H1123" s="72">
        <v>488</v>
      </c>
      <c r="I1123" s="72" t="s">
        <v>123</v>
      </c>
      <c r="J1123" s="5" t="s">
        <v>153</v>
      </c>
      <c r="K1123" s="113">
        <f>+K1122+Tabla6[[#This Row],[IMPORTE]]</f>
        <v>940444934.99000037</v>
      </c>
      <c r="L1123" s="5" t="s">
        <v>1707</v>
      </c>
      <c r="M1123" s="119" t="s">
        <v>100</v>
      </c>
    </row>
    <row r="1124" spans="2:13" x14ac:dyDescent="0.35">
      <c r="B1124" s="172" t="s">
        <v>132</v>
      </c>
      <c r="C1124" s="126">
        <v>46050</v>
      </c>
      <c r="D1124" s="127">
        <v>746300034</v>
      </c>
      <c r="E1124" s="127">
        <v>66</v>
      </c>
      <c r="F1124" s="128">
        <v>-57743.87</v>
      </c>
      <c r="G1124" s="129" t="s">
        <v>133</v>
      </c>
      <c r="H1124" s="127">
        <v>562</v>
      </c>
      <c r="I1124" s="127" t="s">
        <v>123</v>
      </c>
      <c r="J1124" s="129" t="s">
        <v>124</v>
      </c>
      <c r="K1124" s="128">
        <f>+K1123+Tabla6[[#This Row],[IMPORTE]]</f>
        <v>940387191.12000036</v>
      </c>
      <c r="L1124" s="129" t="s">
        <v>182</v>
      </c>
      <c r="M1124" s="130" t="s">
        <v>93</v>
      </c>
    </row>
    <row r="1125" spans="2:13" x14ac:dyDescent="0.35">
      <c r="B1125" s="4" t="s">
        <v>115</v>
      </c>
      <c r="C1125" s="120">
        <v>46050</v>
      </c>
      <c r="D1125" s="72">
        <v>9880221</v>
      </c>
      <c r="E1125" s="72">
        <v>66</v>
      </c>
      <c r="F1125" s="113">
        <v>-57336.53</v>
      </c>
      <c r="G1125" s="5" t="s">
        <v>116</v>
      </c>
      <c r="H1125" s="72">
        <v>488</v>
      </c>
      <c r="I1125" s="72" t="s">
        <v>123</v>
      </c>
      <c r="J1125" s="5" t="s">
        <v>1536</v>
      </c>
      <c r="K1125" s="113">
        <f>+K1124+Tabla6[[#This Row],[IMPORTE]]</f>
        <v>940329854.59000039</v>
      </c>
      <c r="L1125" s="5" t="s">
        <v>1707</v>
      </c>
      <c r="M1125" s="119" t="s">
        <v>100</v>
      </c>
    </row>
    <row r="1126" spans="2:13" x14ac:dyDescent="0.35">
      <c r="B1126" s="173" t="s">
        <v>115</v>
      </c>
      <c r="C1126" s="146">
        <v>46050</v>
      </c>
      <c r="D1126" s="148">
        <v>9861710</v>
      </c>
      <c r="E1126" s="148">
        <v>66</v>
      </c>
      <c r="F1126" s="149">
        <v>-48152.87</v>
      </c>
      <c r="G1126" s="147" t="s">
        <v>116</v>
      </c>
      <c r="H1126" s="148">
        <v>488</v>
      </c>
      <c r="I1126" s="148" t="s">
        <v>123</v>
      </c>
      <c r="J1126" s="147" t="s">
        <v>1546</v>
      </c>
      <c r="K1126" s="149">
        <f>+K1125+Tabla6[[#This Row],[IMPORTE]]</f>
        <v>940281701.72000039</v>
      </c>
      <c r="L1126" s="143" t="s">
        <v>821</v>
      </c>
      <c r="M1126" s="174" t="s">
        <v>87</v>
      </c>
    </row>
    <row r="1127" spans="2:13" x14ac:dyDescent="0.35">
      <c r="B1127" s="4" t="s">
        <v>115</v>
      </c>
      <c r="C1127" s="120">
        <v>46050</v>
      </c>
      <c r="D1127" s="72">
        <v>9880216</v>
      </c>
      <c r="E1127" s="72">
        <v>66</v>
      </c>
      <c r="F1127" s="113">
        <v>-47095.27</v>
      </c>
      <c r="G1127" s="5" t="s">
        <v>116</v>
      </c>
      <c r="H1127" s="72">
        <v>488</v>
      </c>
      <c r="I1127" s="72" t="s">
        <v>123</v>
      </c>
      <c r="J1127" s="5" t="s">
        <v>1536</v>
      </c>
      <c r="K1127" s="113">
        <f>+K1126+Tabla6[[#This Row],[IMPORTE]]</f>
        <v>940234606.45000041</v>
      </c>
      <c r="L1127" s="5" t="s">
        <v>1707</v>
      </c>
      <c r="M1127" s="119" t="s">
        <v>100</v>
      </c>
    </row>
    <row r="1128" spans="2:13" x14ac:dyDescent="0.35">
      <c r="B1128" s="4" t="s">
        <v>115</v>
      </c>
      <c r="C1128" s="120">
        <v>46050</v>
      </c>
      <c r="D1128" s="72">
        <v>9880214</v>
      </c>
      <c r="E1128" s="72">
        <v>66</v>
      </c>
      <c r="F1128" s="113">
        <v>-46003.96</v>
      </c>
      <c r="G1128" s="5" t="s">
        <v>116</v>
      </c>
      <c r="H1128" s="72">
        <v>488</v>
      </c>
      <c r="I1128" s="72" t="s">
        <v>123</v>
      </c>
      <c r="J1128" s="5" t="s">
        <v>1536</v>
      </c>
      <c r="K1128" s="113">
        <f>+K1127+Tabla6[[#This Row],[IMPORTE]]</f>
        <v>940188602.49000037</v>
      </c>
      <c r="L1128" s="5" t="s">
        <v>1707</v>
      </c>
      <c r="M1128" s="119" t="s">
        <v>100</v>
      </c>
    </row>
    <row r="1129" spans="2:13" x14ac:dyDescent="0.35">
      <c r="B1129" s="4" t="s">
        <v>115</v>
      </c>
      <c r="C1129" s="120">
        <v>46050</v>
      </c>
      <c r="D1129" s="72">
        <v>9880217</v>
      </c>
      <c r="E1129" s="72">
        <v>66</v>
      </c>
      <c r="F1129" s="113">
        <v>-45368.24</v>
      </c>
      <c r="G1129" s="5" t="s">
        <v>116</v>
      </c>
      <c r="H1129" s="72">
        <v>488</v>
      </c>
      <c r="I1129" s="72" t="s">
        <v>123</v>
      </c>
      <c r="J1129" s="5" t="s">
        <v>1536</v>
      </c>
      <c r="K1129" s="113">
        <f>+K1128+Tabla6[[#This Row],[IMPORTE]]</f>
        <v>940143234.25000036</v>
      </c>
      <c r="L1129" s="5" t="s">
        <v>1707</v>
      </c>
      <c r="M1129" s="119" t="s">
        <v>100</v>
      </c>
    </row>
    <row r="1130" spans="2:13" x14ac:dyDescent="0.35">
      <c r="B1130" s="4" t="s">
        <v>115</v>
      </c>
      <c r="C1130" s="120">
        <v>46050</v>
      </c>
      <c r="D1130" s="72">
        <v>9880219</v>
      </c>
      <c r="E1130" s="72">
        <v>66</v>
      </c>
      <c r="F1130" s="113">
        <v>-42632.95</v>
      </c>
      <c r="G1130" s="5" t="s">
        <v>116</v>
      </c>
      <c r="H1130" s="72">
        <v>488</v>
      </c>
      <c r="I1130" s="72" t="s">
        <v>123</v>
      </c>
      <c r="J1130" s="5" t="s">
        <v>1536</v>
      </c>
      <c r="K1130" s="113">
        <f>+K1129+Tabla6[[#This Row],[IMPORTE]]</f>
        <v>940100601.30000031</v>
      </c>
      <c r="L1130" s="5" t="s">
        <v>1707</v>
      </c>
      <c r="M1130" s="119" t="s">
        <v>100</v>
      </c>
    </row>
    <row r="1131" spans="2:13" x14ac:dyDescent="0.35">
      <c r="B1131" s="173" t="s">
        <v>115</v>
      </c>
      <c r="C1131" s="146">
        <v>46050</v>
      </c>
      <c r="D1131" s="148">
        <v>9865095</v>
      </c>
      <c r="E1131" s="148">
        <v>66</v>
      </c>
      <c r="F1131" s="149">
        <v>-41503</v>
      </c>
      <c r="G1131" s="147" t="s">
        <v>116</v>
      </c>
      <c r="H1131" s="148">
        <v>488</v>
      </c>
      <c r="I1131" s="148" t="s">
        <v>123</v>
      </c>
      <c r="J1131" s="147" t="s">
        <v>124</v>
      </c>
      <c r="K1131" s="149">
        <f>+K1130+Tabla6[[#This Row],[IMPORTE]]</f>
        <v>940059098.30000031</v>
      </c>
      <c r="L1131" s="143" t="s">
        <v>811</v>
      </c>
      <c r="M1131" s="174" t="s">
        <v>1505</v>
      </c>
    </row>
    <row r="1132" spans="2:13" x14ac:dyDescent="0.35">
      <c r="B1132" s="4" t="s">
        <v>115</v>
      </c>
      <c r="C1132" s="120">
        <v>46050</v>
      </c>
      <c r="D1132" s="72">
        <v>9880220</v>
      </c>
      <c r="E1132" s="72">
        <v>66</v>
      </c>
      <c r="F1132" s="113">
        <v>-34304.980000000003</v>
      </c>
      <c r="G1132" s="5" t="s">
        <v>116</v>
      </c>
      <c r="H1132" s="72">
        <v>488</v>
      </c>
      <c r="I1132" s="72" t="s">
        <v>123</v>
      </c>
      <c r="J1132" s="189" t="s">
        <v>1536</v>
      </c>
      <c r="K1132" s="113">
        <f>+K1131+Tabla6[[#This Row],[IMPORTE]]</f>
        <v>940024793.32000029</v>
      </c>
      <c r="L1132" s="189" t="s">
        <v>1707</v>
      </c>
      <c r="M1132" s="119" t="s">
        <v>100</v>
      </c>
    </row>
    <row r="1133" spans="2:13" x14ac:dyDescent="0.35">
      <c r="B1133" s="4" t="s">
        <v>115</v>
      </c>
      <c r="C1133" s="120">
        <v>46050</v>
      </c>
      <c r="D1133" s="72">
        <v>9880211</v>
      </c>
      <c r="E1133" s="72">
        <v>66</v>
      </c>
      <c r="F1133" s="113">
        <v>-31752.98</v>
      </c>
      <c r="G1133" s="5" t="s">
        <v>116</v>
      </c>
      <c r="H1133" s="72">
        <v>488</v>
      </c>
      <c r="I1133" s="72" t="s">
        <v>123</v>
      </c>
      <c r="J1133" s="189" t="s">
        <v>1536</v>
      </c>
      <c r="K1133" s="113">
        <f>+K1132+Tabla6[[#This Row],[IMPORTE]]</f>
        <v>939993040.34000027</v>
      </c>
      <c r="L1133" s="189" t="s">
        <v>1707</v>
      </c>
      <c r="M1133" s="119" t="s">
        <v>100</v>
      </c>
    </row>
    <row r="1134" spans="2:13" x14ac:dyDescent="0.35">
      <c r="B1134" s="4" t="s">
        <v>115</v>
      </c>
      <c r="C1134" s="120">
        <v>46050</v>
      </c>
      <c r="D1134" s="72">
        <v>9880215</v>
      </c>
      <c r="E1134" s="72">
        <v>66</v>
      </c>
      <c r="F1134" s="113">
        <v>-31597.13</v>
      </c>
      <c r="G1134" s="5" t="s">
        <v>116</v>
      </c>
      <c r="H1134" s="72">
        <v>488</v>
      </c>
      <c r="I1134" s="72" t="s">
        <v>123</v>
      </c>
      <c r="J1134" s="189" t="s">
        <v>1536</v>
      </c>
      <c r="K1134" s="113">
        <f>+K1133+Tabla6[[#This Row],[IMPORTE]]</f>
        <v>939961443.21000028</v>
      </c>
      <c r="L1134" s="189" t="s">
        <v>1707</v>
      </c>
      <c r="M1134" s="119" t="s">
        <v>100</v>
      </c>
    </row>
    <row r="1135" spans="2:13" x14ac:dyDescent="0.35">
      <c r="B1135" s="4" t="s">
        <v>115</v>
      </c>
      <c r="C1135" s="120">
        <v>46050</v>
      </c>
      <c r="D1135" s="72">
        <v>9880218</v>
      </c>
      <c r="E1135" s="72">
        <v>66</v>
      </c>
      <c r="F1135" s="113">
        <v>-30648.79</v>
      </c>
      <c r="G1135" s="5" t="s">
        <v>116</v>
      </c>
      <c r="H1135" s="72">
        <v>488</v>
      </c>
      <c r="I1135" s="72" t="s">
        <v>123</v>
      </c>
      <c r="J1135" s="189" t="s">
        <v>1536</v>
      </c>
      <c r="K1135" s="113">
        <f>+K1134+Tabla6[[#This Row],[IMPORTE]]</f>
        <v>939930794.42000031</v>
      </c>
      <c r="L1135" s="189" t="s">
        <v>1707</v>
      </c>
      <c r="M1135" s="119" t="s">
        <v>100</v>
      </c>
    </row>
    <row r="1136" spans="2:13" x14ac:dyDescent="0.35">
      <c r="B1136" s="4" t="s">
        <v>134</v>
      </c>
      <c r="C1136" s="120">
        <v>46051</v>
      </c>
      <c r="D1136" s="72">
        <v>500110003</v>
      </c>
      <c r="E1136" s="72">
        <v>66</v>
      </c>
      <c r="F1136" s="113">
        <v>809.52</v>
      </c>
      <c r="G1136" s="5" t="s">
        <v>135</v>
      </c>
      <c r="H1136" s="72">
        <v>2</v>
      </c>
      <c r="I1136" s="72" t="s">
        <v>123</v>
      </c>
      <c r="J1136" s="5" t="s">
        <v>124</v>
      </c>
      <c r="K1136" s="113">
        <f>+K1135+Tabla6[[#This Row],[IMPORTE]]</f>
        <v>939931603.9400003</v>
      </c>
      <c r="L1136" s="5" t="s">
        <v>1743</v>
      </c>
      <c r="M1136" s="119" t="s">
        <v>100</v>
      </c>
    </row>
    <row r="1137" spans="2:13" x14ac:dyDescent="0.35">
      <c r="B1137" s="4" t="s">
        <v>134</v>
      </c>
      <c r="C1137" s="120">
        <v>46051</v>
      </c>
      <c r="D1137" s="72">
        <v>500110005</v>
      </c>
      <c r="E1137" s="72">
        <v>66</v>
      </c>
      <c r="F1137" s="113">
        <v>1241.5</v>
      </c>
      <c r="G1137" s="5" t="s">
        <v>135</v>
      </c>
      <c r="H1137" s="72">
        <v>2</v>
      </c>
      <c r="I1137" s="72" t="s">
        <v>123</v>
      </c>
      <c r="J1137" s="5" t="s">
        <v>124</v>
      </c>
      <c r="K1137" s="113">
        <f>+K1136+Tabla6[[#This Row],[IMPORTE]]</f>
        <v>939932845.4400003</v>
      </c>
      <c r="L1137" s="5" t="s">
        <v>1743</v>
      </c>
      <c r="M1137" s="119" t="s">
        <v>100</v>
      </c>
    </row>
    <row r="1138" spans="2:13" x14ac:dyDescent="0.35">
      <c r="B1138" s="4" t="s">
        <v>134</v>
      </c>
      <c r="C1138" s="120">
        <v>46051</v>
      </c>
      <c r="D1138" s="72">
        <v>500110004</v>
      </c>
      <c r="E1138" s="72">
        <v>66</v>
      </c>
      <c r="F1138" s="113">
        <v>1311.71</v>
      </c>
      <c r="G1138" s="5" t="s">
        <v>135</v>
      </c>
      <c r="H1138" s="72">
        <v>2</v>
      </c>
      <c r="I1138" s="72" t="s">
        <v>123</v>
      </c>
      <c r="J1138" s="5" t="s">
        <v>124</v>
      </c>
      <c r="K1138" s="113">
        <f>+K1137+Tabla6[[#This Row],[IMPORTE]]</f>
        <v>939934157.15000033</v>
      </c>
      <c r="L1138" s="5" t="s">
        <v>1743</v>
      </c>
      <c r="M1138" s="119" t="s">
        <v>100</v>
      </c>
    </row>
    <row r="1139" spans="2:13" x14ac:dyDescent="0.35">
      <c r="B1139" s="4" t="s">
        <v>134</v>
      </c>
      <c r="C1139" s="120">
        <v>46051</v>
      </c>
      <c r="D1139" s="72">
        <v>500110006</v>
      </c>
      <c r="E1139" s="72">
        <v>66</v>
      </c>
      <c r="F1139" s="113">
        <v>1859.51</v>
      </c>
      <c r="G1139" s="5" t="s">
        <v>135</v>
      </c>
      <c r="H1139" s="72">
        <v>2</v>
      </c>
      <c r="I1139" s="72" t="s">
        <v>123</v>
      </c>
      <c r="J1139" s="5" t="s">
        <v>124</v>
      </c>
      <c r="K1139" s="113">
        <f>+K1138+Tabla6[[#This Row],[IMPORTE]]</f>
        <v>939936016.66000032</v>
      </c>
      <c r="L1139" s="5" t="s">
        <v>1743</v>
      </c>
      <c r="M1139" s="119" t="s">
        <v>100</v>
      </c>
    </row>
    <row r="1140" spans="2:13" x14ac:dyDescent="0.35">
      <c r="B1140" s="4" t="s">
        <v>134</v>
      </c>
      <c r="C1140" s="120">
        <v>46051</v>
      </c>
      <c r="D1140" s="72">
        <v>500110008</v>
      </c>
      <c r="E1140" s="72">
        <v>66</v>
      </c>
      <c r="F1140" s="113">
        <v>2226.96</v>
      </c>
      <c r="G1140" s="5" t="s">
        <v>135</v>
      </c>
      <c r="H1140" s="72">
        <v>2</v>
      </c>
      <c r="I1140" s="72" t="s">
        <v>123</v>
      </c>
      <c r="J1140" s="5" t="s">
        <v>124</v>
      </c>
      <c r="K1140" s="113">
        <f>+K1139+Tabla6[[#This Row],[IMPORTE]]</f>
        <v>939938243.62000036</v>
      </c>
      <c r="L1140" s="5" t="s">
        <v>1743</v>
      </c>
      <c r="M1140" s="119" t="s">
        <v>100</v>
      </c>
    </row>
    <row r="1141" spans="2:13" x14ac:dyDescent="0.35">
      <c r="B1141" s="4" t="s">
        <v>134</v>
      </c>
      <c r="C1141" s="120">
        <v>46051</v>
      </c>
      <c r="D1141" s="72">
        <v>500110007</v>
      </c>
      <c r="E1141" s="72">
        <v>66</v>
      </c>
      <c r="F1141" s="113">
        <v>2515.11</v>
      </c>
      <c r="G1141" s="5" t="s">
        <v>135</v>
      </c>
      <c r="H1141" s="72">
        <v>2</v>
      </c>
      <c r="I1141" s="72" t="s">
        <v>123</v>
      </c>
      <c r="J1141" s="5" t="s">
        <v>124</v>
      </c>
      <c r="K1141" s="113">
        <f>+K1140+Tabla6[[#This Row],[IMPORTE]]</f>
        <v>939940758.73000038</v>
      </c>
      <c r="L1141" s="5" t="s">
        <v>1743</v>
      </c>
      <c r="M1141" s="119" t="s">
        <v>100</v>
      </c>
    </row>
    <row r="1142" spans="2:13" x14ac:dyDescent="0.35">
      <c r="B1142" s="4" t="s">
        <v>134</v>
      </c>
      <c r="C1142" s="120">
        <v>46051</v>
      </c>
      <c r="D1142" s="72">
        <v>500110002</v>
      </c>
      <c r="E1142" s="72">
        <v>66</v>
      </c>
      <c r="F1142" s="113">
        <v>3099.17</v>
      </c>
      <c r="G1142" s="5" t="s">
        <v>135</v>
      </c>
      <c r="H1142" s="72">
        <v>2</v>
      </c>
      <c r="I1142" s="72" t="s">
        <v>123</v>
      </c>
      <c r="J1142" s="5" t="s">
        <v>124</v>
      </c>
      <c r="K1142" s="113">
        <f>+K1141+Tabla6[[#This Row],[IMPORTE]]</f>
        <v>939943857.90000033</v>
      </c>
      <c r="L1142" s="5" t="s">
        <v>1743</v>
      </c>
      <c r="M1142" s="119" t="s">
        <v>100</v>
      </c>
    </row>
    <row r="1143" spans="2:13" x14ac:dyDescent="0.35">
      <c r="B1143" s="4" t="s">
        <v>134</v>
      </c>
      <c r="C1143" s="120">
        <v>46051</v>
      </c>
      <c r="D1143" s="72">
        <v>500110001</v>
      </c>
      <c r="E1143" s="72">
        <v>66</v>
      </c>
      <c r="F1143" s="113">
        <v>3202.48</v>
      </c>
      <c r="G1143" s="5" t="s">
        <v>135</v>
      </c>
      <c r="H1143" s="72">
        <v>2</v>
      </c>
      <c r="I1143" s="72" t="s">
        <v>123</v>
      </c>
      <c r="J1143" s="5" t="s">
        <v>124</v>
      </c>
      <c r="K1143" s="113">
        <f>+K1142+Tabla6[[#This Row],[IMPORTE]]</f>
        <v>939947060.38000035</v>
      </c>
      <c r="L1143" s="5" t="s">
        <v>1743</v>
      </c>
      <c r="M1143" s="119" t="s">
        <v>100</v>
      </c>
    </row>
    <row r="1144" spans="2:13" x14ac:dyDescent="0.35">
      <c r="B1144" s="4" t="s">
        <v>128</v>
      </c>
      <c r="C1144" s="120">
        <v>46051</v>
      </c>
      <c r="D1144" s="72">
        <v>666305348</v>
      </c>
      <c r="E1144" s="72">
        <v>66</v>
      </c>
      <c r="F1144" s="113">
        <v>298335.65999999997</v>
      </c>
      <c r="G1144" s="5" t="s">
        <v>129</v>
      </c>
      <c r="H1144" s="72">
        <v>93</v>
      </c>
      <c r="I1144" s="72" t="s">
        <v>123</v>
      </c>
      <c r="J1144" s="5" t="s">
        <v>124</v>
      </c>
      <c r="K1144" s="113">
        <f>+K1143+Tabla6[[#This Row],[IMPORTE]]</f>
        <v>940245396.04000032</v>
      </c>
      <c r="L1144" s="5" t="s">
        <v>1500</v>
      </c>
      <c r="M1144" s="119" t="s">
        <v>100</v>
      </c>
    </row>
    <row r="1145" spans="2:13" x14ac:dyDescent="0.35">
      <c r="B1145" s="4" t="s">
        <v>115</v>
      </c>
      <c r="C1145" s="120">
        <v>46051</v>
      </c>
      <c r="D1145" s="72">
        <v>5107080</v>
      </c>
      <c r="E1145" s="72">
        <v>66</v>
      </c>
      <c r="F1145" s="113">
        <v>499038.45</v>
      </c>
      <c r="G1145" s="5" t="s">
        <v>116</v>
      </c>
      <c r="H1145" s="72">
        <v>480</v>
      </c>
      <c r="I1145" s="72">
        <v>30643990632</v>
      </c>
      <c r="J1145" s="5" t="s">
        <v>118</v>
      </c>
      <c r="K1145" s="113">
        <f>+K1144+Tabla6[[#This Row],[IMPORTE]]</f>
        <v>940744434.49000037</v>
      </c>
      <c r="L1145" s="5" t="s">
        <v>1717</v>
      </c>
      <c r="M1145" s="119" t="s">
        <v>100</v>
      </c>
    </row>
    <row r="1146" spans="2:13" x14ac:dyDescent="0.35">
      <c r="B1146" s="4" t="s">
        <v>115</v>
      </c>
      <c r="C1146" s="120">
        <v>46051</v>
      </c>
      <c r="D1146" s="72">
        <v>4281869</v>
      </c>
      <c r="E1146" s="72">
        <v>66</v>
      </c>
      <c r="F1146" s="113">
        <v>788338.12</v>
      </c>
      <c r="G1146" s="5" t="s">
        <v>116</v>
      </c>
      <c r="H1146" s="72">
        <v>480</v>
      </c>
      <c r="I1146" s="72">
        <v>30616253650</v>
      </c>
      <c r="J1146" s="5" t="s">
        <v>175</v>
      </c>
      <c r="K1146" s="113">
        <f>+K1145+Tabla6[[#This Row],[IMPORTE]]</f>
        <v>941532772.61000037</v>
      </c>
      <c r="L1146" s="5" t="s">
        <v>1737</v>
      </c>
      <c r="M1146" s="119" t="s">
        <v>100</v>
      </c>
    </row>
    <row r="1147" spans="2:13" x14ac:dyDescent="0.35">
      <c r="B1147" s="4" t="s">
        <v>115</v>
      </c>
      <c r="C1147" s="120">
        <v>46051</v>
      </c>
      <c r="D1147" s="72">
        <v>5109115</v>
      </c>
      <c r="E1147" s="72">
        <v>66</v>
      </c>
      <c r="F1147" s="113">
        <v>873123.77</v>
      </c>
      <c r="G1147" s="5" t="s">
        <v>116</v>
      </c>
      <c r="H1147" s="72">
        <v>479</v>
      </c>
      <c r="I1147" s="72">
        <v>30659863789</v>
      </c>
      <c r="J1147" s="5" t="s">
        <v>119</v>
      </c>
      <c r="K1147" s="113">
        <f>+K1146+Tabla6[[#This Row],[IMPORTE]]</f>
        <v>942405896.38000035</v>
      </c>
      <c r="L1147" s="5" t="s">
        <v>1718</v>
      </c>
      <c r="M1147" s="119" t="s">
        <v>100</v>
      </c>
    </row>
    <row r="1148" spans="2:13" x14ac:dyDescent="0.35">
      <c r="B1148" s="4" t="s">
        <v>121</v>
      </c>
      <c r="C1148" s="120">
        <v>46051</v>
      </c>
      <c r="D1148" s="72">
        <v>2664002783</v>
      </c>
      <c r="E1148" s="72">
        <v>66</v>
      </c>
      <c r="F1148" s="113">
        <v>1013997.07</v>
      </c>
      <c r="G1148" s="5" t="s">
        <v>122</v>
      </c>
      <c r="H1148" s="72">
        <v>694</v>
      </c>
      <c r="I1148" s="72" t="s">
        <v>123</v>
      </c>
      <c r="J1148" s="5" t="s">
        <v>124</v>
      </c>
      <c r="K1148" s="113">
        <f>+K1147+Tabla6[[#This Row],[IMPORTE]]</f>
        <v>943419893.45000041</v>
      </c>
      <c r="L1148" s="5" t="s">
        <v>1499</v>
      </c>
      <c r="M1148" s="119" t="s">
        <v>100</v>
      </c>
    </row>
    <row r="1149" spans="2:13" x14ac:dyDescent="0.35">
      <c r="B1149" s="4" t="s">
        <v>158</v>
      </c>
      <c r="C1149" s="120">
        <v>46051</v>
      </c>
      <c r="D1149" s="72">
        <v>184210002</v>
      </c>
      <c r="E1149" s="72">
        <v>66</v>
      </c>
      <c r="F1149" s="113">
        <v>1307434.8899999999</v>
      </c>
      <c r="G1149" s="5" t="s">
        <v>159</v>
      </c>
      <c r="H1149" s="72">
        <v>402</v>
      </c>
      <c r="I1149" s="72">
        <v>30684125792</v>
      </c>
      <c r="J1149" s="5" t="s">
        <v>176</v>
      </c>
      <c r="K1149" s="113">
        <f>+K1148+Tabla6[[#This Row],[IMPORTE]]</f>
        <v>944727328.34000039</v>
      </c>
      <c r="L1149" s="5" t="s">
        <v>1638</v>
      </c>
      <c r="M1149" s="119" t="s">
        <v>100</v>
      </c>
    </row>
    <row r="1150" spans="2:13" x14ac:dyDescent="0.35">
      <c r="B1150" s="4" t="s">
        <v>115</v>
      </c>
      <c r="C1150" s="120">
        <v>46051</v>
      </c>
      <c r="D1150" s="72">
        <v>5109113</v>
      </c>
      <c r="E1150" s="72">
        <v>66</v>
      </c>
      <c r="F1150" s="113">
        <v>2126584.08</v>
      </c>
      <c r="G1150" s="5" t="s">
        <v>116</v>
      </c>
      <c r="H1150" s="72">
        <v>479</v>
      </c>
      <c r="I1150" s="72">
        <v>30659863789</v>
      </c>
      <c r="J1150" s="5" t="s">
        <v>119</v>
      </c>
      <c r="K1150" s="113">
        <f>+K1149+Tabla6[[#This Row],[IMPORTE]]</f>
        <v>946853912.42000043</v>
      </c>
      <c r="L1150" s="5" t="s">
        <v>1718</v>
      </c>
      <c r="M1150" s="119" t="s">
        <v>100</v>
      </c>
    </row>
    <row r="1151" spans="2:13" x14ac:dyDescent="0.35">
      <c r="B1151" s="4" t="s">
        <v>128</v>
      </c>
      <c r="C1151" s="120">
        <v>46051</v>
      </c>
      <c r="D1151" s="72">
        <v>666307142</v>
      </c>
      <c r="E1151" s="72">
        <v>66</v>
      </c>
      <c r="F1151" s="113">
        <v>2469954.2799999998</v>
      </c>
      <c r="G1151" s="5" t="s">
        <v>129</v>
      </c>
      <c r="H1151" s="72">
        <v>93</v>
      </c>
      <c r="I1151" s="72" t="s">
        <v>123</v>
      </c>
      <c r="J1151" s="5" t="s">
        <v>124</v>
      </c>
      <c r="K1151" s="113">
        <f>+K1150+Tabla6[[#This Row],[IMPORTE]]</f>
        <v>949323866.70000041</v>
      </c>
      <c r="L1151" s="5" t="s">
        <v>1717</v>
      </c>
      <c r="M1151" s="119" t="s">
        <v>100</v>
      </c>
    </row>
    <row r="1152" spans="2:13" x14ac:dyDescent="0.35">
      <c r="B1152" s="4" t="s">
        <v>115</v>
      </c>
      <c r="C1152" s="120">
        <v>46051</v>
      </c>
      <c r="D1152" s="72">
        <v>5102029</v>
      </c>
      <c r="E1152" s="72">
        <v>66</v>
      </c>
      <c r="F1152" s="113">
        <v>2965344.68</v>
      </c>
      <c r="G1152" s="5" t="s">
        <v>116</v>
      </c>
      <c r="H1152" s="72">
        <v>479</v>
      </c>
      <c r="I1152" s="72">
        <v>30643990632</v>
      </c>
      <c r="J1152" s="5" t="s">
        <v>127</v>
      </c>
      <c r="K1152" s="113">
        <f>+K1151+Tabla6[[#This Row],[IMPORTE]]</f>
        <v>952289211.38000035</v>
      </c>
      <c r="L1152" s="5" t="s">
        <v>1717</v>
      </c>
      <c r="M1152" s="119" t="s">
        <v>100</v>
      </c>
    </row>
    <row r="1153" spans="2:13" x14ac:dyDescent="0.35">
      <c r="B1153" s="4" t="s">
        <v>125</v>
      </c>
      <c r="C1153" s="120">
        <v>46051</v>
      </c>
      <c r="D1153" s="72">
        <v>746000028</v>
      </c>
      <c r="E1153" s="72">
        <v>66</v>
      </c>
      <c r="F1153" s="113">
        <v>4498899.4800000004</v>
      </c>
      <c r="G1153" s="5" t="s">
        <v>126</v>
      </c>
      <c r="H1153" s="72">
        <v>558</v>
      </c>
      <c r="I1153" s="72" t="s">
        <v>123</v>
      </c>
      <c r="J1153" s="5" t="s">
        <v>124</v>
      </c>
      <c r="K1153" s="113">
        <f>+K1152+Tabla6[[#This Row],[IMPORTE]]</f>
        <v>956788110.86000037</v>
      </c>
      <c r="L1153" s="5" t="s">
        <v>1719</v>
      </c>
      <c r="M1153" s="119" t="s">
        <v>100</v>
      </c>
    </row>
    <row r="1154" spans="2:13" x14ac:dyDescent="0.35">
      <c r="B1154" s="4" t="s">
        <v>115</v>
      </c>
      <c r="C1154" s="120">
        <v>46051</v>
      </c>
      <c r="D1154" s="72">
        <v>5109117</v>
      </c>
      <c r="E1154" s="72">
        <v>66</v>
      </c>
      <c r="F1154" s="113">
        <v>10463163.789999999</v>
      </c>
      <c r="G1154" s="5" t="s">
        <v>116</v>
      </c>
      <c r="H1154" s="72">
        <v>479</v>
      </c>
      <c r="I1154" s="72">
        <v>30659863789</v>
      </c>
      <c r="J1154" s="5" t="s">
        <v>119</v>
      </c>
      <c r="K1154" s="113">
        <f>+K1153+Tabla6[[#This Row],[IMPORTE]]</f>
        <v>967251274.65000033</v>
      </c>
      <c r="L1154" s="5" t="s">
        <v>1718</v>
      </c>
      <c r="M1154" s="119" t="s">
        <v>100</v>
      </c>
    </row>
    <row r="1155" spans="2:13" x14ac:dyDescent="0.35">
      <c r="B1155" s="4" t="s">
        <v>115</v>
      </c>
      <c r="C1155" s="120">
        <v>46051</v>
      </c>
      <c r="D1155" s="72">
        <v>5010350</v>
      </c>
      <c r="E1155" s="72">
        <v>66</v>
      </c>
      <c r="F1155" s="113">
        <v>566719807</v>
      </c>
      <c r="G1155" s="5" t="s">
        <v>116</v>
      </c>
      <c r="H1155" s="72">
        <v>480</v>
      </c>
      <c r="I1155" s="72">
        <v>30999259169</v>
      </c>
      <c r="J1155" s="5" t="s">
        <v>148</v>
      </c>
      <c r="K1155" s="113">
        <f>+K1154+Tabla6[[#This Row],[IMPORTE]]</f>
        <v>1533971081.6500003</v>
      </c>
      <c r="L1155" s="5" t="s">
        <v>1732</v>
      </c>
      <c r="M1155" s="119" t="s">
        <v>100</v>
      </c>
    </row>
    <row r="1156" spans="2:13" x14ac:dyDescent="0.35">
      <c r="B1156" s="4" t="s">
        <v>140</v>
      </c>
      <c r="C1156" s="120">
        <v>46051</v>
      </c>
      <c r="D1156" s="72">
        <v>874550020</v>
      </c>
      <c r="E1156" s="72">
        <v>66</v>
      </c>
      <c r="F1156" s="113">
        <v>-655140502.5</v>
      </c>
      <c r="G1156" s="5" t="s">
        <v>141</v>
      </c>
      <c r="H1156" s="72">
        <v>935</v>
      </c>
      <c r="I1156" s="72" t="s">
        <v>123</v>
      </c>
      <c r="J1156" s="189" t="s">
        <v>1721</v>
      </c>
      <c r="K1156" s="113">
        <f>+K1155+Tabla6[[#This Row],[IMPORTE]]</f>
        <v>878830579.15000033</v>
      </c>
      <c r="L1156" s="5" t="s">
        <v>1720</v>
      </c>
      <c r="M1156" s="119" t="s">
        <v>100</v>
      </c>
    </row>
    <row r="1157" spans="2:13" x14ac:dyDescent="0.35">
      <c r="B1157" s="4" t="s">
        <v>130</v>
      </c>
      <c r="C1157" s="120">
        <v>46051</v>
      </c>
      <c r="D1157" s="72">
        <v>4001990201</v>
      </c>
      <c r="E1157" s="72">
        <v>66</v>
      </c>
      <c r="F1157" s="113">
        <v>-400000000</v>
      </c>
      <c r="G1157" s="5" t="s">
        <v>131</v>
      </c>
      <c r="H1157" s="72">
        <v>530</v>
      </c>
      <c r="I1157" s="72" t="s">
        <v>123</v>
      </c>
      <c r="J1157" s="5" t="s">
        <v>1466</v>
      </c>
      <c r="K1157" s="113">
        <f>+K1156+Tabla6[[#This Row],[IMPORTE]]</f>
        <v>478830579.15000033</v>
      </c>
      <c r="L1157" s="5" t="s">
        <v>1739</v>
      </c>
      <c r="M1157" s="119" t="s">
        <v>100</v>
      </c>
    </row>
    <row r="1158" spans="2:13" x14ac:dyDescent="0.35">
      <c r="B1158" s="4" t="s">
        <v>140</v>
      </c>
      <c r="C1158" s="120">
        <v>46051</v>
      </c>
      <c r="D1158" s="72">
        <v>874550021</v>
      </c>
      <c r="E1158" s="72">
        <v>66</v>
      </c>
      <c r="F1158" s="113">
        <v>-197650338.80000001</v>
      </c>
      <c r="G1158" s="5" t="s">
        <v>141</v>
      </c>
      <c r="H1158" s="72">
        <v>935</v>
      </c>
      <c r="I1158" s="72" t="s">
        <v>123</v>
      </c>
      <c r="J1158" s="189" t="s">
        <v>1723</v>
      </c>
      <c r="K1158" s="113">
        <f>+K1157+Tabla6[[#This Row],[IMPORTE]]</f>
        <v>281180240.35000032</v>
      </c>
      <c r="L1158" s="5" t="s">
        <v>1722</v>
      </c>
      <c r="M1158" s="119" t="s">
        <v>100</v>
      </c>
    </row>
    <row r="1159" spans="2:13" x14ac:dyDescent="0.35">
      <c r="B1159" s="173" t="s">
        <v>115</v>
      </c>
      <c r="C1159" s="146">
        <v>46051</v>
      </c>
      <c r="D1159" s="148">
        <v>5055070</v>
      </c>
      <c r="E1159" s="148">
        <v>66</v>
      </c>
      <c r="F1159" s="149">
        <v>-92042942.340000004</v>
      </c>
      <c r="G1159" s="147" t="s">
        <v>116</v>
      </c>
      <c r="H1159" s="148">
        <v>488</v>
      </c>
      <c r="I1159" s="148" t="s">
        <v>123</v>
      </c>
      <c r="J1159" s="147" t="s">
        <v>124</v>
      </c>
      <c r="K1159" s="149">
        <f>+K1158+Tabla6[[#This Row],[IMPORTE]]</f>
        <v>189137298.01000032</v>
      </c>
      <c r="L1159" s="143" t="s">
        <v>826</v>
      </c>
      <c r="M1159" s="174" t="s">
        <v>1505</v>
      </c>
    </row>
    <row r="1160" spans="2:13" x14ac:dyDescent="0.35">
      <c r="B1160" s="173" t="s">
        <v>115</v>
      </c>
      <c r="C1160" s="146">
        <v>46051</v>
      </c>
      <c r="D1160" s="148">
        <v>5146709</v>
      </c>
      <c r="E1160" s="148">
        <v>66</v>
      </c>
      <c r="F1160" s="149">
        <v>-14000000</v>
      </c>
      <c r="G1160" s="147" t="s">
        <v>116</v>
      </c>
      <c r="H1160" s="148">
        <v>490</v>
      </c>
      <c r="I1160" s="148" t="s">
        <v>123</v>
      </c>
      <c r="J1160" s="147" t="s">
        <v>124</v>
      </c>
      <c r="K1160" s="149">
        <f>+K1159+Tabla6[[#This Row],[IMPORTE]]</f>
        <v>175137298.01000032</v>
      </c>
      <c r="L1160" s="143" t="s">
        <v>847</v>
      </c>
      <c r="M1160" s="174" t="s">
        <v>1505</v>
      </c>
    </row>
    <row r="1161" spans="2:13" x14ac:dyDescent="0.35">
      <c r="B1161" s="173" t="s">
        <v>115</v>
      </c>
      <c r="C1161" s="146">
        <v>46051</v>
      </c>
      <c r="D1161" s="148">
        <v>5055068</v>
      </c>
      <c r="E1161" s="148">
        <v>66</v>
      </c>
      <c r="F1161" s="149">
        <v>-9795144.6600000001</v>
      </c>
      <c r="G1161" s="147" t="s">
        <v>116</v>
      </c>
      <c r="H1161" s="148">
        <v>488</v>
      </c>
      <c r="I1161" s="148" t="s">
        <v>123</v>
      </c>
      <c r="J1161" s="147" t="s">
        <v>124</v>
      </c>
      <c r="K1161" s="149">
        <f>+K1160+Tabla6[[#This Row],[IMPORTE]]</f>
        <v>165342153.35000032</v>
      </c>
      <c r="L1161" s="143" t="s">
        <v>828</v>
      </c>
      <c r="M1161" s="174" t="s">
        <v>1505</v>
      </c>
    </row>
    <row r="1162" spans="2:13" x14ac:dyDescent="0.35">
      <c r="B1162" s="173" t="s">
        <v>115</v>
      </c>
      <c r="C1162" s="146">
        <v>46051</v>
      </c>
      <c r="D1162" s="148">
        <v>5055067</v>
      </c>
      <c r="E1162" s="148">
        <v>66</v>
      </c>
      <c r="F1162" s="149">
        <v>-3440163.4</v>
      </c>
      <c r="G1162" s="147" t="s">
        <v>116</v>
      </c>
      <c r="H1162" s="148">
        <v>488</v>
      </c>
      <c r="I1162" s="148" t="s">
        <v>123</v>
      </c>
      <c r="J1162" s="147" t="s">
        <v>124</v>
      </c>
      <c r="K1162" s="149">
        <f>+K1161+Tabla6[[#This Row],[IMPORTE]]</f>
        <v>161901989.95000032</v>
      </c>
      <c r="L1162" s="143" t="s">
        <v>838</v>
      </c>
      <c r="M1162" s="174" t="s">
        <v>1505</v>
      </c>
    </row>
    <row r="1163" spans="2:13" x14ac:dyDescent="0.35">
      <c r="B1163" s="173" t="s">
        <v>115</v>
      </c>
      <c r="C1163" s="146">
        <v>46051</v>
      </c>
      <c r="D1163" s="148">
        <v>5055071</v>
      </c>
      <c r="E1163" s="148">
        <v>66</v>
      </c>
      <c r="F1163" s="149">
        <v>-2290170.34</v>
      </c>
      <c r="G1163" s="147" t="s">
        <v>116</v>
      </c>
      <c r="H1163" s="148">
        <v>488</v>
      </c>
      <c r="I1163" s="148" t="s">
        <v>123</v>
      </c>
      <c r="J1163" s="147" t="s">
        <v>124</v>
      </c>
      <c r="K1163" s="149">
        <f>+K1162+Tabla6[[#This Row],[IMPORTE]]</f>
        <v>159611819.61000031</v>
      </c>
      <c r="L1163" s="143" t="s">
        <v>832</v>
      </c>
      <c r="M1163" s="174" t="s">
        <v>1505</v>
      </c>
    </row>
    <row r="1164" spans="2:13" x14ac:dyDescent="0.35">
      <c r="B1164" s="4" t="s">
        <v>115</v>
      </c>
      <c r="C1164" s="120">
        <v>46051</v>
      </c>
      <c r="D1164" s="72">
        <v>5037535</v>
      </c>
      <c r="E1164" s="72">
        <v>66</v>
      </c>
      <c r="F1164" s="113">
        <v>-1970941</v>
      </c>
      <c r="G1164" s="5" t="s">
        <v>116</v>
      </c>
      <c r="H1164" s="72">
        <v>488</v>
      </c>
      <c r="I1164" s="72" t="s">
        <v>123</v>
      </c>
      <c r="J1164" s="189" t="s">
        <v>153</v>
      </c>
      <c r="K1164" s="113">
        <f>+K1163+Tabla6[[#This Row],[IMPORTE]]</f>
        <v>157640878.61000031</v>
      </c>
      <c r="L1164" s="189" t="s">
        <v>1707</v>
      </c>
      <c r="M1164" s="119" t="s">
        <v>100</v>
      </c>
    </row>
    <row r="1165" spans="2:13" x14ac:dyDescent="0.35">
      <c r="B1165" s="173" t="s">
        <v>115</v>
      </c>
      <c r="C1165" s="146">
        <v>46051</v>
      </c>
      <c r="D1165" s="148">
        <v>5106896</v>
      </c>
      <c r="E1165" s="148">
        <v>66</v>
      </c>
      <c r="F1165" s="149">
        <v>-1892000</v>
      </c>
      <c r="G1165" s="147" t="s">
        <v>116</v>
      </c>
      <c r="H1165" s="148">
        <v>488</v>
      </c>
      <c r="I1165" s="148" t="s">
        <v>123</v>
      </c>
      <c r="J1165" s="147" t="s">
        <v>124</v>
      </c>
      <c r="K1165" s="149">
        <f>+K1164+Tabla6[[#This Row],[IMPORTE]]</f>
        <v>155748878.61000031</v>
      </c>
      <c r="L1165" s="143" t="s">
        <v>849</v>
      </c>
      <c r="M1165" s="174" t="s">
        <v>1505</v>
      </c>
    </row>
    <row r="1166" spans="2:13" x14ac:dyDescent="0.35">
      <c r="B1166" s="173" t="s">
        <v>115</v>
      </c>
      <c r="C1166" s="146">
        <v>46051</v>
      </c>
      <c r="D1166" s="148">
        <v>5064263</v>
      </c>
      <c r="E1166" s="148">
        <v>66</v>
      </c>
      <c r="F1166" s="149">
        <v>-1666000</v>
      </c>
      <c r="G1166" s="147" t="s">
        <v>116</v>
      </c>
      <c r="H1166" s="148">
        <v>487</v>
      </c>
      <c r="I1166" s="148" t="s">
        <v>123</v>
      </c>
      <c r="J1166" s="147" t="s">
        <v>124</v>
      </c>
      <c r="K1166" s="149">
        <f>+K1165+Tabla6[[#This Row],[IMPORTE]]</f>
        <v>154082878.61000031</v>
      </c>
      <c r="L1166" s="143" t="s">
        <v>834</v>
      </c>
      <c r="M1166" s="174" t="s">
        <v>1505</v>
      </c>
    </row>
    <row r="1167" spans="2:13" x14ac:dyDescent="0.35">
      <c r="B1167" s="173" t="s">
        <v>115</v>
      </c>
      <c r="C1167" s="146">
        <v>46051</v>
      </c>
      <c r="D1167" s="148">
        <v>5055427</v>
      </c>
      <c r="E1167" s="148">
        <v>66</v>
      </c>
      <c r="F1167" s="149">
        <v>-1292667.2</v>
      </c>
      <c r="G1167" s="147" t="s">
        <v>116</v>
      </c>
      <c r="H1167" s="148">
        <v>487</v>
      </c>
      <c r="I1167" s="148" t="s">
        <v>123</v>
      </c>
      <c r="J1167" s="147" t="s">
        <v>124</v>
      </c>
      <c r="K1167" s="149">
        <f>+K1166+Tabla6[[#This Row],[IMPORTE]]</f>
        <v>152790211.41000032</v>
      </c>
      <c r="L1167" s="147" t="s">
        <v>844</v>
      </c>
      <c r="M1167" s="174" t="s">
        <v>1505</v>
      </c>
    </row>
    <row r="1168" spans="2:13" x14ac:dyDescent="0.35">
      <c r="B1168" s="173" t="s">
        <v>115</v>
      </c>
      <c r="C1168" s="146">
        <v>46051</v>
      </c>
      <c r="D1168" s="148">
        <v>5064265</v>
      </c>
      <c r="E1168" s="148">
        <v>66</v>
      </c>
      <c r="F1168" s="149">
        <v>-1128960</v>
      </c>
      <c r="G1168" s="147" t="s">
        <v>116</v>
      </c>
      <c r="H1168" s="148">
        <v>488</v>
      </c>
      <c r="I1168" s="148" t="s">
        <v>123</v>
      </c>
      <c r="J1168" s="147" t="s">
        <v>124</v>
      </c>
      <c r="K1168" s="149">
        <f>+K1167+Tabla6[[#This Row],[IMPORTE]]</f>
        <v>151661251.41000032</v>
      </c>
      <c r="L1168" s="143" t="s">
        <v>839</v>
      </c>
      <c r="M1168" s="174" t="s">
        <v>1505</v>
      </c>
    </row>
    <row r="1169" spans="2:13" x14ac:dyDescent="0.35">
      <c r="B1169" s="173" t="s">
        <v>115</v>
      </c>
      <c r="C1169" s="146">
        <v>46051</v>
      </c>
      <c r="D1169" s="148">
        <v>5059418</v>
      </c>
      <c r="E1169" s="148">
        <v>66</v>
      </c>
      <c r="F1169" s="149">
        <v>-962723.4</v>
      </c>
      <c r="G1169" s="147" t="s">
        <v>116</v>
      </c>
      <c r="H1169" s="148">
        <v>488</v>
      </c>
      <c r="I1169" s="148" t="s">
        <v>123</v>
      </c>
      <c r="J1169" s="147" t="s">
        <v>124</v>
      </c>
      <c r="K1169" s="149">
        <f>+K1168+Tabla6[[#This Row],[IMPORTE]]</f>
        <v>150698528.01000032</v>
      </c>
      <c r="L1169" s="143" t="s">
        <v>836</v>
      </c>
      <c r="M1169" s="174" t="s">
        <v>1505</v>
      </c>
    </row>
    <row r="1170" spans="2:13" x14ac:dyDescent="0.35">
      <c r="B1170" s="173" t="s">
        <v>115</v>
      </c>
      <c r="C1170" s="146">
        <v>46051</v>
      </c>
      <c r="D1170" s="148">
        <v>5146710</v>
      </c>
      <c r="E1170" s="148">
        <v>66</v>
      </c>
      <c r="F1170" s="149">
        <v>-750000</v>
      </c>
      <c r="G1170" s="147" t="s">
        <v>116</v>
      </c>
      <c r="H1170" s="148">
        <v>490</v>
      </c>
      <c r="I1170" s="148" t="s">
        <v>123</v>
      </c>
      <c r="J1170" s="147" t="s">
        <v>124</v>
      </c>
      <c r="K1170" s="149">
        <f>+K1169+Tabla6[[#This Row],[IMPORTE]]</f>
        <v>149948528.01000032</v>
      </c>
      <c r="L1170" s="143" t="s">
        <v>848</v>
      </c>
      <c r="M1170" s="174" t="s">
        <v>1505</v>
      </c>
    </row>
    <row r="1171" spans="2:13" x14ac:dyDescent="0.35">
      <c r="B1171" s="173" t="s">
        <v>115</v>
      </c>
      <c r="C1171" s="146">
        <v>46051</v>
      </c>
      <c r="D1171" s="148">
        <v>5055072</v>
      </c>
      <c r="E1171" s="148">
        <v>66</v>
      </c>
      <c r="F1171" s="149">
        <v>-750000</v>
      </c>
      <c r="G1171" s="147" t="s">
        <v>116</v>
      </c>
      <c r="H1171" s="148">
        <v>488</v>
      </c>
      <c r="I1171" s="148" t="s">
        <v>123</v>
      </c>
      <c r="J1171" s="147" t="s">
        <v>124</v>
      </c>
      <c r="K1171" s="149">
        <f>+K1170+Tabla6[[#This Row],[IMPORTE]]</f>
        <v>149198528.01000032</v>
      </c>
      <c r="L1171" s="143" t="s">
        <v>842</v>
      </c>
      <c r="M1171" s="174" t="s">
        <v>1505</v>
      </c>
    </row>
    <row r="1172" spans="2:13" x14ac:dyDescent="0.35">
      <c r="B1172" s="173" t="s">
        <v>115</v>
      </c>
      <c r="C1172" s="146">
        <v>46051</v>
      </c>
      <c r="D1172" s="148">
        <v>5055073</v>
      </c>
      <c r="E1172" s="148">
        <v>66</v>
      </c>
      <c r="F1172" s="149">
        <v>-676800</v>
      </c>
      <c r="G1172" s="147" t="s">
        <v>116</v>
      </c>
      <c r="H1172" s="148">
        <v>488</v>
      </c>
      <c r="I1172" s="148" t="s">
        <v>123</v>
      </c>
      <c r="J1172" s="147" t="s">
        <v>124</v>
      </c>
      <c r="K1172" s="149">
        <f>+K1171+Tabla6[[#This Row],[IMPORTE]]</f>
        <v>148521728.01000032</v>
      </c>
      <c r="L1172" s="143" t="s">
        <v>831</v>
      </c>
      <c r="M1172" s="174" t="s">
        <v>1505</v>
      </c>
    </row>
    <row r="1173" spans="2:13" x14ac:dyDescent="0.35">
      <c r="B1173" s="173" t="s">
        <v>115</v>
      </c>
      <c r="C1173" s="146">
        <v>46051</v>
      </c>
      <c r="D1173" s="148">
        <v>5057995</v>
      </c>
      <c r="E1173" s="148">
        <v>66</v>
      </c>
      <c r="F1173" s="149">
        <v>-650725</v>
      </c>
      <c r="G1173" s="147" t="s">
        <v>116</v>
      </c>
      <c r="H1173" s="148">
        <v>488</v>
      </c>
      <c r="I1173" s="148" t="s">
        <v>123</v>
      </c>
      <c r="J1173" s="147" t="s">
        <v>124</v>
      </c>
      <c r="K1173" s="149">
        <f>+K1172+Tabla6[[#This Row],[IMPORTE]]</f>
        <v>147871003.01000032</v>
      </c>
      <c r="L1173" s="143" t="s">
        <v>845</v>
      </c>
      <c r="M1173" s="174" t="s">
        <v>1505</v>
      </c>
    </row>
    <row r="1174" spans="2:13" x14ac:dyDescent="0.35">
      <c r="B1174" s="173" t="s">
        <v>115</v>
      </c>
      <c r="C1174" s="146">
        <v>46051</v>
      </c>
      <c r="D1174" s="148">
        <v>5055069</v>
      </c>
      <c r="E1174" s="148">
        <v>66</v>
      </c>
      <c r="F1174" s="149">
        <v>-524966.40000000002</v>
      </c>
      <c r="G1174" s="147" t="s">
        <v>116</v>
      </c>
      <c r="H1174" s="148">
        <v>488</v>
      </c>
      <c r="I1174" s="148" t="s">
        <v>123</v>
      </c>
      <c r="J1174" s="147" t="s">
        <v>124</v>
      </c>
      <c r="K1174" s="149">
        <f>+K1173+Tabla6[[#This Row],[IMPORTE]]</f>
        <v>147346036.61000031</v>
      </c>
      <c r="L1174" s="143" t="s">
        <v>837</v>
      </c>
      <c r="M1174" s="174" t="s">
        <v>1505</v>
      </c>
    </row>
    <row r="1175" spans="2:13" x14ac:dyDescent="0.35">
      <c r="B1175" s="173" t="s">
        <v>115</v>
      </c>
      <c r="C1175" s="146">
        <v>46051</v>
      </c>
      <c r="D1175" s="148">
        <v>5064264</v>
      </c>
      <c r="E1175" s="148">
        <v>66</v>
      </c>
      <c r="F1175" s="149">
        <v>-354143.4</v>
      </c>
      <c r="G1175" s="147" t="s">
        <v>116</v>
      </c>
      <c r="H1175" s="148">
        <v>488</v>
      </c>
      <c r="I1175" s="148" t="s">
        <v>123</v>
      </c>
      <c r="J1175" s="147" t="s">
        <v>124</v>
      </c>
      <c r="K1175" s="149">
        <f>+K1174+Tabla6[[#This Row],[IMPORTE]]</f>
        <v>146991893.21000031</v>
      </c>
      <c r="L1175" s="143" t="s">
        <v>835</v>
      </c>
      <c r="M1175" s="174" t="s">
        <v>1505</v>
      </c>
    </row>
    <row r="1176" spans="2:13" x14ac:dyDescent="0.35">
      <c r="B1176" s="173" t="s">
        <v>115</v>
      </c>
      <c r="C1176" s="146">
        <v>46051</v>
      </c>
      <c r="D1176" s="148">
        <v>5064266</v>
      </c>
      <c r="E1176" s="148">
        <v>66</v>
      </c>
      <c r="F1176" s="149">
        <v>-330000</v>
      </c>
      <c r="G1176" s="147" t="s">
        <v>116</v>
      </c>
      <c r="H1176" s="148">
        <v>488</v>
      </c>
      <c r="I1176" s="148" t="s">
        <v>123</v>
      </c>
      <c r="J1176" s="147" t="s">
        <v>124</v>
      </c>
      <c r="K1176" s="149">
        <f>+K1175+Tabla6[[#This Row],[IMPORTE]]</f>
        <v>146661893.21000031</v>
      </c>
      <c r="L1176" s="143" t="s">
        <v>841</v>
      </c>
      <c r="M1176" s="174" t="s">
        <v>1505</v>
      </c>
    </row>
    <row r="1177" spans="2:13" x14ac:dyDescent="0.35">
      <c r="B1177" s="173" t="s">
        <v>115</v>
      </c>
      <c r="C1177" s="146">
        <v>46051</v>
      </c>
      <c r="D1177" s="148">
        <v>5055066</v>
      </c>
      <c r="E1177" s="148">
        <v>66</v>
      </c>
      <c r="F1177" s="149">
        <v>-234467.74</v>
      </c>
      <c r="G1177" s="147" t="s">
        <v>116</v>
      </c>
      <c r="H1177" s="148">
        <v>488</v>
      </c>
      <c r="I1177" s="148" t="s">
        <v>123</v>
      </c>
      <c r="J1177" s="147" t="s">
        <v>124</v>
      </c>
      <c r="K1177" s="149">
        <f>+K1176+Tabla6[[#This Row],[IMPORTE]]</f>
        <v>146427425.4700003</v>
      </c>
      <c r="L1177" s="143" t="s">
        <v>830</v>
      </c>
      <c r="M1177" s="174" t="s">
        <v>1505</v>
      </c>
    </row>
    <row r="1178" spans="2:13" x14ac:dyDescent="0.35">
      <c r="B1178" s="173" t="s">
        <v>115</v>
      </c>
      <c r="C1178" s="146">
        <v>46051</v>
      </c>
      <c r="D1178" s="148">
        <v>5059421</v>
      </c>
      <c r="E1178" s="148">
        <v>66</v>
      </c>
      <c r="F1178" s="149">
        <v>-225600</v>
      </c>
      <c r="G1178" s="147" t="s">
        <v>116</v>
      </c>
      <c r="H1178" s="148">
        <v>488</v>
      </c>
      <c r="I1178" s="148" t="s">
        <v>123</v>
      </c>
      <c r="J1178" s="147" t="s">
        <v>124</v>
      </c>
      <c r="K1178" s="149">
        <f>+K1177+Tabla6[[#This Row],[IMPORTE]]</f>
        <v>146201825.4700003</v>
      </c>
      <c r="L1178" s="143" t="s">
        <v>840</v>
      </c>
      <c r="M1178" s="174" t="s">
        <v>1505</v>
      </c>
    </row>
    <row r="1179" spans="2:13" x14ac:dyDescent="0.35">
      <c r="B1179" s="173" t="s">
        <v>115</v>
      </c>
      <c r="C1179" s="146">
        <v>46051</v>
      </c>
      <c r="D1179" s="148">
        <v>5064267</v>
      </c>
      <c r="E1179" s="148">
        <v>66</v>
      </c>
      <c r="F1179" s="149">
        <v>-202320</v>
      </c>
      <c r="G1179" s="147" t="s">
        <v>116</v>
      </c>
      <c r="H1179" s="148">
        <v>488</v>
      </c>
      <c r="I1179" s="148" t="s">
        <v>123</v>
      </c>
      <c r="J1179" s="147" t="s">
        <v>124</v>
      </c>
      <c r="K1179" s="149">
        <f>+K1178+Tabla6[[#This Row],[IMPORTE]]</f>
        <v>145999505.4700003</v>
      </c>
      <c r="L1179" s="143" t="s">
        <v>843</v>
      </c>
      <c r="M1179" s="174" t="s">
        <v>1505</v>
      </c>
    </row>
    <row r="1180" spans="2:13" x14ac:dyDescent="0.35">
      <c r="B1180" s="173" t="s">
        <v>115</v>
      </c>
      <c r="C1180" s="146">
        <v>46051</v>
      </c>
      <c r="D1180" s="148">
        <v>5064262</v>
      </c>
      <c r="E1180" s="148">
        <v>66</v>
      </c>
      <c r="F1180" s="149">
        <v>-195840</v>
      </c>
      <c r="G1180" s="147" t="s">
        <v>116</v>
      </c>
      <c r="H1180" s="148">
        <v>488</v>
      </c>
      <c r="I1180" s="148" t="s">
        <v>123</v>
      </c>
      <c r="J1180" s="147" t="s">
        <v>124</v>
      </c>
      <c r="K1180" s="149">
        <f>+K1179+Tabla6[[#This Row],[IMPORTE]]</f>
        <v>145803665.4700003</v>
      </c>
      <c r="L1180" s="143" t="s">
        <v>833</v>
      </c>
      <c r="M1180" s="174" t="s">
        <v>1505</v>
      </c>
    </row>
    <row r="1181" spans="2:13" x14ac:dyDescent="0.35">
      <c r="B1181" s="173" t="s">
        <v>115</v>
      </c>
      <c r="C1181" s="146">
        <v>46051</v>
      </c>
      <c r="D1181" s="148">
        <v>5057996</v>
      </c>
      <c r="E1181" s="148">
        <v>66</v>
      </c>
      <c r="F1181" s="149">
        <v>-192000</v>
      </c>
      <c r="G1181" s="147" t="s">
        <v>116</v>
      </c>
      <c r="H1181" s="148">
        <v>488</v>
      </c>
      <c r="I1181" s="148" t="s">
        <v>123</v>
      </c>
      <c r="J1181" s="147" t="s">
        <v>124</v>
      </c>
      <c r="K1181" s="149">
        <f>+K1180+Tabla6[[#This Row],[IMPORTE]]</f>
        <v>145611665.4700003</v>
      </c>
      <c r="L1181" s="143" t="s">
        <v>846</v>
      </c>
      <c r="M1181" s="174" t="s">
        <v>1505</v>
      </c>
    </row>
    <row r="1182" spans="2:13" x14ac:dyDescent="0.35">
      <c r="B1182" s="173" t="s">
        <v>115</v>
      </c>
      <c r="C1182" s="146">
        <v>46051</v>
      </c>
      <c r="D1182" s="148">
        <v>5064268</v>
      </c>
      <c r="E1182" s="148">
        <v>66</v>
      </c>
      <c r="F1182" s="149">
        <v>-112320</v>
      </c>
      <c r="G1182" s="147" t="s">
        <v>116</v>
      </c>
      <c r="H1182" s="148">
        <v>487</v>
      </c>
      <c r="I1182" s="148" t="s">
        <v>123</v>
      </c>
      <c r="J1182" s="147" t="s">
        <v>124</v>
      </c>
      <c r="K1182" s="149">
        <f>+K1181+Tabla6[[#This Row],[IMPORTE]]</f>
        <v>145499345.4700003</v>
      </c>
      <c r="L1182" s="143" t="s">
        <v>829</v>
      </c>
      <c r="M1182" s="174" t="s">
        <v>1505</v>
      </c>
    </row>
    <row r="1183" spans="2:13" x14ac:dyDescent="0.35">
      <c r="B1183" s="4" t="s">
        <v>115</v>
      </c>
      <c r="C1183" s="120">
        <v>46051</v>
      </c>
      <c r="D1183" s="72">
        <v>5037536</v>
      </c>
      <c r="E1183" s="72">
        <v>66</v>
      </c>
      <c r="F1183" s="113">
        <v>-97933</v>
      </c>
      <c r="G1183" s="5" t="s">
        <v>116</v>
      </c>
      <c r="H1183" s="72">
        <v>488</v>
      </c>
      <c r="I1183" s="72" t="s">
        <v>123</v>
      </c>
      <c r="J1183" s="189" t="s">
        <v>153</v>
      </c>
      <c r="K1183" s="113">
        <f>+K1182+Tabla6[[#This Row],[IMPORTE]]</f>
        <v>145401412.4700003</v>
      </c>
      <c r="L1183" s="189" t="s">
        <v>1707</v>
      </c>
      <c r="M1183" s="119" t="s">
        <v>100</v>
      </c>
    </row>
    <row r="1184" spans="2:13" x14ac:dyDescent="0.35">
      <c r="B1184" s="4" t="s">
        <v>115</v>
      </c>
      <c r="C1184" s="120">
        <v>46051</v>
      </c>
      <c r="D1184" s="72">
        <v>5037533</v>
      </c>
      <c r="E1184" s="72">
        <v>66</v>
      </c>
      <c r="F1184" s="113">
        <v>-97933</v>
      </c>
      <c r="G1184" s="5" t="s">
        <v>116</v>
      </c>
      <c r="H1184" s="72">
        <v>488</v>
      </c>
      <c r="I1184" s="72" t="s">
        <v>123</v>
      </c>
      <c r="J1184" s="189" t="s">
        <v>153</v>
      </c>
      <c r="K1184" s="113">
        <f>+K1183+Tabla6[[#This Row],[IMPORTE]]</f>
        <v>145303479.4700003</v>
      </c>
      <c r="L1184" s="189" t="s">
        <v>1707</v>
      </c>
      <c r="M1184" s="119" t="s">
        <v>100</v>
      </c>
    </row>
    <row r="1185" spans="2:13" x14ac:dyDescent="0.35">
      <c r="B1185" s="172" t="s">
        <v>132</v>
      </c>
      <c r="C1185" s="126">
        <v>46051</v>
      </c>
      <c r="D1185" s="127">
        <v>746300028</v>
      </c>
      <c r="E1185" s="127">
        <v>66</v>
      </c>
      <c r="F1185" s="128">
        <v>-92144.05</v>
      </c>
      <c r="G1185" s="129" t="s">
        <v>133</v>
      </c>
      <c r="H1185" s="127">
        <v>562</v>
      </c>
      <c r="I1185" s="127" t="s">
        <v>123</v>
      </c>
      <c r="J1185" s="129" t="s">
        <v>124</v>
      </c>
      <c r="K1185" s="128">
        <f>+K1184+Tabla6[[#This Row],[IMPORTE]]</f>
        <v>145211335.42000028</v>
      </c>
      <c r="L1185" s="129" t="s">
        <v>182</v>
      </c>
      <c r="M1185" s="130" t="s">
        <v>93</v>
      </c>
    </row>
    <row r="1186" spans="2:13" x14ac:dyDescent="0.35">
      <c r="B1186" s="4" t="s">
        <v>115</v>
      </c>
      <c r="C1186" s="120">
        <v>46051</v>
      </c>
      <c r="D1186" s="72">
        <v>5037531</v>
      </c>
      <c r="E1186" s="72">
        <v>66</v>
      </c>
      <c r="F1186" s="113">
        <v>-47196.42</v>
      </c>
      <c r="G1186" s="5" t="s">
        <v>116</v>
      </c>
      <c r="H1186" s="72">
        <v>488</v>
      </c>
      <c r="I1186" s="72" t="s">
        <v>123</v>
      </c>
      <c r="J1186" s="189" t="s">
        <v>1536</v>
      </c>
      <c r="K1186" s="113">
        <f>+K1185+Tabla6[[#This Row],[IMPORTE]]</f>
        <v>145164139.0000003</v>
      </c>
      <c r="L1186" s="189" t="s">
        <v>1707</v>
      </c>
      <c r="M1186" s="119" t="s">
        <v>100</v>
      </c>
    </row>
    <row r="1187" spans="2:13" x14ac:dyDescent="0.35">
      <c r="B1187" s="4" t="s">
        <v>115</v>
      </c>
      <c r="C1187" s="120">
        <v>46051</v>
      </c>
      <c r="D1187" s="72">
        <v>5037544</v>
      </c>
      <c r="E1187" s="72">
        <v>66</v>
      </c>
      <c r="F1187" s="113">
        <v>-44297.5</v>
      </c>
      <c r="G1187" s="5" t="s">
        <v>116</v>
      </c>
      <c r="H1187" s="72">
        <v>488</v>
      </c>
      <c r="I1187" s="72" t="s">
        <v>123</v>
      </c>
      <c r="J1187" s="189" t="s">
        <v>1536</v>
      </c>
      <c r="K1187" s="113">
        <f>+K1186+Tabla6[[#This Row],[IMPORTE]]</f>
        <v>145119841.5000003</v>
      </c>
      <c r="L1187" s="189" t="s">
        <v>1707</v>
      </c>
      <c r="M1187" s="119" t="s">
        <v>100</v>
      </c>
    </row>
    <row r="1188" spans="2:13" x14ac:dyDescent="0.35">
      <c r="B1188" s="4" t="s">
        <v>115</v>
      </c>
      <c r="C1188" s="120">
        <v>46051</v>
      </c>
      <c r="D1188" s="72">
        <v>5037540</v>
      </c>
      <c r="E1188" s="72">
        <v>66</v>
      </c>
      <c r="F1188" s="113">
        <v>-40946.69</v>
      </c>
      <c r="G1188" s="5" t="s">
        <v>116</v>
      </c>
      <c r="H1188" s="72">
        <v>488</v>
      </c>
      <c r="I1188" s="72" t="s">
        <v>123</v>
      </c>
      <c r="J1188" s="189" t="s">
        <v>1536</v>
      </c>
      <c r="K1188" s="113">
        <f>+K1187+Tabla6[[#This Row],[IMPORTE]]</f>
        <v>145078894.8100003</v>
      </c>
      <c r="L1188" s="189" t="s">
        <v>1707</v>
      </c>
      <c r="M1188" s="119" t="s">
        <v>100</v>
      </c>
    </row>
    <row r="1189" spans="2:13" x14ac:dyDescent="0.35">
      <c r="B1189" s="4" t="s">
        <v>115</v>
      </c>
      <c r="C1189" s="120">
        <v>46051</v>
      </c>
      <c r="D1189" s="72">
        <v>5037549</v>
      </c>
      <c r="E1189" s="72">
        <v>66</v>
      </c>
      <c r="F1189" s="113">
        <v>-39794.6</v>
      </c>
      <c r="G1189" s="5" t="s">
        <v>116</v>
      </c>
      <c r="H1189" s="72">
        <v>488</v>
      </c>
      <c r="I1189" s="72" t="s">
        <v>123</v>
      </c>
      <c r="J1189" s="189" t="s">
        <v>1536</v>
      </c>
      <c r="K1189" s="113">
        <f>+K1188+Tabla6[[#This Row],[IMPORTE]]</f>
        <v>145039100.21000031</v>
      </c>
      <c r="L1189" s="189" t="s">
        <v>1707</v>
      </c>
      <c r="M1189" s="119" t="s">
        <v>100</v>
      </c>
    </row>
    <row r="1190" spans="2:13" x14ac:dyDescent="0.35">
      <c r="B1190" s="4" t="s">
        <v>115</v>
      </c>
      <c r="C1190" s="120">
        <v>46051</v>
      </c>
      <c r="D1190" s="72">
        <v>5037547</v>
      </c>
      <c r="E1190" s="72">
        <v>66</v>
      </c>
      <c r="F1190" s="113">
        <v>-39760.25</v>
      </c>
      <c r="G1190" s="5" t="s">
        <v>116</v>
      </c>
      <c r="H1190" s="72">
        <v>488</v>
      </c>
      <c r="I1190" s="72" t="s">
        <v>123</v>
      </c>
      <c r="J1190" s="189" t="s">
        <v>1536</v>
      </c>
      <c r="K1190" s="113">
        <f>+K1189+Tabla6[[#This Row],[IMPORTE]]</f>
        <v>144999339.96000031</v>
      </c>
      <c r="L1190" s="189" t="s">
        <v>1707</v>
      </c>
      <c r="M1190" s="119" t="s">
        <v>100</v>
      </c>
    </row>
    <row r="1191" spans="2:13" x14ac:dyDescent="0.35">
      <c r="B1191" s="4" t="s">
        <v>115</v>
      </c>
      <c r="C1191" s="120">
        <v>46051</v>
      </c>
      <c r="D1191" s="72">
        <v>5037517</v>
      </c>
      <c r="E1191" s="72">
        <v>66</v>
      </c>
      <c r="F1191" s="113">
        <v>-36994.85</v>
      </c>
      <c r="G1191" s="5" t="s">
        <v>116</v>
      </c>
      <c r="H1191" s="72">
        <v>488</v>
      </c>
      <c r="I1191" s="72" t="s">
        <v>123</v>
      </c>
      <c r="J1191" s="189" t="s">
        <v>1536</v>
      </c>
      <c r="K1191" s="113">
        <f>+K1190+Tabla6[[#This Row],[IMPORTE]]</f>
        <v>144962345.11000031</v>
      </c>
      <c r="L1191" s="189" t="s">
        <v>1707</v>
      </c>
      <c r="M1191" s="119" t="s">
        <v>100</v>
      </c>
    </row>
    <row r="1192" spans="2:13" x14ac:dyDescent="0.35">
      <c r="B1192" s="4" t="s">
        <v>115</v>
      </c>
      <c r="C1192" s="120">
        <v>46051</v>
      </c>
      <c r="D1192" s="72">
        <v>5037519</v>
      </c>
      <c r="E1192" s="72">
        <v>66</v>
      </c>
      <c r="F1192" s="113">
        <v>-35976.03</v>
      </c>
      <c r="G1192" s="5" t="s">
        <v>116</v>
      </c>
      <c r="H1192" s="72">
        <v>488</v>
      </c>
      <c r="I1192" s="72" t="s">
        <v>123</v>
      </c>
      <c r="J1192" s="189" t="s">
        <v>1536</v>
      </c>
      <c r="K1192" s="113">
        <f>+K1191+Tabla6[[#This Row],[IMPORTE]]</f>
        <v>144926369.08000031</v>
      </c>
      <c r="L1192" s="189" t="s">
        <v>1707</v>
      </c>
      <c r="M1192" s="119" t="s">
        <v>100</v>
      </c>
    </row>
    <row r="1193" spans="2:13" x14ac:dyDescent="0.35">
      <c r="B1193" s="4" t="s">
        <v>115</v>
      </c>
      <c r="C1193" s="120">
        <v>46051</v>
      </c>
      <c r="D1193" s="72">
        <v>5037546</v>
      </c>
      <c r="E1193" s="72">
        <v>66</v>
      </c>
      <c r="F1193" s="113">
        <v>-35593.14</v>
      </c>
      <c r="G1193" s="5" t="s">
        <v>116</v>
      </c>
      <c r="H1193" s="72">
        <v>488</v>
      </c>
      <c r="I1193" s="72" t="s">
        <v>123</v>
      </c>
      <c r="J1193" s="189" t="s">
        <v>1536</v>
      </c>
      <c r="K1193" s="113">
        <f>+K1192+Tabla6[[#This Row],[IMPORTE]]</f>
        <v>144890775.94000033</v>
      </c>
      <c r="L1193" s="189" t="s">
        <v>1707</v>
      </c>
      <c r="M1193" s="119" t="s">
        <v>100</v>
      </c>
    </row>
    <row r="1194" spans="2:13" x14ac:dyDescent="0.35">
      <c r="B1194" s="4" t="s">
        <v>115</v>
      </c>
      <c r="C1194" s="120">
        <v>46051</v>
      </c>
      <c r="D1194" s="72">
        <v>5037542</v>
      </c>
      <c r="E1194" s="72">
        <v>66</v>
      </c>
      <c r="F1194" s="113">
        <v>-34697.15</v>
      </c>
      <c r="G1194" s="5" t="s">
        <v>116</v>
      </c>
      <c r="H1194" s="72">
        <v>488</v>
      </c>
      <c r="I1194" s="72" t="s">
        <v>123</v>
      </c>
      <c r="J1194" s="189" t="s">
        <v>1536</v>
      </c>
      <c r="K1194" s="113">
        <f>+K1193+Tabla6[[#This Row],[IMPORTE]]</f>
        <v>144856078.79000032</v>
      </c>
      <c r="L1194" s="189" t="s">
        <v>1707</v>
      </c>
      <c r="M1194" s="119" t="s">
        <v>100</v>
      </c>
    </row>
    <row r="1195" spans="2:13" x14ac:dyDescent="0.35">
      <c r="B1195" s="4" t="s">
        <v>115</v>
      </c>
      <c r="C1195" s="120">
        <v>46051</v>
      </c>
      <c r="D1195" s="72">
        <v>5037511</v>
      </c>
      <c r="E1195" s="72">
        <v>66</v>
      </c>
      <c r="F1195" s="113">
        <v>-33057.67</v>
      </c>
      <c r="G1195" s="5" t="s">
        <v>116</v>
      </c>
      <c r="H1195" s="72">
        <v>488</v>
      </c>
      <c r="I1195" s="72" t="s">
        <v>123</v>
      </c>
      <c r="J1195" s="189" t="s">
        <v>1536</v>
      </c>
      <c r="K1195" s="113">
        <f>+K1194+Tabla6[[#This Row],[IMPORTE]]</f>
        <v>144823021.12000033</v>
      </c>
      <c r="L1195" s="189" t="s">
        <v>1707</v>
      </c>
      <c r="M1195" s="119" t="s">
        <v>100</v>
      </c>
    </row>
    <row r="1196" spans="2:13" x14ac:dyDescent="0.35">
      <c r="B1196" s="4" t="s">
        <v>115</v>
      </c>
      <c r="C1196" s="120">
        <v>46051</v>
      </c>
      <c r="D1196" s="72">
        <v>5064887</v>
      </c>
      <c r="E1196" s="72">
        <v>66</v>
      </c>
      <c r="F1196" s="113">
        <v>-31064.240000000002</v>
      </c>
      <c r="G1196" s="5" t="s">
        <v>116</v>
      </c>
      <c r="H1196" s="72">
        <v>488</v>
      </c>
      <c r="I1196" s="72" t="s">
        <v>123</v>
      </c>
      <c r="J1196" s="189" t="s">
        <v>1536</v>
      </c>
      <c r="K1196" s="113">
        <f>+K1195+Tabla6[[#This Row],[IMPORTE]]</f>
        <v>144791956.88000032</v>
      </c>
      <c r="L1196" s="189" t="s">
        <v>1707</v>
      </c>
      <c r="M1196" s="119" t="s">
        <v>100</v>
      </c>
    </row>
    <row r="1197" spans="2:13" x14ac:dyDescent="0.35">
      <c r="B1197" s="4" t="s">
        <v>115</v>
      </c>
      <c r="C1197" s="120">
        <v>46051</v>
      </c>
      <c r="D1197" s="72">
        <v>5037523</v>
      </c>
      <c r="E1197" s="72">
        <v>66</v>
      </c>
      <c r="F1197" s="113">
        <v>-30245.85</v>
      </c>
      <c r="G1197" s="5" t="s">
        <v>116</v>
      </c>
      <c r="H1197" s="72">
        <v>488</v>
      </c>
      <c r="I1197" s="72" t="s">
        <v>123</v>
      </c>
      <c r="J1197" s="189" t="s">
        <v>1536</v>
      </c>
      <c r="K1197" s="113">
        <f>+K1196+Tabla6[[#This Row],[IMPORTE]]</f>
        <v>144761711.03000033</v>
      </c>
      <c r="L1197" s="189" t="s">
        <v>1707</v>
      </c>
      <c r="M1197" s="119" t="s">
        <v>100</v>
      </c>
    </row>
    <row r="1198" spans="2:13" x14ac:dyDescent="0.35">
      <c r="B1198" s="4" t="s">
        <v>115</v>
      </c>
      <c r="C1198" s="120">
        <v>46051</v>
      </c>
      <c r="D1198" s="72">
        <v>5037514</v>
      </c>
      <c r="E1198" s="72">
        <v>66</v>
      </c>
      <c r="F1198" s="113">
        <v>-29654.7</v>
      </c>
      <c r="G1198" s="5" t="s">
        <v>116</v>
      </c>
      <c r="H1198" s="72">
        <v>488</v>
      </c>
      <c r="I1198" s="72" t="s">
        <v>123</v>
      </c>
      <c r="J1198" s="189" t="s">
        <v>1536</v>
      </c>
      <c r="K1198" s="113">
        <f>+K1197+Tabla6[[#This Row],[IMPORTE]]</f>
        <v>144732056.33000034</v>
      </c>
      <c r="L1198" s="189" t="s">
        <v>1707</v>
      </c>
      <c r="M1198" s="119" t="s">
        <v>100</v>
      </c>
    </row>
    <row r="1199" spans="2:13" x14ac:dyDescent="0.35">
      <c r="B1199" s="4" t="s">
        <v>115</v>
      </c>
      <c r="C1199" s="120">
        <v>46051</v>
      </c>
      <c r="D1199" s="72">
        <v>5037538</v>
      </c>
      <c r="E1199" s="72">
        <v>66</v>
      </c>
      <c r="F1199" s="113">
        <v>-25392.99</v>
      </c>
      <c r="G1199" s="5" t="s">
        <v>116</v>
      </c>
      <c r="H1199" s="72">
        <v>488</v>
      </c>
      <c r="I1199" s="72" t="s">
        <v>123</v>
      </c>
      <c r="J1199" s="189" t="s">
        <v>1536</v>
      </c>
      <c r="K1199" s="113">
        <f>+K1198+Tabla6[[#This Row],[IMPORTE]]</f>
        <v>144706663.34000033</v>
      </c>
      <c r="L1199" s="189" t="s">
        <v>1707</v>
      </c>
      <c r="M1199" s="119" t="s">
        <v>100</v>
      </c>
    </row>
    <row r="1200" spans="2:13" x14ac:dyDescent="0.35">
      <c r="B1200" s="4" t="s">
        <v>115</v>
      </c>
      <c r="C1200" s="120">
        <v>46051</v>
      </c>
      <c r="D1200" s="72">
        <v>5037521</v>
      </c>
      <c r="E1200" s="72">
        <v>66</v>
      </c>
      <c r="F1200" s="113">
        <v>-9386.81</v>
      </c>
      <c r="G1200" s="5" t="s">
        <v>116</v>
      </c>
      <c r="H1200" s="72">
        <v>488</v>
      </c>
      <c r="I1200" s="72" t="s">
        <v>123</v>
      </c>
      <c r="J1200" s="189" t="s">
        <v>1536</v>
      </c>
      <c r="K1200" s="113">
        <f>+K1199+Tabla6[[#This Row],[IMPORTE]]</f>
        <v>144697276.53000033</v>
      </c>
      <c r="L1200" s="189" t="s">
        <v>1707</v>
      </c>
      <c r="M1200" s="119" t="s">
        <v>100</v>
      </c>
    </row>
    <row r="1201" spans="2:13" x14ac:dyDescent="0.35">
      <c r="B1201" s="4" t="s">
        <v>115</v>
      </c>
      <c r="C1201" s="120">
        <v>46051</v>
      </c>
      <c r="D1201" s="72">
        <v>5037527</v>
      </c>
      <c r="E1201" s="72">
        <v>66</v>
      </c>
      <c r="F1201" s="113">
        <v>-9341.4699999999993</v>
      </c>
      <c r="G1201" s="5" t="s">
        <v>116</v>
      </c>
      <c r="H1201" s="72">
        <v>488</v>
      </c>
      <c r="I1201" s="72" t="s">
        <v>123</v>
      </c>
      <c r="J1201" s="189" t="s">
        <v>1536</v>
      </c>
      <c r="K1201" s="113">
        <f>+K1200+Tabla6[[#This Row],[IMPORTE]]</f>
        <v>144687935.06000033</v>
      </c>
      <c r="L1201" s="5" t="s">
        <v>1707</v>
      </c>
      <c r="M1201" s="119" t="s">
        <v>100</v>
      </c>
    </row>
    <row r="1202" spans="2:13" x14ac:dyDescent="0.35">
      <c r="B1202" s="4" t="s">
        <v>115</v>
      </c>
      <c r="C1202" s="120">
        <v>46051</v>
      </c>
      <c r="D1202" s="72">
        <v>5037529</v>
      </c>
      <c r="E1202" s="72">
        <v>66</v>
      </c>
      <c r="F1202" s="113">
        <v>-5559.78</v>
      </c>
      <c r="G1202" s="5" t="s">
        <v>116</v>
      </c>
      <c r="H1202" s="72">
        <v>488</v>
      </c>
      <c r="I1202" s="72" t="s">
        <v>123</v>
      </c>
      <c r="J1202" s="5" t="s">
        <v>1536</v>
      </c>
      <c r="K1202" s="113">
        <f>+K1201+Tabla6[[#This Row],[IMPORTE]]</f>
        <v>144682375.28000033</v>
      </c>
      <c r="L1202" s="5" t="s">
        <v>1707</v>
      </c>
      <c r="M1202" s="119" t="s">
        <v>100</v>
      </c>
    </row>
    <row r="1203" spans="2:13" x14ac:dyDescent="0.35">
      <c r="B1203" s="4" t="s">
        <v>115</v>
      </c>
      <c r="C1203" s="120">
        <v>46051</v>
      </c>
      <c r="D1203" s="72">
        <v>5037525</v>
      </c>
      <c r="E1203" s="72">
        <v>66</v>
      </c>
      <c r="F1203" s="113">
        <v>-5206.92</v>
      </c>
      <c r="G1203" s="5" t="s">
        <v>116</v>
      </c>
      <c r="H1203" s="72">
        <v>488</v>
      </c>
      <c r="I1203" s="72" t="s">
        <v>123</v>
      </c>
      <c r="J1203" s="5" t="s">
        <v>1536</v>
      </c>
      <c r="K1203" s="113">
        <f>+K1202+Tabla6[[#This Row],[IMPORTE]]</f>
        <v>144677168.36000034</v>
      </c>
      <c r="L1203" s="189" t="s">
        <v>1707</v>
      </c>
      <c r="M1203" s="119" t="s">
        <v>100</v>
      </c>
    </row>
    <row r="1204" spans="2:13" x14ac:dyDescent="0.35">
      <c r="B1204" s="4" t="s">
        <v>128</v>
      </c>
      <c r="C1204" s="120">
        <v>46052</v>
      </c>
      <c r="D1204" s="72">
        <v>666303794</v>
      </c>
      <c r="E1204" s="72">
        <v>66</v>
      </c>
      <c r="F1204" s="113">
        <v>3340.65</v>
      </c>
      <c r="G1204" s="5" t="s">
        <v>129</v>
      </c>
      <c r="H1204" s="72">
        <v>93</v>
      </c>
      <c r="I1204" s="72" t="s">
        <v>123</v>
      </c>
      <c r="J1204" s="5" t="s">
        <v>124</v>
      </c>
      <c r="K1204" s="113">
        <f>+K1203+Tabla6[[#This Row],[IMPORTE]]</f>
        <v>144680509.01000035</v>
      </c>
      <c r="L1204" s="5" t="s">
        <v>1502</v>
      </c>
      <c r="M1204" s="119" t="s">
        <v>100</v>
      </c>
    </row>
    <row r="1205" spans="2:13" x14ac:dyDescent="0.35">
      <c r="B1205" s="4" t="s">
        <v>115</v>
      </c>
      <c r="C1205" s="120">
        <v>46052</v>
      </c>
      <c r="D1205" s="72">
        <v>4292727</v>
      </c>
      <c r="E1205" s="72">
        <v>66</v>
      </c>
      <c r="F1205" s="113">
        <v>349835.3</v>
      </c>
      <c r="G1205" s="5" t="s">
        <v>116</v>
      </c>
      <c r="H1205" s="72">
        <v>480</v>
      </c>
      <c r="I1205" s="72">
        <v>30564066784</v>
      </c>
      <c r="J1205" s="5" t="s">
        <v>177</v>
      </c>
      <c r="K1205" s="113">
        <f>+K1204+Tabla6[[#This Row],[IMPORTE]]</f>
        <v>145030344.31000036</v>
      </c>
      <c r="L1205" s="5" t="s">
        <v>1639</v>
      </c>
      <c r="M1205" s="119" t="s">
        <v>100</v>
      </c>
    </row>
    <row r="1206" spans="2:13" x14ac:dyDescent="0.35">
      <c r="B1206" s="4" t="s">
        <v>115</v>
      </c>
      <c r="C1206" s="120">
        <v>46052</v>
      </c>
      <c r="D1206" s="72">
        <v>5415744</v>
      </c>
      <c r="E1206" s="72">
        <v>66</v>
      </c>
      <c r="F1206" s="113">
        <v>856681.49</v>
      </c>
      <c r="G1206" s="5" t="s">
        <v>116</v>
      </c>
      <c r="H1206" s="72">
        <v>480</v>
      </c>
      <c r="I1206" s="72">
        <v>30643990632</v>
      </c>
      <c r="J1206" s="5" t="s">
        <v>118</v>
      </c>
      <c r="K1206" s="113">
        <f>+K1205+Tabla6[[#This Row],[IMPORTE]]</f>
        <v>145887025.80000037</v>
      </c>
      <c r="L1206" s="5" t="s">
        <v>1724</v>
      </c>
      <c r="M1206" s="119" t="s">
        <v>100</v>
      </c>
    </row>
    <row r="1207" spans="2:13" x14ac:dyDescent="0.35">
      <c r="B1207" s="4" t="s">
        <v>121</v>
      </c>
      <c r="C1207" s="120">
        <v>46052</v>
      </c>
      <c r="D1207" s="72">
        <v>2664006366</v>
      </c>
      <c r="E1207" s="72">
        <v>66</v>
      </c>
      <c r="F1207" s="113">
        <v>858531.78</v>
      </c>
      <c r="G1207" s="5" t="s">
        <v>122</v>
      </c>
      <c r="H1207" s="72">
        <v>694</v>
      </c>
      <c r="I1207" s="72" t="s">
        <v>123</v>
      </c>
      <c r="J1207" s="5" t="s">
        <v>124</v>
      </c>
      <c r="K1207" s="113">
        <f>+K1206+Tabla6[[#This Row],[IMPORTE]]</f>
        <v>146745557.58000037</v>
      </c>
      <c r="L1207" s="5" t="s">
        <v>1501</v>
      </c>
      <c r="M1207" s="119" t="s">
        <v>100</v>
      </c>
    </row>
    <row r="1208" spans="2:13" x14ac:dyDescent="0.35">
      <c r="B1208" s="4" t="s">
        <v>115</v>
      </c>
      <c r="C1208" s="120">
        <v>46052</v>
      </c>
      <c r="D1208" s="72">
        <v>5413727</v>
      </c>
      <c r="E1208" s="72">
        <v>66</v>
      </c>
      <c r="F1208" s="113">
        <v>858616.8</v>
      </c>
      <c r="G1208" s="5" t="s">
        <v>116</v>
      </c>
      <c r="H1208" s="72">
        <v>479</v>
      </c>
      <c r="I1208" s="72">
        <v>30659863789</v>
      </c>
      <c r="J1208" s="5" t="s">
        <v>119</v>
      </c>
      <c r="K1208" s="113">
        <f>+K1207+Tabla6[[#This Row],[IMPORTE]]</f>
        <v>147604174.38000038</v>
      </c>
      <c r="L1208" s="5" t="s">
        <v>1725</v>
      </c>
      <c r="M1208" s="119" t="s">
        <v>100</v>
      </c>
    </row>
    <row r="1209" spans="2:13" x14ac:dyDescent="0.35">
      <c r="B1209" s="4" t="s">
        <v>128</v>
      </c>
      <c r="C1209" s="120">
        <v>46052</v>
      </c>
      <c r="D1209" s="72">
        <v>666300685</v>
      </c>
      <c r="E1209" s="72">
        <v>66</v>
      </c>
      <c r="F1209" s="113">
        <v>2237960.2799999998</v>
      </c>
      <c r="G1209" s="5" t="s">
        <v>129</v>
      </c>
      <c r="H1209" s="72">
        <v>93</v>
      </c>
      <c r="I1209" s="72" t="s">
        <v>123</v>
      </c>
      <c r="J1209" s="5" t="s">
        <v>124</v>
      </c>
      <c r="K1209" s="113">
        <f>+K1208+Tabla6[[#This Row],[IMPORTE]]</f>
        <v>149842134.66000038</v>
      </c>
      <c r="L1209" s="5" t="s">
        <v>1724</v>
      </c>
      <c r="M1209" s="119" t="s">
        <v>100</v>
      </c>
    </row>
    <row r="1210" spans="2:13" x14ac:dyDescent="0.35">
      <c r="B1210" s="4" t="s">
        <v>115</v>
      </c>
      <c r="C1210" s="120">
        <v>46052</v>
      </c>
      <c r="D1210" s="72">
        <v>5413726</v>
      </c>
      <c r="E1210" s="72">
        <v>66</v>
      </c>
      <c r="F1210" s="113">
        <v>2269244.9700000002</v>
      </c>
      <c r="G1210" s="5" t="s">
        <v>116</v>
      </c>
      <c r="H1210" s="72">
        <v>479</v>
      </c>
      <c r="I1210" s="72">
        <v>30659863789</v>
      </c>
      <c r="J1210" s="5" t="s">
        <v>119</v>
      </c>
      <c r="K1210" s="113">
        <f>+K1209+Tabla6[[#This Row],[IMPORTE]]</f>
        <v>152111379.63000038</v>
      </c>
      <c r="L1210" s="5" t="s">
        <v>1725</v>
      </c>
      <c r="M1210" s="119" t="s">
        <v>100</v>
      </c>
    </row>
    <row r="1211" spans="2:13" x14ac:dyDescent="0.35">
      <c r="B1211" s="4" t="s">
        <v>125</v>
      </c>
      <c r="C1211" s="120">
        <v>46052</v>
      </c>
      <c r="D1211" s="72">
        <v>746000032</v>
      </c>
      <c r="E1211" s="72">
        <v>66</v>
      </c>
      <c r="F1211" s="113">
        <v>3917133.41</v>
      </c>
      <c r="G1211" s="5" t="s">
        <v>126</v>
      </c>
      <c r="H1211" s="72">
        <v>558</v>
      </c>
      <c r="I1211" s="72" t="s">
        <v>123</v>
      </c>
      <c r="J1211" s="5" t="s">
        <v>124</v>
      </c>
      <c r="K1211" s="113">
        <f>+K1210+Tabla6[[#This Row],[IMPORTE]]</f>
        <v>156028513.04000038</v>
      </c>
      <c r="L1211" s="5" t="s">
        <v>1654</v>
      </c>
      <c r="M1211" s="119" t="s">
        <v>100</v>
      </c>
    </row>
    <row r="1212" spans="2:13" x14ac:dyDescent="0.35">
      <c r="B1212" s="4" t="s">
        <v>115</v>
      </c>
      <c r="C1212" s="120">
        <v>46052</v>
      </c>
      <c r="D1212" s="72">
        <v>5401179</v>
      </c>
      <c r="E1212" s="72">
        <v>66</v>
      </c>
      <c r="F1212" s="113">
        <v>7586256.9900000002</v>
      </c>
      <c r="G1212" s="5" t="s">
        <v>116</v>
      </c>
      <c r="H1212" s="72">
        <v>479</v>
      </c>
      <c r="I1212" s="72">
        <v>30643990632</v>
      </c>
      <c r="J1212" s="5" t="s">
        <v>127</v>
      </c>
      <c r="K1212" s="113">
        <f>+K1211+Tabla6[[#This Row],[IMPORTE]]</f>
        <v>163614770.03000039</v>
      </c>
      <c r="L1212" s="5" t="s">
        <v>1724</v>
      </c>
      <c r="M1212" s="119" t="s">
        <v>100</v>
      </c>
    </row>
    <row r="1213" spans="2:13" x14ac:dyDescent="0.35">
      <c r="B1213" s="4" t="s">
        <v>115</v>
      </c>
      <c r="C1213" s="120">
        <v>46052</v>
      </c>
      <c r="D1213" s="72">
        <v>5388115</v>
      </c>
      <c r="E1213" s="72">
        <v>66</v>
      </c>
      <c r="F1213" s="113">
        <v>11000000</v>
      </c>
      <c r="G1213" s="5" t="s">
        <v>116</v>
      </c>
      <c r="H1213" s="72">
        <v>482</v>
      </c>
      <c r="I1213" s="72">
        <v>30999147077</v>
      </c>
      <c r="J1213" s="5" t="s">
        <v>167</v>
      </c>
      <c r="K1213" s="113">
        <f>+K1212+Tabla6[[#This Row],[IMPORTE]]</f>
        <v>174614770.03000039</v>
      </c>
      <c r="L1213" s="5" t="s">
        <v>1741</v>
      </c>
      <c r="M1213" s="119" t="s">
        <v>100</v>
      </c>
    </row>
    <row r="1214" spans="2:13" x14ac:dyDescent="0.35">
      <c r="B1214" s="4" t="s">
        <v>115</v>
      </c>
      <c r="C1214" s="120">
        <v>46052</v>
      </c>
      <c r="D1214" s="72">
        <v>5222897</v>
      </c>
      <c r="E1214" s="72">
        <v>66</v>
      </c>
      <c r="F1214" s="113">
        <v>11276629.41</v>
      </c>
      <c r="G1214" s="5" t="s">
        <v>116</v>
      </c>
      <c r="H1214" s="72">
        <v>480</v>
      </c>
      <c r="I1214" s="72">
        <v>30999259169</v>
      </c>
      <c r="J1214" s="5" t="s">
        <v>148</v>
      </c>
      <c r="K1214" s="113">
        <f>+K1213+Tabla6[[#This Row],[IMPORTE]]</f>
        <v>185891399.44000039</v>
      </c>
      <c r="L1214" s="5" t="s">
        <v>1731</v>
      </c>
      <c r="M1214" s="119" t="s">
        <v>100</v>
      </c>
    </row>
    <row r="1215" spans="2:13" x14ac:dyDescent="0.35">
      <c r="B1215" s="4" t="s">
        <v>115</v>
      </c>
      <c r="C1215" s="120">
        <v>46052</v>
      </c>
      <c r="D1215" s="72">
        <v>5413728</v>
      </c>
      <c r="E1215" s="72">
        <v>66</v>
      </c>
      <c r="F1215" s="113">
        <v>11521874.859999999</v>
      </c>
      <c r="G1215" s="5" t="s">
        <v>116</v>
      </c>
      <c r="H1215" s="72">
        <v>479</v>
      </c>
      <c r="I1215" s="72">
        <v>30659863789</v>
      </c>
      <c r="J1215" s="5" t="s">
        <v>119</v>
      </c>
      <c r="K1215" s="113">
        <f>+K1214+Tabla6[[#This Row],[IMPORTE]]</f>
        <v>197413274.30000037</v>
      </c>
      <c r="L1215" s="5" t="s">
        <v>1725</v>
      </c>
      <c r="M1215" s="119" t="s">
        <v>100</v>
      </c>
    </row>
    <row r="1216" spans="2:13" x14ac:dyDescent="0.35">
      <c r="B1216" s="4" t="s">
        <v>115</v>
      </c>
      <c r="C1216" s="120">
        <v>46052</v>
      </c>
      <c r="D1216" s="72">
        <v>5388116</v>
      </c>
      <c r="E1216" s="72">
        <v>66</v>
      </c>
      <c r="F1216" s="113">
        <v>15000000</v>
      </c>
      <c r="G1216" s="5" t="s">
        <v>116</v>
      </c>
      <c r="H1216" s="72">
        <v>482</v>
      </c>
      <c r="I1216" s="72">
        <v>30999147077</v>
      </c>
      <c r="J1216" s="5" t="s">
        <v>167</v>
      </c>
      <c r="K1216" s="113">
        <f>+K1215+Tabla6[[#This Row],[IMPORTE]]</f>
        <v>212413274.30000037</v>
      </c>
      <c r="L1216" s="5" t="s">
        <v>1742</v>
      </c>
      <c r="M1216" s="119" t="s">
        <v>100</v>
      </c>
    </row>
    <row r="1217" spans="2:13" x14ac:dyDescent="0.35">
      <c r="B1217" s="4" t="s">
        <v>115</v>
      </c>
      <c r="C1217" s="120">
        <v>46052</v>
      </c>
      <c r="D1217" s="72">
        <v>5354833</v>
      </c>
      <c r="E1217" s="72">
        <v>66</v>
      </c>
      <c r="F1217" s="113">
        <v>280000000</v>
      </c>
      <c r="G1217" s="5" t="s">
        <v>116</v>
      </c>
      <c r="H1217" s="72">
        <v>482</v>
      </c>
      <c r="I1217" s="72">
        <v>30999147077</v>
      </c>
      <c r="J1217" s="5" t="s">
        <v>120</v>
      </c>
      <c r="K1217" s="113">
        <f>+K1216+Tabla6[[#This Row],[IMPORTE]]</f>
        <v>492413274.30000037</v>
      </c>
      <c r="L1217" s="5" t="s">
        <v>1740</v>
      </c>
      <c r="M1217" s="119" t="s">
        <v>100</v>
      </c>
    </row>
    <row r="1218" spans="2:13" x14ac:dyDescent="0.35">
      <c r="B1218" s="173" t="s">
        <v>115</v>
      </c>
      <c r="C1218" s="146">
        <v>46052</v>
      </c>
      <c r="D1218" s="148">
        <v>5419686</v>
      </c>
      <c r="E1218" s="148">
        <v>66</v>
      </c>
      <c r="F1218" s="149">
        <v>-218639994.53999999</v>
      </c>
      <c r="G1218" s="147" t="s">
        <v>116</v>
      </c>
      <c r="H1218" s="148">
        <v>488</v>
      </c>
      <c r="I1218" s="148" t="s">
        <v>123</v>
      </c>
      <c r="J1218" s="147" t="s">
        <v>124</v>
      </c>
      <c r="K1218" s="149">
        <f>+K1217+Tabla6[[#This Row],[IMPORTE]]</f>
        <v>273773279.76000035</v>
      </c>
      <c r="L1218" s="143" t="s">
        <v>870</v>
      </c>
      <c r="M1218" s="174" t="s">
        <v>1505</v>
      </c>
    </row>
    <row r="1219" spans="2:13" x14ac:dyDescent="0.35">
      <c r="B1219" s="173" t="s">
        <v>115</v>
      </c>
      <c r="C1219" s="146">
        <v>46052</v>
      </c>
      <c r="D1219" s="148">
        <v>5391149</v>
      </c>
      <c r="E1219" s="148">
        <v>66</v>
      </c>
      <c r="F1219" s="149">
        <v>-76441343.400000006</v>
      </c>
      <c r="G1219" s="147" t="s">
        <v>116</v>
      </c>
      <c r="H1219" s="148">
        <v>487</v>
      </c>
      <c r="I1219" s="148" t="s">
        <v>123</v>
      </c>
      <c r="J1219" s="147" t="s">
        <v>124</v>
      </c>
      <c r="K1219" s="149">
        <f>+K1218+Tabla6[[#This Row],[IMPORTE]]</f>
        <v>197331936.36000034</v>
      </c>
      <c r="L1219" s="143" t="s">
        <v>869</v>
      </c>
      <c r="M1219" s="174" t="s">
        <v>1505</v>
      </c>
    </row>
    <row r="1220" spans="2:13" x14ac:dyDescent="0.35">
      <c r="B1220" s="173" t="s">
        <v>115</v>
      </c>
      <c r="C1220" s="146">
        <v>46052</v>
      </c>
      <c r="D1220" s="148">
        <v>5356282</v>
      </c>
      <c r="E1220" s="148">
        <v>66</v>
      </c>
      <c r="F1220" s="149">
        <v>-50760000</v>
      </c>
      <c r="G1220" s="147" t="s">
        <v>116</v>
      </c>
      <c r="H1220" s="148">
        <v>488</v>
      </c>
      <c r="I1220" s="148" t="s">
        <v>123</v>
      </c>
      <c r="J1220" s="147" t="s">
        <v>124</v>
      </c>
      <c r="K1220" s="149">
        <f>+K1219+Tabla6[[#This Row],[IMPORTE]]</f>
        <v>146571936.36000034</v>
      </c>
      <c r="L1220" s="143" t="s">
        <v>860</v>
      </c>
      <c r="M1220" s="174" t="s">
        <v>1505</v>
      </c>
    </row>
    <row r="1221" spans="2:13" x14ac:dyDescent="0.35">
      <c r="B1221" s="173" t="s">
        <v>173</v>
      </c>
      <c r="C1221" s="146">
        <v>46052</v>
      </c>
      <c r="D1221" s="148">
        <v>1</v>
      </c>
      <c r="E1221" s="148">
        <v>100</v>
      </c>
      <c r="F1221" s="149">
        <v>-43815097.549999997</v>
      </c>
      <c r="G1221" s="147" t="s">
        <v>174</v>
      </c>
      <c r="H1221" s="148">
        <v>421</v>
      </c>
      <c r="I1221" s="148" t="s">
        <v>123</v>
      </c>
      <c r="J1221" s="147" t="s">
        <v>124</v>
      </c>
      <c r="K1221" s="149">
        <f>+K1220+Tabla6[[#This Row],[IMPORTE]]</f>
        <v>102756838.81000035</v>
      </c>
      <c r="L1221" s="143" t="s">
        <v>713</v>
      </c>
      <c r="M1221" s="174" t="s">
        <v>1505</v>
      </c>
    </row>
    <row r="1222" spans="2:13" x14ac:dyDescent="0.35">
      <c r="B1222" s="173" t="s">
        <v>115</v>
      </c>
      <c r="C1222" s="146">
        <v>46052</v>
      </c>
      <c r="D1222" s="148">
        <v>5356281</v>
      </c>
      <c r="E1222" s="148">
        <v>66</v>
      </c>
      <c r="F1222" s="149">
        <v>-26088943.399999999</v>
      </c>
      <c r="G1222" s="147" t="s">
        <v>116</v>
      </c>
      <c r="H1222" s="148">
        <v>488</v>
      </c>
      <c r="I1222" s="148" t="s">
        <v>123</v>
      </c>
      <c r="J1222" s="147" t="s">
        <v>124</v>
      </c>
      <c r="K1222" s="149">
        <f>+K1221+Tabla6[[#This Row],[IMPORTE]]</f>
        <v>76667895.410000354</v>
      </c>
      <c r="L1222" s="143" t="s">
        <v>868</v>
      </c>
      <c r="M1222" s="174" t="s">
        <v>1505</v>
      </c>
    </row>
    <row r="1223" spans="2:13" x14ac:dyDescent="0.35">
      <c r="B1223" s="173" t="s">
        <v>115</v>
      </c>
      <c r="C1223" s="146">
        <v>46052</v>
      </c>
      <c r="D1223" s="148">
        <v>5356280</v>
      </c>
      <c r="E1223" s="148">
        <v>66</v>
      </c>
      <c r="F1223" s="149">
        <v>-7990427.5499999998</v>
      </c>
      <c r="G1223" s="147" t="s">
        <v>116</v>
      </c>
      <c r="H1223" s="148">
        <v>488</v>
      </c>
      <c r="I1223" s="148" t="s">
        <v>123</v>
      </c>
      <c r="J1223" s="147" t="s">
        <v>124</v>
      </c>
      <c r="K1223" s="149">
        <f>+K1222+Tabla6[[#This Row],[IMPORTE]]</f>
        <v>68677467.860000357</v>
      </c>
      <c r="L1223" s="143" t="s">
        <v>861</v>
      </c>
      <c r="M1223" s="174" t="s">
        <v>1505</v>
      </c>
    </row>
    <row r="1224" spans="2:13" x14ac:dyDescent="0.35">
      <c r="B1224" s="173" t="s">
        <v>115</v>
      </c>
      <c r="C1224" s="146">
        <v>46052</v>
      </c>
      <c r="D1224" s="148">
        <v>5356278</v>
      </c>
      <c r="E1224" s="148">
        <v>66</v>
      </c>
      <c r="F1224" s="149">
        <v>-6791900.5999999996</v>
      </c>
      <c r="G1224" s="147" t="s">
        <v>116</v>
      </c>
      <c r="H1224" s="148">
        <v>488</v>
      </c>
      <c r="I1224" s="148" t="s">
        <v>123</v>
      </c>
      <c r="J1224" s="147" t="s">
        <v>124</v>
      </c>
      <c r="K1224" s="149">
        <f>+K1223+Tabla6[[#This Row],[IMPORTE]]</f>
        <v>61885567.260000356</v>
      </c>
      <c r="L1224" s="143" t="s">
        <v>864</v>
      </c>
      <c r="M1224" s="174" t="s">
        <v>1505</v>
      </c>
    </row>
    <row r="1225" spans="2:13" x14ac:dyDescent="0.35">
      <c r="B1225" s="173" t="s">
        <v>115</v>
      </c>
      <c r="C1225" s="146">
        <v>46052</v>
      </c>
      <c r="D1225" s="148">
        <v>5205005</v>
      </c>
      <c r="E1225" s="148">
        <v>66</v>
      </c>
      <c r="F1225" s="149">
        <v>-3423631.82</v>
      </c>
      <c r="G1225" s="147" t="s">
        <v>116</v>
      </c>
      <c r="H1225" s="148">
        <v>488</v>
      </c>
      <c r="I1225" s="148" t="s">
        <v>123</v>
      </c>
      <c r="J1225" s="147" t="s">
        <v>124</v>
      </c>
      <c r="K1225" s="149">
        <f>+K1224+Tabla6[[#This Row],[IMPORTE]]</f>
        <v>58461935.440000355</v>
      </c>
      <c r="L1225" s="143" t="s">
        <v>858</v>
      </c>
      <c r="M1225" s="174" t="s">
        <v>1505</v>
      </c>
    </row>
    <row r="1226" spans="2:13" x14ac:dyDescent="0.35">
      <c r="B1226" s="173" t="s">
        <v>115</v>
      </c>
      <c r="C1226" s="146">
        <v>46052</v>
      </c>
      <c r="D1226" s="148">
        <v>5356275</v>
      </c>
      <c r="E1226" s="148">
        <v>66</v>
      </c>
      <c r="F1226" s="149">
        <v>-3000000</v>
      </c>
      <c r="G1226" s="147" t="s">
        <v>116</v>
      </c>
      <c r="H1226" s="148">
        <v>487</v>
      </c>
      <c r="I1226" s="148" t="s">
        <v>123</v>
      </c>
      <c r="J1226" s="147" t="s">
        <v>124</v>
      </c>
      <c r="K1226" s="149">
        <f>+K1225+Tabla6[[#This Row],[IMPORTE]]</f>
        <v>55461935.440000355</v>
      </c>
      <c r="L1226" s="143" t="s">
        <v>863</v>
      </c>
      <c r="M1226" s="174" t="s">
        <v>1505</v>
      </c>
    </row>
    <row r="1227" spans="2:13" x14ac:dyDescent="0.35">
      <c r="B1227" s="173" t="s">
        <v>115</v>
      </c>
      <c r="C1227" s="146">
        <v>46052</v>
      </c>
      <c r="D1227" s="148">
        <v>5356276</v>
      </c>
      <c r="E1227" s="148">
        <v>66</v>
      </c>
      <c r="F1227" s="149">
        <v>-2229589.6</v>
      </c>
      <c r="G1227" s="147" t="s">
        <v>116</v>
      </c>
      <c r="H1227" s="148">
        <v>488</v>
      </c>
      <c r="I1227" s="148" t="s">
        <v>123</v>
      </c>
      <c r="J1227" s="147" t="s">
        <v>124</v>
      </c>
      <c r="K1227" s="149">
        <f>+K1226+Tabla6[[#This Row],[IMPORTE]]</f>
        <v>53232345.840000354</v>
      </c>
      <c r="L1227" s="143" t="s">
        <v>862</v>
      </c>
      <c r="M1227" s="174" t="s">
        <v>1505</v>
      </c>
    </row>
    <row r="1228" spans="2:13" x14ac:dyDescent="0.35">
      <c r="B1228" s="173" t="s">
        <v>115</v>
      </c>
      <c r="C1228" s="146">
        <v>46052</v>
      </c>
      <c r="D1228" s="148">
        <v>5205008</v>
      </c>
      <c r="E1228" s="148">
        <v>66</v>
      </c>
      <c r="F1228" s="149">
        <v>-1961343.4</v>
      </c>
      <c r="G1228" s="147" t="s">
        <v>116</v>
      </c>
      <c r="H1228" s="148">
        <v>488</v>
      </c>
      <c r="I1228" s="148" t="s">
        <v>123</v>
      </c>
      <c r="J1228" s="147" t="s">
        <v>124</v>
      </c>
      <c r="K1228" s="149">
        <f>+K1227+Tabla6[[#This Row],[IMPORTE]]</f>
        <v>51271002.440000355</v>
      </c>
      <c r="L1228" s="143" t="s">
        <v>853</v>
      </c>
      <c r="M1228" s="174" t="s">
        <v>1505</v>
      </c>
    </row>
    <row r="1229" spans="2:13" x14ac:dyDescent="0.35">
      <c r="B1229" s="173" t="s">
        <v>115</v>
      </c>
      <c r="C1229" s="146">
        <v>46052</v>
      </c>
      <c r="D1229" s="148">
        <v>5356279</v>
      </c>
      <c r="E1229" s="148">
        <v>66</v>
      </c>
      <c r="F1229" s="149">
        <v>-1791767.82</v>
      </c>
      <c r="G1229" s="147" t="s">
        <v>116</v>
      </c>
      <c r="H1229" s="148">
        <v>488</v>
      </c>
      <c r="I1229" s="148" t="s">
        <v>123</v>
      </c>
      <c r="J1229" s="147" t="s">
        <v>124</v>
      </c>
      <c r="K1229" s="149">
        <f>+K1228+Tabla6[[#This Row],[IMPORTE]]</f>
        <v>49479234.620000355</v>
      </c>
      <c r="L1229" s="143" t="s">
        <v>866</v>
      </c>
      <c r="M1229" s="174" t="s">
        <v>1505</v>
      </c>
    </row>
    <row r="1230" spans="2:13" x14ac:dyDescent="0.35">
      <c r="B1230" s="173" t="s">
        <v>115</v>
      </c>
      <c r="C1230" s="146">
        <v>46052</v>
      </c>
      <c r="D1230" s="148">
        <v>5205002</v>
      </c>
      <c r="E1230" s="148">
        <v>66</v>
      </c>
      <c r="F1230" s="149">
        <v>-1791045.46</v>
      </c>
      <c r="G1230" s="147" t="s">
        <v>116</v>
      </c>
      <c r="H1230" s="148">
        <v>487</v>
      </c>
      <c r="I1230" s="148" t="s">
        <v>123</v>
      </c>
      <c r="J1230" s="147" t="s">
        <v>124</v>
      </c>
      <c r="K1230" s="149">
        <f>+K1229+Tabla6[[#This Row],[IMPORTE]]</f>
        <v>47688189.160000354</v>
      </c>
      <c r="L1230" s="143" t="s">
        <v>854</v>
      </c>
      <c r="M1230" s="174" t="s">
        <v>1505</v>
      </c>
    </row>
    <row r="1231" spans="2:13" x14ac:dyDescent="0.35">
      <c r="B1231" s="173" t="s">
        <v>115</v>
      </c>
      <c r="C1231" s="146">
        <v>46052</v>
      </c>
      <c r="D1231" s="148">
        <v>5205006</v>
      </c>
      <c r="E1231" s="148">
        <v>66</v>
      </c>
      <c r="F1231" s="149">
        <v>-1373343.4</v>
      </c>
      <c r="G1231" s="147" t="s">
        <v>116</v>
      </c>
      <c r="H1231" s="148">
        <v>488</v>
      </c>
      <c r="I1231" s="148" t="s">
        <v>123</v>
      </c>
      <c r="J1231" s="147" t="s">
        <v>124</v>
      </c>
      <c r="K1231" s="149">
        <f>+K1230+Tabla6[[#This Row],[IMPORTE]]</f>
        <v>46314845.760000356</v>
      </c>
      <c r="L1231" s="143" t="s">
        <v>857</v>
      </c>
      <c r="M1231" s="174" t="s">
        <v>1505</v>
      </c>
    </row>
    <row r="1232" spans="2:13" x14ac:dyDescent="0.35">
      <c r="B1232" s="173" t="s">
        <v>115</v>
      </c>
      <c r="C1232" s="146">
        <v>46052</v>
      </c>
      <c r="D1232" s="148">
        <v>5205004</v>
      </c>
      <c r="E1232" s="148">
        <v>66</v>
      </c>
      <c r="F1232" s="149">
        <v>-1189391.0900000001</v>
      </c>
      <c r="G1232" s="147" t="s">
        <v>116</v>
      </c>
      <c r="H1232" s="148">
        <v>488</v>
      </c>
      <c r="I1232" s="148" t="s">
        <v>123</v>
      </c>
      <c r="J1232" s="147" t="s">
        <v>124</v>
      </c>
      <c r="K1232" s="149">
        <f>+K1231+Tabla6[[#This Row],[IMPORTE]]</f>
        <v>45125454.670000352</v>
      </c>
      <c r="L1232" s="143" t="s">
        <v>855</v>
      </c>
      <c r="M1232" s="174" t="s">
        <v>1505</v>
      </c>
    </row>
    <row r="1233" spans="2:13" x14ac:dyDescent="0.35">
      <c r="B1233" s="173" t="s">
        <v>115</v>
      </c>
      <c r="C1233" s="146">
        <v>46052</v>
      </c>
      <c r="D1233" s="148">
        <v>5356284</v>
      </c>
      <c r="E1233" s="148">
        <v>66</v>
      </c>
      <c r="F1233" s="149">
        <v>-1150000</v>
      </c>
      <c r="G1233" s="147" t="s">
        <v>116</v>
      </c>
      <c r="H1233" s="148">
        <v>488</v>
      </c>
      <c r="I1233" s="148" t="s">
        <v>123</v>
      </c>
      <c r="J1233" s="147" t="s">
        <v>124</v>
      </c>
      <c r="K1233" s="149">
        <f>+K1232+Tabla6[[#This Row],[IMPORTE]]</f>
        <v>43975454.670000352</v>
      </c>
      <c r="L1233" s="143" t="s">
        <v>850</v>
      </c>
      <c r="M1233" s="174" t="s">
        <v>1505</v>
      </c>
    </row>
    <row r="1234" spans="2:13" x14ac:dyDescent="0.35">
      <c r="B1234" s="173" t="s">
        <v>115</v>
      </c>
      <c r="C1234" s="146">
        <v>46052</v>
      </c>
      <c r="D1234" s="148">
        <v>5205003</v>
      </c>
      <c r="E1234" s="148">
        <v>66</v>
      </c>
      <c r="F1234" s="149">
        <v>-1131510</v>
      </c>
      <c r="G1234" s="147" t="s">
        <v>116</v>
      </c>
      <c r="H1234" s="148">
        <v>488</v>
      </c>
      <c r="I1234" s="148" t="s">
        <v>123</v>
      </c>
      <c r="J1234" s="147" t="s">
        <v>124</v>
      </c>
      <c r="K1234" s="149">
        <f>+K1233+Tabla6[[#This Row],[IMPORTE]]</f>
        <v>42843944.670000352</v>
      </c>
      <c r="L1234" s="143" t="s">
        <v>851</v>
      </c>
      <c r="M1234" s="174" t="s">
        <v>1505</v>
      </c>
    </row>
    <row r="1235" spans="2:13" x14ac:dyDescent="0.35">
      <c r="B1235" s="173" t="s">
        <v>115</v>
      </c>
      <c r="C1235" s="146">
        <v>46052</v>
      </c>
      <c r="D1235" s="148">
        <v>5205007</v>
      </c>
      <c r="E1235" s="148">
        <v>66</v>
      </c>
      <c r="F1235" s="149">
        <v>-589343.4</v>
      </c>
      <c r="G1235" s="147" t="s">
        <v>116</v>
      </c>
      <c r="H1235" s="148">
        <v>488</v>
      </c>
      <c r="I1235" s="148" t="s">
        <v>123</v>
      </c>
      <c r="J1235" s="147" t="s">
        <v>124</v>
      </c>
      <c r="K1235" s="149">
        <f>+K1234+Tabla6[[#This Row],[IMPORTE]]</f>
        <v>42254601.270000353</v>
      </c>
      <c r="L1235" s="143" t="s">
        <v>856</v>
      </c>
      <c r="M1235" s="174" t="s">
        <v>1505</v>
      </c>
    </row>
    <row r="1236" spans="2:13" x14ac:dyDescent="0.35">
      <c r="B1236" s="173" t="s">
        <v>115</v>
      </c>
      <c r="C1236" s="146">
        <v>46052</v>
      </c>
      <c r="D1236" s="148">
        <v>5356274</v>
      </c>
      <c r="E1236" s="148">
        <v>66</v>
      </c>
      <c r="F1236" s="149">
        <v>-575600</v>
      </c>
      <c r="G1236" s="147" t="s">
        <v>116</v>
      </c>
      <c r="H1236" s="148">
        <v>488</v>
      </c>
      <c r="I1236" s="148" t="s">
        <v>123</v>
      </c>
      <c r="J1236" s="147" t="s">
        <v>124</v>
      </c>
      <c r="K1236" s="149">
        <f>+K1235+Tabla6[[#This Row],[IMPORTE]]</f>
        <v>41679001.270000353</v>
      </c>
      <c r="L1236" s="143" t="s">
        <v>867</v>
      </c>
      <c r="M1236" s="174" t="s">
        <v>1505</v>
      </c>
    </row>
    <row r="1237" spans="2:13" x14ac:dyDescent="0.35">
      <c r="B1237" s="173" t="s">
        <v>115</v>
      </c>
      <c r="C1237" s="146">
        <v>46052</v>
      </c>
      <c r="D1237" s="148">
        <v>5356272</v>
      </c>
      <c r="E1237" s="148">
        <v>66</v>
      </c>
      <c r="F1237" s="149">
        <v>-557993.06999999995</v>
      </c>
      <c r="G1237" s="147" t="s">
        <v>116</v>
      </c>
      <c r="H1237" s="148">
        <v>488</v>
      </c>
      <c r="I1237" s="148" t="s">
        <v>123</v>
      </c>
      <c r="J1237" s="147" t="s">
        <v>124</v>
      </c>
      <c r="K1237" s="149">
        <f>+K1236+Tabla6[[#This Row],[IMPORTE]]</f>
        <v>41121008.200000353</v>
      </c>
      <c r="L1237" s="143" t="s">
        <v>866</v>
      </c>
      <c r="M1237" s="174" t="s">
        <v>1505</v>
      </c>
    </row>
    <row r="1238" spans="2:13" x14ac:dyDescent="0.35">
      <c r="B1238" s="173" t="s">
        <v>115</v>
      </c>
      <c r="C1238" s="146">
        <v>46052</v>
      </c>
      <c r="D1238" s="148">
        <v>5356283</v>
      </c>
      <c r="E1238" s="148">
        <v>66</v>
      </c>
      <c r="F1238" s="149">
        <v>-221490.6</v>
      </c>
      <c r="G1238" s="147" t="s">
        <v>116</v>
      </c>
      <c r="H1238" s="148">
        <v>488</v>
      </c>
      <c r="I1238" s="148" t="s">
        <v>123</v>
      </c>
      <c r="J1238" s="147" t="s">
        <v>124</v>
      </c>
      <c r="K1238" s="149">
        <f>+K1237+Tabla6[[#This Row],[IMPORTE]]</f>
        <v>40899517.600000352</v>
      </c>
      <c r="L1238" s="143" t="s">
        <v>865</v>
      </c>
      <c r="M1238" s="174" t="s">
        <v>1505</v>
      </c>
    </row>
    <row r="1239" spans="2:13" x14ac:dyDescent="0.35">
      <c r="B1239" s="173" t="s">
        <v>115</v>
      </c>
      <c r="C1239" s="146">
        <v>46052</v>
      </c>
      <c r="D1239" s="148">
        <v>5356277</v>
      </c>
      <c r="E1239" s="148">
        <v>66</v>
      </c>
      <c r="F1239" s="149">
        <v>-129360</v>
      </c>
      <c r="G1239" s="147" t="s">
        <v>116</v>
      </c>
      <c r="H1239" s="148">
        <v>488</v>
      </c>
      <c r="I1239" s="148" t="s">
        <v>123</v>
      </c>
      <c r="J1239" s="147" t="s">
        <v>124</v>
      </c>
      <c r="K1239" s="149">
        <f>+K1238+Tabla6[[#This Row],[IMPORTE]]</f>
        <v>40770157.600000352</v>
      </c>
      <c r="L1239" s="143" t="s">
        <v>694</v>
      </c>
      <c r="M1239" s="174" t="s">
        <v>1505</v>
      </c>
    </row>
    <row r="1240" spans="2:13" x14ac:dyDescent="0.35">
      <c r="B1240" s="172" t="s">
        <v>132</v>
      </c>
      <c r="C1240" s="126">
        <v>46052</v>
      </c>
      <c r="D1240" s="127">
        <v>746300045</v>
      </c>
      <c r="E1240" s="127">
        <v>66</v>
      </c>
      <c r="F1240" s="128">
        <v>-81103.8</v>
      </c>
      <c r="G1240" s="129" t="s">
        <v>133</v>
      </c>
      <c r="H1240" s="127">
        <v>562</v>
      </c>
      <c r="I1240" s="127" t="s">
        <v>123</v>
      </c>
      <c r="J1240" s="129" t="s">
        <v>124</v>
      </c>
      <c r="K1240" s="128">
        <f>+K1239+Tabla6[[#This Row],[IMPORTE]]</f>
        <v>40689053.800000355</v>
      </c>
      <c r="L1240" s="129" t="s">
        <v>182</v>
      </c>
      <c r="M1240" s="130" t="s">
        <v>93</v>
      </c>
    </row>
    <row r="1241" spans="2:13" x14ac:dyDescent="0.35">
      <c r="B1241" s="172" t="s">
        <v>178</v>
      </c>
      <c r="C1241" s="126">
        <v>46052</v>
      </c>
      <c r="D1241" s="127">
        <v>970550084</v>
      </c>
      <c r="E1241" s="127">
        <v>66</v>
      </c>
      <c r="F1241" s="128">
        <v>-74015</v>
      </c>
      <c r="G1241" s="129" t="s">
        <v>179</v>
      </c>
      <c r="H1241" s="127">
        <v>99</v>
      </c>
      <c r="I1241" s="127" t="s">
        <v>123</v>
      </c>
      <c r="J1241" s="129" t="s">
        <v>124</v>
      </c>
      <c r="K1241" s="128">
        <f>+K1240+Tabla6[[#This Row],[IMPORTE]]</f>
        <v>40615038.800000355</v>
      </c>
      <c r="L1241" s="129" t="s">
        <v>182</v>
      </c>
      <c r="M1241" s="130" t="s">
        <v>93</v>
      </c>
    </row>
    <row r="1242" spans="2:13" x14ac:dyDescent="0.35">
      <c r="B1242" s="173" t="s">
        <v>115</v>
      </c>
      <c r="C1242" s="146">
        <v>46052</v>
      </c>
      <c r="D1242" s="148">
        <v>5356273</v>
      </c>
      <c r="E1242" s="148">
        <v>66</v>
      </c>
      <c r="F1242" s="149">
        <v>-59123.3</v>
      </c>
      <c r="G1242" s="147" t="s">
        <v>116</v>
      </c>
      <c r="H1242" s="148">
        <v>488</v>
      </c>
      <c r="I1242" s="148" t="s">
        <v>123</v>
      </c>
      <c r="J1242" s="147" t="s">
        <v>124</v>
      </c>
      <c r="K1242" s="149">
        <f>+K1241+Tabla6[[#This Row],[IMPORTE]]</f>
        <v>40555915.500000358</v>
      </c>
      <c r="L1242" s="143" t="s">
        <v>852</v>
      </c>
      <c r="M1242" s="174" t="s">
        <v>1505</v>
      </c>
    </row>
    <row r="1243" spans="2:13" x14ac:dyDescent="0.35">
      <c r="B1243" s="7" t="s">
        <v>180</v>
      </c>
      <c r="C1243" s="74"/>
      <c r="D1243" s="73"/>
      <c r="E1243" s="73"/>
      <c r="F1243" s="94"/>
      <c r="G1243" s="8"/>
      <c r="H1243" s="73"/>
      <c r="I1243" s="73"/>
      <c r="J1243" s="8"/>
      <c r="K1243" s="94">
        <f>+K1242+Tabla6[[#This Row],[IMPORTE]]</f>
        <v>40555915.500000358</v>
      </c>
      <c r="L1243" s="8"/>
      <c r="M1243" s="9"/>
    </row>
  </sheetData>
  <mergeCells count="1">
    <mergeCell ref="O6:P6"/>
  </mergeCells>
  <pageMargins left="0.7" right="0.7" top="0.75" bottom="0.75" header="0.3" footer="0.3"/>
  <pageSetup orientation="portrait" r:id="rId1"/>
  <ignoredErrors>
    <ignoredError sqref="M8 M12 M121 M977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OPCIONES!$H$3:$H$18</xm:f>
          </x14:formula1>
          <xm:sqref>M7:M1243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316"/>
  <sheetViews>
    <sheetView showGridLines="0" workbookViewId="0">
      <selection activeCell="E20" sqref="E20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37.28515625" style="1" customWidth="1"/>
    <col min="7" max="7" width="36.140625" style="1" customWidth="1"/>
    <col min="8" max="9" width="14.7109375" style="19" bestFit="1" customWidth="1"/>
    <col min="10" max="10" width="15.28515625" style="19" bestFit="1" customWidth="1"/>
    <col min="11" max="11" width="13" style="76" bestFit="1" customWidth="1"/>
    <col min="12" max="12" width="30.7109375" style="1" bestFit="1" customWidth="1"/>
    <col min="13" max="13" width="22.1406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1" t="s">
        <v>60</v>
      </c>
      <c r="C2" s="20" t="s">
        <v>33</v>
      </c>
      <c r="D2" s="16"/>
      <c r="E2" s="3"/>
      <c r="F2" s="16"/>
      <c r="G2" s="16"/>
      <c r="H2" s="16"/>
      <c r="I2" s="16"/>
      <c r="J2" s="16"/>
      <c r="K2" s="87"/>
      <c r="L2" s="16"/>
    </row>
    <row r="3" spans="2:16" x14ac:dyDescent="0.35">
      <c r="B3" s="61" t="s">
        <v>40</v>
      </c>
      <c r="C3" s="20">
        <v>579702001</v>
      </c>
      <c r="D3" s="16"/>
      <c r="E3" s="3"/>
      <c r="F3" s="16"/>
      <c r="G3" s="16"/>
      <c r="H3" s="16"/>
      <c r="I3" s="16"/>
      <c r="J3" s="16"/>
      <c r="K3" s="87"/>
      <c r="L3" s="16"/>
    </row>
    <row r="4" spans="2:16" x14ac:dyDescent="0.35">
      <c r="B4" s="61" t="s">
        <v>38</v>
      </c>
      <c r="C4" s="20" t="s">
        <v>41</v>
      </c>
    </row>
    <row r="6" spans="2:16" s="2" customFormat="1" x14ac:dyDescent="0.35">
      <c r="B6" s="38" t="s">
        <v>69</v>
      </c>
      <c r="C6" s="28" t="s">
        <v>61</v>
      </c>
      <c r="D6" s="28" t="s">
        <v>28</v>
      </c>
      <c r="E6" s="28" t="s">
        <v>64</v>
      </c>
      <c r="F6" s="28" t="s">
        <v>62</v>
      </c>
      <c r="G6" s="28" t="s">
        <v>6</v>
      </c>
      <c r="H6" s="29" t="s">
        <v>19</v>
      </c>
      <c r="I6" s="29" t="s">
        <v>20</v>
      </c>
      <c r="J6" s="39" t="s">
        <v>21</v>
      </c>
      <c r="K6" s="40" t="s">
        <v>63</v>
      </c>
      <c r="L6" s="41" t="s">
        <v>22</v>
      </c>
      <c r="M6" s="59" t="s">
        <v>29</v>
      </c>
      <c r="O6" s="193" t="s">
        <v>8</v>
      </c>
      <c r="P6" s="193"/>
    </row>
    <row r="7" spans="2:16" x14ac:dyDescent="0.35">
      <c r="B7" s="18" t="s">
        <v>30</v>
      </c>
      <c r="C7" s="75"/>
      <c r="D7" s="10"/>
      <c r="E7" s="75"/>
      <c r="F7" s="10"/>
      <c r="G7" s="10"/>
      <c r="H7" s="93"/>
      <c r="I7" s="93"/>
      <c r="J7" s="95">
        <v>47205386.439999998</v>
      </c>
      <c r="K7" s="77"/>
      <c r="L7" s="12"/>
      <c r="M7" s="58"/>
    </row>
    <row r="8" spans="2:16" x14ac:dyDescent="0.35">
      <c r="B8" s="136">
        <v>46024</v>
      </c>
      <c r="C8" s="137">
        <v>46024</v>
      </c>
      <c r="D8" s="138" t="s">
        <v>184</v>
      </c>
      <c r="E8" s="139">
        <v>1</v>
      </c>
      <c r="F8" s="138" t="s">
        <v>875</v>
      </c>
      <c r="G8" s="138" t="s">
        <v>87</v>
      </c>
      <c r="H8" s="140">
        <v>0</v>
      </c>
      <c r="I8" s="140">
        <v>3000000</v>
      </c>
      <c r="J8" s="141">
        <f>+J7+Tabla69[[#This Row],[DEBE]]-Tabla69[[#This Row],[HABER]]</f>
        <v>44205386.439999998</v>
      </c>
      <c r="K8" s="142" t="s">
        <v>872</v>
      </c>
      <c r="L8" s="143" t="s">
        <v>593</v>
      </c>
      <c r="M8" s="144" t="s">
        <v>87</v>
      </c>
      <c r="O8" s="63"/>
      <c r="P8" s="70" t="s">
        <v>94</v>
      </c>
    </row>
    <row r="9" spans="2:16" x14ac:dyDescent="0.35">
      <c r="B9" s="136">
        <v>46027</v>
      </c>
      <c r="C9" s="137">
        <v>46024</v>
      </c>
      <c r="D9" s="138" t="s">
        <v>873</v>
      </c>
      <c r="E9" s="139">
        <v>1</v>
      </c>
      <c r="F9" s="147" t="s">
        <v>254</v>
      </c>
      <c r="G9" s="138" t="s">
        <v>253</v>
      </c>
      <c r="H9" s="140">
        <v>647618333.46000004</v>
      </c>
      <c r="I9" s="140">
        <v>0</v>
      </c>
      <c r="J9" s="141">
        <f>+J8+Tabla69[[#This Row],[DEBE]]-Tabla69[[#This Row],[HABER]]</f>
        <v>691823719.9000001</v>
      </c>
      <c r="K9" s="142" t="s">
        <v>872</v>
      </c>
      <c r="L9" s="143" t="s">
        <v>594</v>
      </c>
      <c r="M9" s="175" t="s">
        <v>83</v>
      </c>
      <c r="O9" s="64"/>
      <c r="P9" s="70"/>
    </row>
    <row r="10" spans="2:16" x14ac:dyDescent="0.35">
      <c r="B10" s="136">
        <v>46027</v>
      </c>
      <c r="C10" s="137">
        <v>46024</v>
      </c>
      <c r="D10" s="138" t="s">
        <v>874</v>
      </c>
      <c r="E10" s="139">
        <v>1</v>
      </c>
      <c r="F10" s="147" t="s">
        <v>254</v>
      </c>
      <c r="G10" s="138" t="s">
        <v>186</v>
      </c>
      <c r="H10" s="140">
        <v>2381666.54</v>
      </c>
      <c r="I10" s="140">
        <v>0</v>
      </c>
      <c r="J10" s="141">
        <f>+J9+Tabla69[[#This Row],[DEBE]]-Tabla69[[#This Row],[HABER]]</f>
        <v>694205386.44000006</v>
      </c>
      <c r="K10" s="142" t="s">
        <v>872</v>
      </c>
      <c r="L10" s="143" t="s">
        <v>594</v>
      </c>
      <c r="M10" s="175" t="s">
        <v>83</v>
      </c>
      <c r="O10" s="65"/>
      <c r="P10" s="70" t="s">
        <v>99</v>
      </c>
    </row>
    <row r="11" spans="2:16" x14ac:dyDescent="0.35">
      <c r="B11" s="136">
        <v>46027</v>
      </c>
      <c r="C11" s="137">
        <v>46027</v>
      </c>
      <c r="D11" s="138" t="s">
        <v>874</v>
      </c>
      <c r="E11" s="139">
        <v>4</v>
      </c>
      <c r="F11" s="138" t="s">
        <v>187</v>
      </c>
      <c r="G11" s="138" t="s">
        <v>188</v>
      </c>
      <c r="H11" s="140">
        <v>150.01</v>
      </c>
      <c r="I11" s="140">
        <v>0</v>
      </c>
      <c r="J11" s="141">
        <f>+J10+Tabla69[[#This Row],[DEBE]]-Tabla69[[#This Row],[HABER]]</f>
        <v>694205536.45000005</v>
      </c>
      <c r="K11" s="142" t="s">
        <v>872</v>
      </c>
      <c r="L11" s="143" t="s">
        <v>595</v>
      </c>
      <c r="M11" s="144" t="s">
        <v>90</v>
      </c>
      <c r="O11" s="64"/>
      <c r="P11" s="70"/>
    </row>
    <row r="12" spans="2:16" x14ac:dyDescent="0.35">
      <c r="B12" s="136">
        <v>46028</v>
      </c>
      <c r="C12" s="137">
        <v>46024</v>
      </c>
      <c r="D12" s="138" t="s">
        <v>185</v>
      </c>
      <c r="E12" s="139">
        <v>3</v>
      </c>
      <c r="F12" s="147" t="s">
        <v>1462</v>
      </c>
      <c r="G12" s="147" t="s">
        <v>233</v>
      </c>
      <c r="H12" s="140">
        <v>0</v>
      </c>
      <c r="I12" s="140">
        <v>594000000</v>
      </c>
      <c r="J12" s="141">
        <f>+J11+Tabla69[[#This Row],[DEBE]]-Tabla69[[#This Row],[HABER]]</f>
        <v>100205536.45000005</v>
      </c>
      <c r="K12" s="142" t="s">
        <v>872</v>
      </c>
      <c r="L12" s="143" t="s">
        <v>596</v>
      </c>
      <c r="M12" s="144" t="s">
        <v>101</v>
      </c>
      <c r="O12" s="66"/>
      <c r="P12" s="70" t="s">
        <v>95</v>
      </c>
    </row>
    <row r="13" spans="2:16" x14ac:dyDescent="0.35">
      <c r="B13" s="136">
        <v>46028</v>
      </c>
      <c r="C13" s="137">
        <v>46024</v>
      </c>
      <c r="D13" s="138" t="s">
        <v>185</v>
      </c>
      <c r="E13" s="139">
        <v>4</v>
      </c>
      <c r="F13" s="147" t="s">
        <v>1462</v>
      </c>
      <c r="G13" s="138" t="s">
        <v>189</v>
      </c>
      <c r="H13" s="140">
        <v>0</v>
      </c>
      <c r="I13" s="140">
        <v>32000000</v>
      </c>
      <c r="J13" s="141">
        <f>+J12+Tabla69[[#This Row],[DEBE]]-Tabla69[[#This Row],[HABER]]</f>
        <v>68205536.450000048</v>
      </c>
      <c r="K13" s="142" t="s">
        <v>872</v>
      </c>
      <c r="L13" s="143" t="s">
        <v>597</v>
      </c>
      <c r="M13" s="175" t="s">
        <v>101</v>
      </c>
      <c r="O13" s="64"/>
      <c r="P13" s="70"/>
    </row>
    <row r="14" spans="2:16" x14ac:dyDescent="0.35">
      <c r="B14" s="150">
        <v>46031</v>
      </c>
      <c r="C14" s="151">
        <v>46031</v>
      </c>
      <c r="D14" s="152" t="s">
        <v>184</v>
      </c>
      <c r="E14" s="153">
        <v>2</v>
      </c>
      <c r="F14" s="152" t="s">
        <v>1458</v>
      </c>
      <c r="G14" s="152" t="s">
        <v>190</v>
      </c>
      <c r="H14" s="154">
        <v>0</v>
      </c>
      <c r="I14" s="154">
        <v>-657800</v>
      </c>
      <c r="J14" s="155">
        <f>+J13+Tabla69[[#This Row],[DEBE]]-Tabla69[[#This Row],[HABER]]</f>
        <v>68863336.450000048</v>
      </c>
      <c r="K14" s="156" t="s">
        <v>871</v>
      </c>
      <c r="L14" s="157" t="s">
        <v>598</v>
      </c>
      <c r="M14" s="158"/>
      <c r="O14" s="67"/>
      <c r="P14" s="70" t="s">
        <v>96</v>
      </c>
    </row>
    <row r="15" spans="2:16" x14ac:dyDescent="0.35">
      <c r="B15" s="150">
        <v>46031</v>
      </c>
      <c r="C15" s="151">
        <v>46031</v>
      </c>
      <c r="D15" s="152" t="s">
        <v>184</v>
      </c>
      <c r="E15" s="153">
        <v>2</v>
      </c>
      <c r="F15" s="152" t="s">
        <v>1458</v>
      </c>
      <c r="G15" s="152" t="s">
        <v>190</v>
      </c>
      <c r="H15" s="154">
        <v>0</v>
      </c>
      <c r="I15" s="154">
        <v>657800</v>
      </c>
      <c r="J15" s="155">
        <f>+J14+Tabla69[[#This Row],[DEBE]]-Tabla69[[#This Row],[HABER]]</f>
        <v>68205536.450000048</v>
      </c>
      <c r="K15" s="156" t="s">
        <v>871</v>
      </c>
      <c r="L15" s="157" t="s">
        <v>598</v>
      </c>
      <c r="M15" s="158"/>
      <c r="O15" s="64"/>
      <c r="P15" s="70"/>
    </row>
    <row r="16" spans="2:16" x14ac:dyDescent="0.35">
      <c r="B16" s="150">
        <v>46031</v>
      </c>
      <c r="C16" s="151">
        <v>46031</v>
      </c>
      <c r="D16" s="152" t="s">
        <v>184</v>
      </c>
      <c r="E16" s="153">
        <v>3</v>
      </c>
      <c r="F16" s="152" t="s">
        <v>877</v>
      </c>
      <c r="G16" s="152" t="s">
        <v>191</v>
      </c>
      <c r="H16" s="154">
        <v>0</v>
      </c>
      <c r="I16" s="154">
        <v>-480000</v>
      </c>
      <c r="J16" s="155">
        <f>+J15+Tabla69[[#This Row],[DEBE]]-Tabla69[[#This Row],[HABER]]</f>
        <v>68685536.450000048</v>
      </c>
      <c r="K16" s="156" t="s">
        <v>871</v>
      </c>
      <c r="L16" s="157" t="s">
        <v>599</v>
      </c>
      <c r="M16" s="158"/>
      <c r="O16" s="68"/>
      <c r="P16" s="70" t="s">
        <v>97</v>
      </c>
    </row>
    <row r="17" spans="2:16" x14ac:dyDescent="0.35">
      <c r="B17" s="150">
        <v>46031</v>
      </c>
      <c r="C17" s="151">
        <v>46031</v>
      </c>
      <c r="D17" s="152" t="s">
        <v>184</v>
      </c>
      <c r="E17" s="153">
        <v>3</v>
      </c>
      <c r="F17" s="152" t="s">
        <v>877</v>
      </c>
      <c r="G17" s="152" t="s">
        <v>191</v>
      </c>
      <c r="H17" s="154">
        <v>0</v>
      </c>
      <c r="I17" s="154">
        <v>480000</v>
      </c>
      <c r="J17" s="155">
        <f>+J16+Tabla69[[#This Row],[DEBE]]-Tabla69[[#This Row],[HABER]]</f>
        <v>68205536.450000048</v>
      </c>
      <c r="K17" s="156" t="s">
        <v>871</v>
      </c>
      <c r="L17" s="157" t="s">
        <v>599</v>
      </c>
      <c r="M17" s="158"/>
      <c r="O17" s="64"/>
      <c r="P17" s="70"/>
    </row>
    <row r="18" spans="2:16" x14ac:dyDescent="0.35">
      <c r="B18" s="150">
        <v>46031</v>
      </c>
      <c r="C18" s="151">
        <v>46031</v>
      </c>
      <c r="D18" s="152" t="s">
        <v>184</v>
      </c>
      <c r="E18" s="153">
        <v>4</v>
      </c>
      <c r="F18" s="152" t="s">
        <v>878</v>
      </c>
      <c r="G18" s="152" t="s">
        <v>192</v>
      </c>
      <c r="H18" s="154">
        <v>0</v>
      </c>
      <c r="I18" s="154">
        <v>240000</v>
      </c>
      <c r="J18" s="155">
        <f>+J17+Tabla69[[#This Row],[DEBE]]-Tabla69[[#This Row],[HABER]]</f>
        <v>67965536.450000048</v>
      </c>
      <c r="K18" s="156" t="s">
        <v>871</v>
      </c>
      <c r="L18" s="157" t="s">
        <v>600</v>
      </c>
      <c r="M18" s="158"/>
      <c r="O18" s="69"/>
      <c r="P18" s="71" t="s">
        <v>98</v>
      </c>
    </row>
    <row r="19" spans="2:16" x14ac:dyDescent="0.35">
      <c r="B19" s="150">
        <v>46031</v>
      </c>
      <c r="C19" s="151">
        <v>46031</v>
      </c>
      <c r="D19" s="152" t="s">
        <v>184</v>
      </c>
      <c r="E19" s="153">
        <v>4</v>
      </c>
      <c r="F19" s="152" t="s">
        <v>878</v>
      </c>
      <c r="G19" s="152" t="s">
        <v>192</v>
      </c>
      <c r="H19" s="154">
        <v>0</v>
      </c>
      <c r="I19" s="154">
        <v>-240000</v>
      </c>
      <c r="J19" s="155">
        <f>+J18+Tabla69[[#This Row],[DEBE]]-Tabla69[[#This Row],[HABER]]</f>
        <v>68205536.450000048</v>
      </c>
      <c r="K19" s="156" t="s">
        <v>871</v>
      </c>
      <c r="L19" s="157" t="s">
        <v>600</v>
      </c>
      <c r="M19" s="158"/>
      <c r="O19" s="64"/>
      <c r="P19" s="70"/>
    </row>
    <row r="20" spans="2:16" x14ac:dyDescent="0.35">
      <c r="B20" s="159">
        <v>46031</v>
      </c>
      <c r="C20" s="160">
        <v>46031</v>
      </c>
      <c r="D20" s="161" t="s">
        <v>184</v>
      </c>
      <c r="E20" s="162">
        <v>5</v>
      </c>
      <c r="F20" s="152" t="s">
        <v>879</v>
      </c>
      <c r="G20" s="161" t="s">
        <v>193</v>
      </c>
      <c r="H20" s="163">
        <v>0</v>
      </c>
      <c r="I20" s="163">
        <v>1800000</v>
      </c>
      <c r="J20" s="155">
        <f>+J19+Tabla69[[#This Row],[DEBE]]-Tabla69[[#This Row],[HABER]]</f>
        <v>66405536.450000048</v>
      </c>
      <c r="K20" s="156" t="s">
        <v>871</v>
      </c>
      <c r="L20" s="164" t="s">
        <v>601</v>
      </c>
      <c r="M20" s="158"/>
    </row>
    <row r="21" spans="2:16" x14ac:dyDescent="0.35">
      <c r="B21" s="165">
        <v>46031</v>
      </c>
      <c r="C21" s="166">
        <v>46031</v>
      </c>
      <c r="D21" s="167" t="s">
        <v>184</v>
      </c>
      <c r="E21" s="168">
        <v>5</v>
      </c>
      <c r="F21" s="167" t="s">
        <v>879</v>
      </c>
      <c r="G21" s="167" t="s">
        <v>193</v>
      </c>
      <c r="H21" s="169">
        <v>0</v>
      </c>
      <c r="I21" s="169">
        <v>-1800000</v>
      </c>
      <c r="J21" s="155">
        <f>+J20+Tabla69[[#This Row],[DEBE]]-Tabla69[[#This Row],[HABER]]</f>
        <v>68205536.450000048</v>
      </c>
      <c r="K21" s="156" t="s">
        <v>871</v>
      </c>
      <c r="L21" s="157" t="s">
        <v>601</v>
      </c>
      <c r="M21" s="157"/>
    </row>
    <row r="22" spans="2:16" x14ac:dyDescent="0.35">
      <c r="B22" s="165">
        <v>46031</v>
      </c>
      <c r="C22" s="166">
        <v>46031</v>
      </c>
      <c r="D22" s="167" t="s">
        <v>184</v>
      </c>
      <c r="E22" s="168">
        <v>6</v>
      </c>
      <c r="F22" s="167" t="s">
        <v>879</v>
      </c>
      <c r="G22" s="167" t="s">
        <v>193</v>
      </c>
      <c r="H22" s="169">
        <v>0</v>
      </c>
      <c r="I22" s="169">
        <v>-1800000</v>
      </c>
      <c r="J22" s="155">
        <f>+J21+Tabla69[[#This Row],[DEBE]]-Tabla69[[#This Row],[HABER]]</f>
        <v>70005536.450000048</v>
      </c>
      <c r="K22" s="156" t="s">
        <v>871</v>
      </c>
      <c r="L22" s="157" t="s">
        <v>601</v>
      </c>
      <c r="M22" s="157"/>
    </row>
    <row r="23" spans="2:16" x14ac:dyDescent="0.35">
      <c r="B23" s="145">
        <v>46031</v>
      </c>
      <c r="C23" s="146">
        <v>46028</v>
      </c>
      <c r="D23" s="138" t="s">
        <v>874</v>
      </c>
      <c r="E23" s="148">
        <v>6</v>
      </c>
      <c r="F23" s="147" t="s">
        <v>194</v>
      </c>
      <c r="G23" s="147" t="s">
        <v>195</v>
      </c>
      <c r="H23" s="149">
        <v>18478.099999999999</v>
      </c>
      <c r="I23" s="149">
        <v>0</v>
      </c>
      <c r="J23" s="141">
        <f>+J22+Tabla69[[#This Row],[DEBE]]-Tabla69[[#This Row],[HABER]]</f>
        <v>70024014.550000042</v>
      </c>
      <c r="K23" s="142" t="s">
        <v>872</v>
      </c>
      <c r="L23" s="143" t="s">
        <v>602</v>
      </c>
      <c r="M23" s="143" t="s">
        <v>90</v>
      </c>
    </row>
    <row r="24" spans="2:16" x14ac:dyDescent="0.35">
      <c r="B24" s="165">
        <v>46031</v>
      </c>
      <c r="C24" s="166">
        <v>46031</v>
      </c>
      <c r="D24" s="167" t="s">
        <v>184</v>
      </c>
      <c r="E24" s="168">
        <v>6</v>
      </c>
      <c r="F24" s="167" t="s">
        <v>879</v>
      </c>
      <c r="G24" s="167" t="s">
        <v>193</v>
      </c>
      <c r="H24" s="169">
        <v>0</v>
      </c>
      <c r="I24" s="169">
        <v>1800000</v>
      </c>
      <c r="J24" s="155">
        <f>+J23+Tabla69[[#This Row],[DEBE]]-Tabla69[[#This Row],[HABER]]</f>
        <v>68224014.550000042</v>
      </c>
      <c r="K24" s="156" t="s">
        <v>871</v>
      </c>
      <c r="L24" s="157" t="s">
        <v>601</v>
      </c>
      <c r="M24" s="157"/>
    </row>
    <row r="25" spans="2:16" x14ac:dyDescent="0.35">
      <c r="B25" s="145">
        <v>46031</v>
      </c>
      <c r="C25" s="146">
        <v>46028</v>
      </c>
      <c r="D25" s="138" t="s">
        <v>874</v>
      </c>
      <c r="E25" s="148">
        <v>6</v>
      </c>
      <c r="F25" s="147" t="s">
        <v>194</v>
      </c>
      <c r="G25" s="147" t="s">
        <v>195</v>
      </c>
      <c r="H25" s="149">
        <v>86.9</v>
      </c>
      <c r="I25" s="149">
        <v>0</v>
      </c>
      <c r="J25" s="141">
        <f>+J24+Tabla69[[#This Row],[DEBE]]-Tabla69[[#This Row],[HABER]]</f>
        <v>68224101.450000048</v>
      </c>
      <c r="K25" s="142" t="s">
        <v>872</v>
      </c>
      <c r="L25" s="143" t="s">
        <v>602</v>
      </c>
      <c r="M25" s="143" t="s">
        <v>90</v>
      </c>
    </row>
    <row r="26" spans="2:16" x14ac:dyDescent="0.35">
      <c r="B26" s="165">
        <v>46031</v>
      </c>
      <c r="C26" s="166">
        <v>46031</v>
      </c>
      <c r="D26" s="167" t="s">
        <v>184</v>
      </c>
      <c r="E26" s="168">
        <v>7</v>
      </c>
      <c r="F26" s="167" t="s">
        <v>878</v>
      </c>
      <c r="G26" s="167" t="s">
        <v>192</v>
      </c>
      <c r="H26" s="169">
        <v>0</v>
      </c>
      <c r="I26" s="169">
        <v>240000</v>
      </c>
      <c r="J26" s="155">
        <f>+J25+Tabla69[[#This Row],[DEBE]]-Tabla69[[#This Row],[HABER]]</f>
        <v>67984101.450000048</v>
      </c>
      <c r="K26" s="156" t="s">
        <v>871</v>
      </c>
      <c r="L26" s="157" t="s">
        <v>600</v>
      </c>
      <c r="M26" s="157"/>
    </row>
    <row r="27" spans="2:16" x14ac:dyDescent="0.35">
      <c r="B27" s="165">
        <v>46031</v>
      </c>
      <c r="C27" s="166">
        <v>46031</v>
      </c>
      <c r="D27" s="167" t="s">
        <v>184</v>
      </c>
      <c r="E27" s="168">
        <v>7</v>
      </c>
      <c r="F27" s="167" t="s">
        <v>878</v>
      </c>
      <c r="G27" s="167" t="s">
        <v>192</v>
      </c>
      <c r="H27" s="169">
        <v>0</v>
      </c>
      <c r="I27" s="169">
        <v>-240000</v>
      </c>
      <c r="J27" s="155">
        <f>+J26+Tabla69[[#This Row],[DEBE]]-Tabla69[[#This Row],[HABER]]</f>
        <v>68224101.450000048</v>
      </c>
      <c r="K27" s="156" t="s">
        <v>871</v>
      </c>
      <c r="L27" s="157" t="s">
        <v>600</v>
      </c>
      <c r="M27" s="157"/>
    </row>
    <row r="28" spans="2:16" x14ac:dyDescent="0.35">
      <c r="B28" s="145">
        <v>46031</v>
      </c>
      <c r="C28" s="146">
        <v>46028</v>
      </c>
      <c r="D28" s="138" t="s">
        <v>874</v>
      </c>
      <c r="E28" s="148">
        <v>7</v>
      </c>
      <c r="F28" s="147" t="s">
        <v>196</v>
      </c>
      <c r="G28" s="147" t="s">
        <v>195</v>
      </c>
      <c r="H28" s="149">
        <v>16284.94</v>
      </c>
      <c r="I28" s="149">
        <v>0</v>
      </c>
      <c r="J28" s="141">
        <f>+J27+Tabla69[[#This Row],[DEBE]]-Tabla69[[#This Row],[HABER]]</f>
        <v>68240386.390000045</v>
      </c>
      <c r="K28" s="142" t="s">
        <v>872</v>
      </c>
      <c r="L28" s="143" t="s">
        <v>603</v>
      </c>
      <c r="M28" s="143" t="s">
        <v>90</v>
      </c>
    </row>
    <row r="29" spans="2:16" x14ac:dyDescent="0.35">
      <c r="B29" s="165">
        <v>46031</v>
      </c>
      <c r="C29" s="166">
        <v>46031</v>
      </c>
      <c r="D29" s="167" t="s">
        <v>184</v>
      </c>
      <c r="E29" s="168">
        <v>8</v>
      </c>
      <c r="F29" s="167" t="s">
        <v>876</v>
      </c>
      <c r="G29" s="167" t="s">
        <v>190</v>
      </c>
      <c r="H29" s="169">
        <v>0</v>
      </c>
      <c r="I29" s="169">
        <v>657800</v>
      </c>
      <c r="J29" s="155">
        <f>+J28+Tabla69[[#This Row],[DEBE]]-Tabla69[[#This Row],[HABER]]</f>
        <v>67582586.390000045</v>
      </c>
      <c r="K29" s="156" t="s">
        <v>871</v>
      </c>
      <c r="L29" s="157" t="s">
        <v>598</v>
      </c>
      <c r="M29" s="157"/>
    </row>
    <row r="30" spans="2:16" x14ac:dyDescent="0.35">
      <c r="B30" s="165">
        <v>46031</v>
      </c>
      <c r="C30" s="166">
        <v>46031</v>
      </c>
      <c r="D30" s="167" t="s">
        <v>184</v>
      </c>
      <c r="E30" s="168">
        <v>8</v>
      </c>
      <c r="F30" s="167" t="s">
        <v>876</v>
      </c>
      <c r="G30" s="167" t="s">
        <v>190</v>
      </c>
      <c r="H30" s="169">
        <v>0</v>
      </c>
      <c r="I30" s="169">
        <v>-657800</v>
      </c>
      <c r="J30" s="155">
        <f>+J29+Tabla69[[#This Row],[DEBE]]-Tabla69[[#This Row],[HABER]]</f>
        <v>68240386.390000045</v>
      </c>
      <c r="K30" s="156" t="s">
        <v>871</v>
      </c>
      <c r="L30" s="157" t="s">
        <v>598</v>
      </c>
      <c r="M30" s="157"/>
    </row>
    <row r="31" spans="2:16" x14ac:dyDescent="0.35">
      <c r="B31" s="145">
        <v>46031</v>
      </c>
      <c r="C31" s="146">
        <v>46030</v>
      </c>
      <c r="D31" s="138" t="s">
        <v>874</v>
      </c>
      <c r="E31" s="148">
        <v>8</v>
      </c>
      <c r="F31" s="147" t="s">
        <v>197</v>
      </c>
      <c r="G31" s="147" t="s">
        <v>1470</v>
      </c>
      <c r="H31" s="149">
        <v>457786000</v>
      </c>
      <c r="I31" s="149">
        <v>0</v>
      </c>
      <c r="J31" s="141">
        <f>+J30+Tabla69[[#This Row],[DEBE]]-Tabla69[[#This Row],[HABER]]</f>
        <v>526026386.39000005</v>
      </c>
      <c r="K31" s="142" t="s">
        <v>872</v>
      </c>
      <c r="L31" s="176" t="s">
        <v>1472</v>
      </c>
      <c r="M31" s="143" t="s">
        <v>89</v>
      </c>
    </row>
    <row r="32" spans="2:16" x14ac:dyDescent="0.35">
      <c r="B32" s="165">
        <v>46031</v>
      </c>
      <c r="C32" s="166">
        <v>46031</v>
      </c>
      <c r="D32" s="167" t="s">
        <v>184</v>
      </c>
      <c r="E32" s="168">
        <v>9</v>
      </c>
      <c r="F32" s="167" t="s">
        <v>877</v>
      </c>
      <c r="G32" s="167" t="s">
        <v>191</v>
      </c>
      <c r="H32" s="169">
        <v>0</v>
      </c>
      <c r="I32" s="169">
        <v>480000</v>
      </c>
      <c r="J32" s="155">
        <f>+J31+Tabla69[[#This Row],[DEBE]]-Tabla69[[#This Row],[HABER]]</f>
        <v>525546386.39000005</v>
      </c>
      <c r="K32" s="156" t="s">
        <v>871</v>
      </c>
      <c r="L32" s="157" t="s">
        <v>599</v>
      </c>
      <c r="M32" s="157"/>
    </row>
    <row r="33" spans="2:13" x14ac:dyDescent="0.35">
      <c r="B33" s="145">
        <v>46031</v>
      </c>
      <c r="C33" s="146">
        <v>46030</v>
      </c>
      <c r="D33" s="138" t="s">
        <v>874</v>
      </c>
      <c r="E33" s="148">
        <v>9</v>
      </c>
      <c r="F33" s="147" t="s">
        <v>197</v>
      </c>
      <c r="G33" s="147" t="s">
        <v>1471</v>
      </c>
      <c r="H33" s="149">
        <v>80905000</v>
      </c>
      <c r="I33" s="149">
        <v>0</v>
      </c>
      <c r="J33" s="141">
        <f>+J32+Tabla69[[#This Row],[DEBE]]-Tabla69[[#This Row],[HABER]]</f>
        <v>606451386.3900001</v>
      </c>
      <c r="K33" s="142" t="s">
        <v>872</v>
      </c>
      <c r="L33" s="176" t="s">
        <v>1473</v>
      </c>
      <c r="M33" s="143" t="s">
        <v>89</v>
      </c>
    </row>
    <row r="34" spans="2:13" x14ac:dyDescent="0.35">
      <c r="B34" s="165">
        <v>46031</v>
      </c>
      <c r="C34" s="166">
        <v>46031</v>
      </c>
      <c r="D34" s="167" t="s">
        <v>184</v>
      </c>
      <c r="E34" s="168">
        <v>9</v>
      </c>
      <c r="F34" s="167" t="s">
        <v>877</v>
      </c>
      <c r="G34" s="167" t="s">
        <v>191</v>
      </c>
      <c r="H34" s="169">
        <v>0</v>
      </c>
      <c r="I34" s="169">
        <v>-480000</v>
      </c>
      <c r="J34" s="155">
        <f>+J33+Tabla69[[#This Row],[DEBE]]-Tabla69[[#This Row],[HABER]]</f>
        <v>606931386.3900001</v>
      </c>
      <c r="K34" s="156" t="s">
        <v>871</v>
      </c>
      <c r="L34" s="157" t="s">
        <v>599</v>
      </c>
      <c r="M34" s="157"/>
    </row>
    <row r="35" spans="2:13" x14ac:dyDescent="0.35">
      <c r="B35" s="145">
        <v>46034</v>
      </c>
      <c r="C35" s="146">
        <v>46031</v>
      </c>
      <c r="D35" s="147" t="s">
        <v>185</v>
      </c>
      <c r="E35" s="148">
        <v>5</v>
      </c>
      <c r="F35" s="147" t="s">
        <v>198</v>
      </c>
      <c r="G35" s="147" t="s">
        <v>199</v>
      </c>
      <c r="H35" s="149">
        <v>0</v>
      </c>
      <c r="I35" s="149">
        <v>1000000000</v>
      </c>
      <c r="J35" s="141">
        <f>+J34+Tabla69[[#This Row],[DEBE]]-Tabla69[[#This Row],[HABER]]</f>
        <v>-393068613.6099999</v>
      </c>
      <c r="K35" s="142" t="s">
        <v>872</v>
      </c>
      <c r="L35" s="143" t="s">
        <v>605</v>
      </c>
      <c r="M35" s="143" t="s">
        <v>83</v>
      </c>
    </row>
    <row r="36" spans="2:13" x14ac:dyDescent="0.35">
      <c r="B36" s="145">
        <v>46034</v>
      </c>
      <c r="C36" s="146">
        <v>46031</v>
      </c>
      <c r="D36" s="138" t="s">
        <v>874</v>
      </c>
      <c r="E36" s="148">
        <v>12</v>
      </c>
      <c r="F36" s="147" t="s">
        <v>197</v>
      </c>
      <c r="G36" s="147" t="s">
        <v>1470</v>
      </c>
      <c r="H36" s="149">
        <v>457786000</v>
      </c>
      <c r="I36" s="149">
        <v>0</v>
      </c>
      <c r="J36" s="141">
        <f>+J35+Tabla69[[#This Row],[DEBE]]-Tabla69[[#This Row],[HABER]]</f>
        <v>64717386.390000105</v>
      </c>
      <c r="K36" s="142" t="s">
        <v>872</v>
      </c>
      <c r="L36" s="176" t="s">
        <v>1472</v>
      </c>
      <c r="M36" s="143" t="s">
        <v>89</v>
      </c>
    </row>
    <row r="37" spans="2:13" x14ac:dyDescent="0.35">
      <c r="B37" s="145">
        <v>46034</v>
      </c>
      <c r="C37" s="146">
        <v>46031</v>
      </c>
      <c r="D37" s="138" t="s">
        <v>874</v>
      </c>
      <c r="E37" s="148">
        <v>13</v>
      </c>
      <c r="F37" s="147" t="s">
        <v>197</v>
      </c>
      <c r="G37" s="147" t="s">
        <v>1471</v>
      </c>
      <c r="H37" s="149">
        <v>80905000</v>
      </c>
      <c r="I37" s="149">
        <v>0</v>
      </c>
      <c r="J37" s="141">
        <f>+J36+Tabla69[[#This Row],[DEBE]]-Tabla69[[#This Row],[HABER]]</f>
        <v>145622386.3900001</v>
      </c>
      <c r="K37" s="142" t="s">
        <v>872</v>
      </c>
      <c r="L37" s="176" t="s">
        <v>1473</v>
      </c>
      <c r="M37" s="143" t="s">
        <v>89</v>
      </c>
    </row>
    <row r="38" spans="2:13" x14ac:dyDescent="0.35">
      <c r="B38" s="145">
        <v>46034</v>
      </c>
      <c r="C38" s="146">
        <v>46034</v>
      </c>
      <c r="D38" s="138" t="s">
        <v>874</v>
      </c>
      <c r="E38" s="148">
        <v>20</v>
      </c>
      <c r="F38" s="147" t="s">
        <v>197</v>
      </c>
      <c r="G38" s="147" t="s">
        <v>1470</v>
      </c>
      <c r="H38" s="149">
        <v>457786000</v>
      </c>
      <c r="I38" s="149">
        <v>0</v>
      </c>
      <c r="J38" s="141">
        <f>+J37+Tabla69[[#This Row],[DEBE]]-Tabla69[[#This Row],[HABER]]</f>
        <v>603408386.3900001</v>
      </c>
      <c r="K38" s="142" t="s">
        <v>872</v>
      </c>
      <c r="L38" s="176" t="s">
        <v>1472</v>
      </c>
      <c r="M38" s="143" t="s">
        <v>89</v>
      </c>
    </row>
    <row r="39" spans="2:13" x14ac:dyDescent="0.35">
      <c r="B39" s="145">
        <v>46034</v>
      </c>
      <c r="C39" s="146">
        <v>46034</v>
      </c>
      <c r="D39" s="138" t="s">
        <v>874</v>
      </c>
      <c r="E39" s="148">
        <v>21</v>
      </c>
      <c r="F39" s="147" t="s">
        <v>197</v>
      </c>
      <c r="G39" s="147" t="s">
        <v>1471</v>
      </c>
      <c r="H39" s="149">
        <v>80905000</v>
      </c>
      <c r="I39" s="149">
        <v>0</v>
      </c>
      <c r="J39" s="141">
        <f>+J38+Tabla69[[#This Row],[DEBE]]-Tabla69[[#This Row],[HABER]]</f>
        <v>684313386.3900001</v>
      </c>
      <c r="K39" s="142" t="s">
        <v>872</v>
      </c>
      <c r="L39" s="176" t="s">
        <v>1473</v>
      </c>
      <c r="M39" s="143" t="s">
        <v>89</v>
      </c>
    </row>
    <row r="40" spans="2:13" x14ac:dyDescent="0.35">
      <c r="B40" s="145">
        <v>46035</v>
      </c>
      <c r="C40" s="146">
        <v>46034</v>
      </c>
      <c r="D40" s="147" t="s">
        <v>185</v>
      </c>
      <c r="E40" s="148">
        <v>7</v>
      </c>
      <c r="F40" s="147" t="s">
        <v>198</v>
      </c>
      <c r="G40" s="147" t="s">
        <v>200</v>
      </c>
      <c r="H40" s="149">
        <v>0</v>
      </c>
      <c r="I40" s="149">
        <v>600000000</v>
      </c>
      <c r="J40" s="141">
        <f>+J39+Tabla69[[#This Row],[DEBE]]-Tabla69[[#This Row],[HABER]]</f>
        <v>84313386.390000105</v>
      </c>
      <c r="K40" s="142" t="s">
        <v>872</v>
      </c>
      <c r="L40" s="143" t="s">
        <v>606</v>
      </c>
      <c r="M40" s="143" t="s">
        <v>83</v>
      </c>
    </row>
    <row r="41" spans="2:13" x14ac:dyDescent="0.35">
      <c r="B41" s="145">
        <v>46035</v>
      </c>
      <c r="C41" s="146">
        <v>46035</v>
      </c>
      <c r="D41" s="147" t="s">
        <v>184</v>
      </c>
      <c r="E41" s="148">
        <v>11</v>
      </c>
      <c r="F41" s="147" t="s">
        <v>879</v>
      </c>
      <c r="G41" s="147" t="s">
        <v>193</v>
      </c>
      <c r="H41" s="149">
        <v>0</v>
      </c>
      <c r="I41" s="149">
        <v>1800000</v>
      </c>
      <c r="J41" s="141">
        <f>+J40+Tabla69[[#This Row],[DEBE]]-Tabla69[[#This Row],[HABER]]</f>
        <v>82513386.390000105</v>
      </c>
      <c r="K41" s="142" t="s">
        <v>872</v>
      </c>
      <c r="L41" s="143" t="s">
        <v>601</v>
      </c>
      <c r="M41" s="143" t="s">
        <v>1505</v>
      </c>
    </row>
    <row r="42" spans="2:13" x14ac:dyDescent="0.35">
      <c r="B42" s="145">
        <v>46035</v>
      </c>
      <c r="C42" s="146">
        <v>46035</v>
      </c>
      <c r="D42" s="147" t="s">
        <v>184</v>
      </c>
      <c r="E42" s="148">
        <v>12</v>
      </c>
      <c r="F42" s="147" t="s">
        <v>878</v>
      </c>
      <c r="G42" s="147" t="s">
        <v>192</v>
      </c>
      <c r="H42" s="149">
        <v>0</v>
      </c>
      <c r="I42" s="149">
        <v>240000</v>
      </c>
      <c r="J42" s="141">
        <f>+J41+Tabla69[[#This Row],[DEBE]]-Tabla69[[#This Row],[HABER]]</f>
        <v>82273386.390000105</v>
      </c>
      <c r="K42" s="142" t="s">
        <v>872</v>
      </c>
      <c r="L42" s="143" t="s">
        <v>600</v>
      </c>
      <c r="M42" s="143" t="s">
        <v>1505</v>
      </c>
    </row>
    <row r="43" spans="2:13" x14ac:dyDescent="0.35">
      <c r="B43" s="165">
        <v>46035</v>
      </c>
      <c r="C43" s="166">
        <v>46035</v>
      </c>
      <c r="D43" s="167" t="s">
        <v>184</v>
      </c>
      <c r="E43" s="168">
        <v>13</v>
      </c>
      <c r="F43" s="167" t="s">
        <v>877</v>
      </c>
      <c r="G43" s="167" t="s">
        <v>191</v>
      </c>
      <c r="H43" s="169">
        <v>0</v>
      </c>
      <c r="I43" s="169">
        <v>-480000</v>
      </c>
      <c r="J43" s="155">
        <f>+J42+Tabla69[[#This Row],[DEBE]]-Tabla69[[#This Row],[HABER]]</f>
        <v>82753386.390000105</v>
      </c>
      <c r="K43" s="156" t="s">
        <v>871</v>
      </c>
      <c r="L43" s="157" t="s">
        <v>599</v>
      </c>
      <c r="M43" s="157"/>
    </row>
    <row r="44" spans="2:13" x14ac:dyDescent="0.35">
      <c r="B44" s="165">
        <v>46035</v>
      </c>
      <c r="C44" s="166">
        <v>46035</v>
      </c>
      <c r="D44" s="167" t="s">
        <v>184</v>
      </c>
      <c r="E44" s="168">
        <v>13</v>
      </c>
      <c r="F44" s="167" t="s">
        <v>877</v>
      </c>
      <c r="G44" s="167" t="s">
        <v>191</v>
      </c>
      <c r="H44" s="169">
        <v>0</v>
      </c>
      <c r="I44" s="169">
        <v>480000</v>
      </c>
      <c r="J44" s="155">
        <f>+J43+Tabla69[[#This Row],[DEBE]]-Tabla69[[#This Row],[HABER]]</f>
        <v>82273386.390000105</v>
      </c>
      <c r="K44" s="156" t="s">
        <v>871</v>
      </c>
      <c r="L44" s="157" t="s">
        <v>599</v>
      </c>
      <c r="M44" s="157"/>
    </row>
    <row r="45" spans="2:13" x14ac:dyDescent="0.35">
      <c r="B45" s="165">
        <v>46035</v>
      </c>
      <c r="C45" s="166">
        <v>46035</v>
      </c>
      <c r="D45" s="167" t="s">
        <v>184</v>
      </c>
      <c r="E45" s="168">
        <v>14</v>
      </c>
      <c r="F45" s="167" t="s">
        <v>876</v>
      </c>
      <c r="G45" s="167" t="s">
        <v>190</v>
      </c>
      <c r="H45" s="169">
        <v>0</v>
      </c>
      <c r="I45" s="169">
        <v>-657800</v>
      </c>
      <c r="J45" s="155">
        <f>+J44+Tabla69[[#This Row],[DEBE]]-Tabla69[[#This Row],[HABER]]</f>
        <v>82931186.390000105</v>
      </c>
      <c r="K45" s="156" t="s">
        <v>871</v>
      </c>
      <c r="L45" s="157" t="s">
        <v>598</v>
      </c>
      <c r="M45" s="157"/>
    </row>
    <row r="46" spans="2:13" x14ac:dyDescent="0.35">
      <c r="B46" s="165">
        <v>46035</v>
      </c>
      <c r="C46" s="166">
        <v>46035</v>
      </c>
      <c r="D46" s="167" t="s">
        <v>184</v>
      </c>
      <c r="E46" s="168">
        <v>14</v>
      </c>
      <c r="F46" s="167" t="s">
        <v>876</v>
      </c>
      <c r="G46" s="167" t="s">
        <v>190</v>
      </c>
      <c r="H46" s="169">
        <v>0</v>
      </c>
      <c r="I46" s="169">
        <v>657800</v>
      </c>
      <c r="J46" s="155">
        <f>+J45+Tabla69[[#This Row],[DEBE]]-Tabla69[[#This Row],[HABER]]</f>
        <v>82273386.390000105</v>
      </c>
      <c r="K46" s="156" t="s">
        <v>871</v>
      </c>
      <c r="L46" s="157" t="s">
        <v>598</v>
      </c>
      <c r="M46" s="157"/>
    </row>
    <row r="47" spans="2:13" x14ac:dyDescent="0.35">
      <c r="B47" s="145">
        <v>46035</v>
      </c>
      <c r="C47" s="146">
        <v>46035</v>
      </c>
      <c r="D47" s="147" t="s">
        <v>184</v>
      </c>
      <c r="E47" s="148">
        <v>15</v>
      </c>
      <c r="F47" s="147" t="s">
        <v>877</v>
      </c>
      <c r="G47" s="147" t="s">
        <v>191</v>
      </c>
      <c r="H47" s="149">
        <v>0</v>
      </c>
      <c r="I47" s="149">
        <v>480000</v>
      </c>
      <c r="J47" s="141">
        <f>+J46+Tabla69[[#This Row],[DEBE]]-Tabla69[[#This Row],[HABER]]</f>
        <v>81793386.390000105</v>
      </c>
      <c r="K47" s="142" t="s">
        <v>872</v>
      </c>
      <c r="L47" s="143" t="s">
        <v>599</v>
      </c>
      <c r="M47" s="143" t="s">
        <v>1505</v>
      </c>
    </row>
    <row r="48" spans="2:13" x14ac:dyDescent="0.35">
      <c r="B48" s="145">
        <v>46035</v>
      </c>
      <c r="C48" s="146">
        <v>46035</v>
      </c>
      <c r="D48" s="147" t="s">
        <v>184</v>
      </c>
      <c r="E48" s="148">
        <v>16</v>
      </c>
      <c r="F48" s="147" t="s">
        <v>876</v>
      </c>
      <c r="G48" s="147" t="s">
        <v>190</v>
      </c>
      <c r="H48" s="149">
        <v>0</v>
      </c>
      <c r="I48" s="149">
        <v>657800</v>
      </c>
      <c r="J48" s="141">
        <f>+J47+Tabla69[[#This Row],[DEBE]]-Tabla69[[#This Row],[HABER]]</f>
        <v>81135586.390000105</v>
      </c>
      <c r="K48" s="142" t="s">
        <v>872</v>
      </c>
      <c r="L48" s="143" t="s">
        <v>598</v>
      </c>
      <c r="M48" s="143" t="s">
        <v>1505</v>
      </c>
    </row>
    <row r="49" spans="2:13" x14ac:dyDescent="0.35">
      <c r="B49" s="145">
        <v>46035</v>
      </c>
      <c r="C49" s="146">
        <v>46035</v>
      </c>
      <c r="D49" s="147" t="s">
        <v>184</v>
      </c>
      <c r="E49" s="148">
        <v>17</v>
      </c>
      <c r="F49" s="147" t="s">
        <v>880</v>
      </c>
      <c r="G49" s="147" t="s">
        <v>201</v>
      </c>
      <c r="H49" s="149">
        <v>0</v>
      </c>
      <c r="I49" s="149">
        <v>4560000</v>
      </c>
      <c r="J49" s="141">
        <f>+J48+Tabla69[[#This Row],[DEBE]]-Tabla69[[#This Row],[HABER]]</f>
        <v>76575586.390000105</v>
      </c>
      <c r="K49" s="142" t="s">
        <v>872</v>
      </c>
      <c r="L49" s="143" t="s">
        <v>607</v>
      </c>
      <c r="M49" s="143" t="s">
        <v>1505</v>
      </c>
    </row>
    <row r="50" spans="2:13" x14ac:dyDescent="0.35">
      <c r="B50" s="145">
        <v>46035</v>
      </c>
      <c r="C50" s="146">
        <v>46035</v>
      </c>
      <c r="D50" s="147" t="s">
        <v>184</v>
      </c>
      <c r="E50" s="148">
        <v>18</v>
      </c>
      <c r="F50" s="147" t="s">
        <v>881</v>
      </c>
      <c r="G50" s="147" t="s">
        <v>202</v>
      </c>
      <c r="H50" s="149">
        <v>0</v>
      </c>
      <c r="I50" s="149">
        <v>9000000</v>
      </c>
      <c r="J50" s="141">
        <f>+J49+Tabla69[[#This Row],[DEBE]]-Tabla69[[#This Row],[HABER]]</f>
        <v>67575586.390000105</v>
      </c>
      <c r="K50" s="142" t="s">
        <v>872</v>
      </c>
      <c r="L50" s="143" t="s">
        <v>608</v>
      </c>
      <c r="M50" s="143" t="s">
        <v>1505</v>
      </c>
    </row>
    <row r="51" spans="2:13" x14ac:dyDescent="0.35">
      <c r="B51" s="145">
        <v>46035</v>
      </c>
      <c r="C51" s="146">
        <v>46035</v>
      </c>
      <c r="D51" s="147" t="s">
        <v>184</v>
      </c>
      <c r="E51" s="148">
        <v>19</v>
      </c>
      <c r="F51" s="147" t="s">
        <v>882</v>
      </c>
      <c r="G51" s="147" t="s">
        <v>203</v>
      </c>
      <c r="H51" s="149">
        <v>0</v>
      </c>
      <c r="I51" s="149">
        <v>15000000</v>
      </c>
      <c r="J51" s="141">
        <f>+J50+Tabla69[[#This Row],[DEBE]]-Tabla69[[#This Row],[HABER]]</f>
        <v>52575586.390000105</v>
      </c>
      <c r="K51" s="142" t="s">
        <v>872</v>
      </c>
      <c r="L51" s="143" t="s">
        <v>609</v>
      </c>
      <c r="M51" s="143" t="s">
        <v>1505</v>
      </c>
    </row>
    <row r="52" spans="2:13" x14ac:dyDescent="0.35">
      <c r="B52" s="165">
        <v>46035</v>
      </c>
      <c r="C52" s="166">
        <v>46035</v>
      </c>
      <c r="D52" s="167" t="s">
        <v>184</v>
      </c>
      <c r="E52" s="168">
        <v>20</v>
      </c>
      <c r="F52" s="167" t="s">
        <v>883</v>
      </c>
      <c r="G52" s="167" t="s">
        <v>204</v>
      </c>
      <c r="H52" s="169">
        <v>0</v>
      </c>
      <c r="I52" s="169">
        <v>600000</v>
      </c>
      <c r="J52" s="155">
        <f>+J51+Tabla69[[#This Row],[DEBE]]-Tabla69[[#This Row],[HABER]]</f>
        <v>51975586.390000105</v>
      </c>
      <c r="K52" s="156" t="s">
        <v>871</v>
      </c>
      <c r="L52" s="157" t="s">
        <v>610</v>
      </c>
      <c r="M52" s="157"/>
    </row>
    <row r="53" spans="2:13" x14ac:dyDescent="0.35">
      <c r="B53" s="165">
        <v>46035</v>
      </c>
      <c r="C53" s="166">
        <v>46035</v>
      </c>
      <c r="D53" s="167" t="s">
        <v>184</v>
      </c>
      <c r="E53" s="168">
        <v>20</v>
      </c>
      <c r="F53" s="167" t="s">
        <v>883</v>
      </c>
      <c r="G53" s="167" t="s">
        <v>204</v>
      </c>
      <c r="H53" s="169">
        <v>0</v>
      </c>
      <c r="I53" s="169">
        <v>-600000</v>
      </c>
      <c r="J53" s="155">
        <f>+J52+Tabla69[[#This Row],[DEBE]]-Tabla69[[#This Row],[HABER]]</f>
        <v>52575586.390000105</v>
      </c>
      <c r="K53" s="156" t="s">
        <v>871</v>
      </c>
      <c r="L53" s="157" t="s">
        <v>610</v>
      </c>
      <c r="M53" s="157"/>
    </row>
    <row r="54" spans="2:13" x14ac:dyDescent="0.35">
      <c r="B54" s="145">
        <v>46035</v>
      </c>
      <c r="C54" s="146">
        <v>46035</v>
      </c>
      <c r="D54" s="147" t="s">
        <v>184</v>
      </c>
      <c r="E54" s="148">
        <v>21</v>
      </c>
      <c r="F54" s="147" t="s">
        <v>884</v>
      </c>
      <c r="G54" s="147" t="s">
        <v>205</v>
      </c>
      <c r="H54" s="149">
        <v>0</v>
      </c>
      <c r="I54" s="149">
        <v>120000</v>
      </c>
      <c r="J54" s="141">
        <f>+J53+Tabla69[[#This Row],[DEBE]]-Tabla69[[#This Row],[HABER]]</f>
        <v>52455586.390000105</v>
      </c>
      <c r="K54" s="142" t="s">
        <v>872</v>
      </c>
      <c r="L54" s="143" t="s">
        <v>611</v>
      </c>
      <c r="M54" s="143" t="s">
        <v>1505</v>
      </c>
    </row>
    <row r="55" spans="2:13" x14ac:dyDescent="0.35">
      <c r="B55" s="165">
        <v>46035</v>
      </c>
      <c r="C55" s="166">
        <v>46035</v>
      </c>
      <c r="D55" s="167" t="s">
        <v>184</v>
      </c>
      <c r="E55" s="168">
        <v>22</v>
      </c>
      <c r="F55" s="167" t="s">
        <v>885</v>
      </c>
      <c r="G55" s="167" t="s">
        <v>206</v>
      </c>
      <c r="H55" s="169">
        <v>0</v>
      </c>
      <c r="I55" s="169">
        <v>390000</v>
      </c>
      <c r="J55" s="155">
        <f>+J54+Tabla69[[#This Row],[DEBE]]-Tabla69[[#This Row],[HABER]]</f>
        <v>52065586.390000105</v>
      </c>
      <c r="K55" s="156" t="s">
        <v>871</v>
      </c>
      <c r="L55" s="157" t="s">
        <v>612</v>
      </c>
      <c r="M55" s="157"/>
    </row>
    <row r="56" spans="2:13" x14ac:dyDescent="0.35">
      <c r="B56" s="165">
        <v>46035</v>
      </c>
      <c r="C56" s="166">
        <v>46035</v>
      </c>
      <c r="D56" s="167" t="s">
        <v>184</v>
      </c>
      <c r="E56" s="168">
        <v>22</v>
      </c>
      <c r="F56" s="167" t="s">
        <v>885</v>
      </c>
      <c r="G56" s="167" t="s">
        <v>206</v>
      </c>
      <c r="H56" s="169">
        <v>0</v>
      </c>
      <c r="I56" s="169">
        <v>-390000</v>
      </c>
      <c r="J56" s="155">
        <f>+J55+Tabla69[[#This Row],[DEBE]]-Tabla69[[#This Row],[HABER]]</f>
        <v>52455586.390000105</v>
      </c>
      <c r="K56" s="156" t="s">
        <v>871</v>
      </c>
      <c r="L56" s="157" t="s">
        <v>612</v>
      </c>
      <c r="M56" s="157"/>
    </row>
    <row r="57" spans="2:13" x14ac:dyDescent="0.35">
      <c r="B57" s="165">
        <v>46035</v>
      </c>
      <c r="C57" s="166">
        <v>46035</v>
      </c>
      <c r="D57" s="167" t="s">
        <v>184</v>
      </c>
      <c r="E57" s="168">
        <v>23</v>
      </c>
      <c r="F57" s="167" t="s">
        <v>886</v>
      </c>
      <c r="G57" s="167" t="s">
        <v>207</v>
      </c>
      <c r="H57" s="169">
        <v>0</v>
      </c>
      <c r="I57" s="169">
        <v>-2600000</v>
      </c>
      <c r="J57" s="155">
        <f>+J56+Tabla69[[#This Row],[DEBE]]-Tabla69[[#This Row],[HABER]]</f>
        <v>55055586.390000105</v>
      </c>
      <c r="K57" s="156" t="s">
        <v>871</v>
      </c>
      <c r="L57" s="157" t="s">
        <v>613</v>
      </c>
      <c r="M57" s="157"/>
    </row>
    <row r="58" spans="2:13" x14ac:dyDescent="0.35">
      <c r="B58" s="165">
        <v>46035</v>
      </c>
      <c r="C58" s="166">
        <v>46035</v>
      </c>
      <c r="D58" s="167" t="s">
        <v>184</v>
      </c>
      <c r="E58" s="168">
        <v>23</v>
      </c>
      <c r="F58" s="167" t="s">
        <v>886</v>
      </c>
      <c r="G58" s="167" t="s">
        <v>207</v>
      </c>
      <c r="H58" s="169">
        <v>0</v>
      </c>
      <c r="I58" s="169">
        <v>2600000</v>
      </c>
      <c r="J58" s="155">
        <f>+J57+Tabla69[[#This Row],[DEBE]]-Tabla69[[#This Row],[HABER]]</f>
        <v>52455586.390000105</v>
      </c>
      <c r="K58" s="156" t="s">
        <v>871</v>
      </c>
      <c r="L58" s="157" t="s">
        <v>613</v>
      </c>
      <c r="M58" s="157"/>
    </row>
    <row r="59" spans="2:13" x14ac:dyDescent="0.35">
      <c r="B59" s="165">
        <v>46035</v>
      </c>
      <c r="C59" s="166">
        <v>46035</v>
      </c>
      <c r="D59" s="167" t="s">
        <v>184</v>
      </c>
      <c r="E59" s="168">
        <v>24</v>
      </c>
      <c r="F59" s="167" t="s">
        <v>883</v>
      </c>
      <c r="G59" s="167" t="s">
        <v>204</v>
      </c>
      <c r="H59" s="169">
        <v>0</v>
      </c>
      <c r="I59" s="169">
        <v>-600000</v>
      </c>
      <c r="J59" s="155">
        <f>+J58+Tabla69[[#This Row],[DEBE]]-Tabla69[[#This Row],[HABER]]</f>
        <v>53055586.390000105</v>
      </c>
      <c r="K59" s="156" t="s">
        <v>871</v>
      </c>
      <c r="L59" s="157" t="s">
        <v>610</v>
      </c>
      <c r="M59" s="157"/>
    </row>
    <row r="60" spans="2:13" x14ac:dyDescent="0.35">
      <c r="B60" s="165">
        <v>46035</v>
      </c>
      <c r="C60" s="166">
        <v>46035</v>
      </c>
      <c r="D60" s="167" t="s">
        <v>184</v>
      </c>
      <c r="E60" s="168">
        <v>24</v>
      </c>
      <c r="F60" s="167" t="s">
        <v>883</v>
      </c>
      <c r="G60" s="167" t="s">
        <v>204</v>
      </c>
      <c r="H60" s="169">
        <v>0</v>
      </c>
      <c r="I60" s="169">
        <v>600000</v>
      </c>
      <c r="J60" s="155">
        <f>+J59+Tabla69[[#This Row],[DEBE]]-Tabla69[[#This Row],[HABER]]</f>
        <v>52455586.390000105</v>
      </c>
      <c r="K60" s="156" t="s">
        <v>871</v>
      </c>
      <c r="L60" s="157" t="s">
        <v>610</v>
      </c>
      <c r="M60" s="157"/>
    </row>
    <row r="61" spans="2:13" x14ac:dyDescent="0.35">
      <c r="B61" s="145">
        <v>46035</v>
      </c>
      <c r="C61" s="146">
        <v>46035</v>
      </c>
      <c r="D61" s="147" t="s">
        <v>184</v>
      </c>
      <c r="E61" s="148">
        <v>25</v>
      </c>
      <c r="F61" s="147" t="s">
        <v>883</v>
      </c>
      <c r="G61" s="147" t="s">
        <v>204</v>
      </c>
      <c r="H61" s="149">
        <v>0</v>
      </c>
      <c r="I61" s="149">
        <v>600000</v>
      </c>
      <c r="J61" s="141">
        <f>+J60+Tabla69[[#This Row],[DEBE]]-Tabla69[[#This Row],[HABER]]</f>
        <v>51855586.390000105</v>
      </c>
      <c r="K61" s="142" t="s">
        <v>872</v>
      </c>
      <c r="L61" s="143" t="s">
        <v>610</v>
      </c>
      <c r="M61" s="143" t="s">
        <v>1505</v>
      </c>
    </row>
    <row r="62" spans="2:13" x14ac:dyDescent="0.35">
      <c r="B62" s="145">
        <v>46035</v>
      </c>
      <c r="C62" s="146">
        <v>46035</v>
      </c>
      <c r="D62" s="147" t="s">
        <v>184</v>
      </c>
      <c r="E62" s="148">
        <v>26</v>
      </c>
      <c r="F62" s="147" t="s">
        <v>885</v>
      </c>
      <c r="G62" s="147" t="s">
        <v>206</v>
      </c>
      <c r="H62" s="149">
        <v>0</v>
      </c>
      <c r="I62" s="149">
        <v>390000</v>
      </c>
      <c r="J62" s="141">
        <f>+J61+Tabla69[[#This Row],[DEBE]]-Tabla69[[#This Row],[HABER]]</f>
        <v>51465586.390000105</v>
      </c>
      <c r="K62" s="142" t="s">
        <v>872</v>
      </c>
      <c r="L62" s="143" t="s">
        <v>612</v>
      </c>
      <c r="M62" s="143" t="s">
        <v>1505</v>
      </c>
    </row>
    <row r="63" spans="2:13" x14ac:dyDescent="0.35">
      <c r="B63" s="145">
        <v>46035</v>
      </c>
      <c r="C63" s="146">
        <v>46035</v>
      </c>
      <c r="D63" s="147" t="s">
        <v>184</v>
      </c>
      <c r="E63" s="148">
        <v>27</v>
      </c>
      <c r="F63" s="147" t="s">
        <v>886</v>
      </c>
      <c r="G63" s="147" t="s">
        <v>207</v>
      </c>
      <c r="H63" s="149">
        <v>0</v>
      </c>
      <c r="I63" s="149">
        <v>2600000</v>
      </c>
      <c r="J63" s="141">
        <f>+J62+Tabla69[[#This Row],[DEBE]]-Tabla69[[#This Row],[HABER]]</f>
        <v>48865586.390000105</v>
      </c>
      <c r="K63" s="142" t="s">
        <v>872</v>
      </c>
      <c r="L63" s="143" t="s">
        <v>613</v>
      </c>
      <c r="M63" s="143" t="s">
        <v>1505</v>
      </c>
    </row>
    <row r="64" spans="2:13" x14ac:dyDescent="0.35">
      <c r="B64" s="145">
        <v>46036</v>
      </c>
      <c r="C64" s="146">
        <v>46036</v>
      </c>
      <c r="D64" s="147" t="s">
        <v>184</v>
      </c>
      <c r="E64" s="148">
        <v>28</v>
      </c>
      <c r="F64" s="147" t="s">
        <v>887</v>
      </c>
      <c r="G64" s="147" t="s">
        <v>208</v>
      </c>
      <c r="H64" s="149">
        <v>0</v>
      </c>
      <c r="I64" s="149">
        <v>1200000</v>
      </c>
      <c r="J64" s="141">
        <f>+J63+Tabla69[[#This Row],[DEBE]]-Tabla69[[#This Row],[HABER]]</f>
        <v>47665586.390000105</v>
      </c>
      <c r="K64" s="142" t="s">
        <v>872</v>
      </c>
      <c r="L64" s="143" t="s">
        <v>614</v>
      </c>
      <c r="M64" s="143" t="s">
        <v>1505</v>
      </c>
    </row>
    <row r="65" spans="2:13" x14ac:dyDescent="0.35">
      <c r="B65" s="145">
        <v>46036</v>
      </c>
      <c r="C65" s="146">
        <v>46036</v>
      </c>
      <c r="D65" s="147" t="s">
        <v>184</v>
      </c>
      <c r="E65" s="148">
        <v>29</v>
      </c>
      <c r="F65" s="147" t="s">
        <v>888</v>
      </c>
      <c r="G65" s="147" t="s">
        <v>209</v>
      </c>
      <c r="H65" s="149">
        <v>0</v>
      </c>
      <c r="I65" s="149">
        <v>103680</v>
      </c>
      <c r="J65" s="141">
        <f>+J64+Tabla69[[#This Row],[DEBE]]-Tabla69[[#This Row],[HABER]]</f>
        <v>47561906.390000105</v>
      </c>
      <c r="K65" s="142" t="s">
        <v>872</v>
      </c>
      <c r="L65" s="143" t="s">
        <v>615</v>
      </c>
      <c r="M65" s="143" t="s">
        <v>1505</v>
      </c>
    </row>
    <row r="66" spans="2:13" x14ac:dyDescent="0.35">
      <c r="B66" s="145">
        <v>46036</v>
      </c>
      <c r="C66" s="146">
        <v>46036</v>
      </c>
      <c r="D66" s="147" t="s">
        <v>184</v>
      </c>
      <c r="E66" s="148">
        <v>30</v>
      </c>
      <c r="F66" s="147" t="s">
        <v>889</v>
      </c>
      <c r="G66" s="147" t="s">
        <v>210</v>
      </c>
      <c r="H66" s="149">
        <v>0</v>
      </c>
      <c r="I66" s="149">
        <v>1300000</v>
      </c>
      <c r="J66" s="141">
        <f>+J65+Tabla69[[#This Row],[DEBE]]-Tabla69[[#This Row],[HABER]]</f>
        <v>46261906.390000105</v>
      </c>
      <c r="K66" s="142" t="s">
        <v>872</v>
      </c>
      <c r="L66" s="143" t="s">
        <v>616</v>
      </c>
      <c r="M66" s="143" t="s">
        <v>1505</v>
      </c>
    </row>
    <row r="67" spans="2:13" x14ac:dyDescent="0.35">
      <c r="B67" s="145">
        <v>46036</v>
      </c>
      <c r="C67" s="146">
        <v>46035</v>
      </c>
      <c r="D67" s="138" t="s">
        <v>874</v>
      </c>
      <c r="E67" s="148">
        <v>30</v>
      </c>
      <c r="F67" s="147" t="s">
        <v>197</v>
      </c>
      <c r="G67" s="147" t="s">
        <v>1470</v>
      </c>
      <c r="H67" s="149">
        <v>457786000</v>
      </c>
      <c r="I67" s="149">
        <v>0</v>
      </c>
      <c r="J67" s="141">
        <f>+J66+Tabla69[[#This Row],[DEBE]]-Tabla69[[#This Row],[HABER]]</f>
        <v>504047906.3900001</v>
      </c>
      <c r="K67" s="142" t="s">
        <v>872</v>
      </c>
      <c r="L67" s="176" t="s">
        <v>1472</v>
      </c>
      <c r="M67" s="143" t="s">
        <v>89</v>
      </c>
    </row>
    <row r="68" spans="2:13" x14ac:dyDescent="0.35">
      <c r="B68" s="145">
        <v>46036</v>
      </c>
      <c r="C68" s="146">
        <v>46035</v>
      </c>
      <c r="D68" s="138" t="s">
        <v>874</v>
      </c>
      <c r="E68" s="148">
        <v>31</v>
      </c>
      <c r="F68" s="147" t="s">
        <v>197</v>
      </c>
      <c r="G68" s="147" t="s">
        <v>1471</v>
      </c>
      <c r="H68" s="149">
        <v>80905000</v>
      </c>
      <c r="I68" s="149">
        <v>0</v>
      </c>
      <c r="J68" s="141">
        <f>+J67+Tabla69[[#This Row],[DEBE]]-Tabla69[[#This Row],[HABER]]</f>
        <v>584952906.3900001</v>
      </c>
      <c r="K68" s="142" t="s">
        <v>872</v>
      </c>
      <c r="L68" s="176" t="s">
        <v>1473</v>
      </c>
      <c r="M68" s="143" t="s">
        <v>89</v>
      </c>
    </row>
    <row r="69" spans="2:13" x14ac:dyDescent="0.35">
      <c r="B69" s="145">
        <v>46036</v>
      </c>
      <c r="C69" s="146">
        <v>46036</v>
      </c>
      <c r="D69" s="147" t="s">
        <v>184</v>
      </c>
      <c r="E69" s="148">
        <v>31</v>
      </c>
      <c r="F69" s="147" t="s">
        <v>890</v>
      </c>
      <c r="G69" s="147" t="s">
        <v>211</v>
      </c>
      <c r="H69" s="149">
        <v>0</v>
      </c>
      <c r="I69" s="149">
        <v>103400</v>
      </c>
      <c r="J69" s="141">
        <f>+J68+Tabla69[[#This Row],[DEBE]]-Tabla69[[#This Row],[HABER]]</f>
        <v>584849506.3900001</v>
      </c>
      <c r="K69" s="142" t="s">
        <v>872</v>
      </c>
      <c r="L69" s="143" t="s">
        <v>617</v>
      </c>
      <c r="M69" s="143" t="s">
        <v>1505</v>
      </c>
    </row>
    <row r="70" spans="2:13" x14ac:dyDescent="0.35">
      <c r="B70" s="145">
        <v>46036</v>
      </c>
      <c r="C70" s="146">
        <v>46036</v>
      </c>
      <c r="D70" s="147" t="s">
        <v>184</v>
      </c>
      <c r="E70" s="148">
        <v>32</v>
      </c>
      <c r="F70" s="147" t="s">
        <v>891</v>
      </c>
      <c r="G70" s="147" t="s">
        <v>212</v>
      </c>
      <c r="H70" s="149">
        <v>0</v>
      </c>
      <c r="I70" s="149">
        <v>4189264.16</v>
      </c>
      <c r="J70" s="141">
        <f>+J69+Tabla69[[#This Row],[DEBE]]-Tabla69[[#This Row],[HABER]]</f>
        <v>580660242.23000014</v>
      </c>
      <c r="K70" s="142" t="s">
        <v>872</v>
      </c>
      <c r="L70" s="143" t="s">
        <v>618</v>
      </c>
      <c r="M70" s="143" t="s">
        <v>1505</v>
      </c>
    </row>
    <row r="71" spans="2:13" x14ac:dyDescent="0.35">
      <c r="B71" s="145">
        <v>46036</v>
      </c>
      <c r="C71" s="146">
        <v>46036</v>
      </c>
      <c r="D71" s="147" t="s">
        <v>184</v>
      </c>
      <c r="E71" s="148">
        <v>33</v>
      </c>
      <c r="F71" s="147" t="s">
        <v>892</v>
      </c>
      <c r="G71" s="147" t="s">
        <v>213</v>
      </c>
      <c r="H71" s="149">
        <v>0</v>
      </c>
      <c r="I71" s="149">
        <v>117101.7</v>
      </c>
      <c r="J71" s="141">
        <f>+J70+Tabla69[[#This Row],[DEBE]]-Tabla69[[#This Row],[HABER]]</f>
        <v>580543140.53000009</v>
      </c>
      <c r="K71" s="142" t="s">
        <v>872</v>
      </c>
      <c r="L71" s="143" t="s">
        <v>619</v>
      </c>
      <c r="M71" s="143" t="s">
        <v>1505</v>
      </c>
    </row>
    <row r="72" spans="2:13" x14ac:dyDescent="0.35">
      <c r="B72" s="145">
        <v>46036</v>
      </c>
      <c r="C72" s="146">
        <v>46036</v>
      </c>
      <c r="D72" s="147" t="s">
        <v>184</v>
      </c>
      <c r="E72" s="148">
        <v>34</v>
      </c>
      <c r="F72" s="147" t="s">
        <v>893</v>
      </c>
      <c r="G72" s="147" t="s">
        <v>214</v>
      </c>
      <c r="H72" s="149">
        <v>0</v>
      </c>
      <c r="I72" s="149">
        <v>31107.96</v>
      </c>
      <c r="J72" s="141">
        <f>+J71+Tabla69[[#This Row],[DEBE]]-Tabla69[[#This Row],[HABER]]</f>
        <v>580512032.57000005</v>
      </c>
      <c r="K72" s="142" t="s">
        <v>872</v>
      </c>
      <c r="L72" s="143" t="s">
        <v>620</v>
      </c>
      <c r="M72" s="143" t="s">
        <v>1505</v>
      </c>
    </row>
    <row r="73" spans="2:13" x14ac:dyDescent="0.35">
      <c r="B73" s="145">
        <v>46036</v>
      </c>
      <c r="C73" s="146">
        <v>46036</v>
      </c>
      <c r="D73" s="147" t="s">
        <v>184</v>
      </c>
      <c r="E73" s="148">
        <v>35</v>
      </c>
      <c r="F73" s="147" t="s">
        <v>894</v>
      </c>
      <c r="G73" s="147" t="s">
        <v>215</v>
      </c>
      <c r="H73" s="149">
        <v>0</v>
      </c>
      <c r="I73" s="149">
        <v>300000</v>
      </c>
      <c r="J73" s="141">
        <f>+J72+Tabla69[[#This Row],[DEBE]]-Tabla69[[#This Row],[HABER]]</f>
        <v>580212032.57000005</v>
      </c>
      <c r="K73" s="142" t="s">
        <v>872</v>
      </c>
      <c r="L73" s="143" t="s">
        <v>621</v>
      </c>
      <c r="M73" s="143" t="s">
        <v>1505</v>
      </c>
    </row>
    <row r="74" spans="2:13" x14ac:dyDescent="0.35">
      <c r="B74" s="145">
        <v>46036</v>
      </c>
      <c r="C74" s="146">
        <v>46036</v>
      </c>
      <c r="D74" s="147" t="s">
        <v>184</v>
      </c>
      <c r="E74" s="148">
        <v>36</v>
      </c>
      <c r="F74" s="147" t="s">
        <v>895</v>
      </c>
      <c r="G74" s="147" t="s">
        <v>216</v>
      </c>
      <c r="H74" s="149">
        <v>0</v>
      </c>
      <c r="I74" s="149">
        <v>750000</v>
      </c>
      <c r="J74" s="141">
        <f>+J73+Tabla69[[#This Row],[DEBE]]-Tabla69[[#This Row],[HABER]]</f>
        <v>579462032.57000005</v>
      </c>
      <c r="K74" s="142" t="s">
        <v>872</v>
      </c>
      <c r="L74" s="143" t="s">
        <v>622</v>
      </c>
      <c r="M74" s="143" t="s">
        <v>1505</v>
      </c>
    </row>
    <row r="75" spans="2:13" x14ac:dyDescent="0.35">
      <c r="B75" s="145">
        <v>46036</v>
      </c>
      <c r="C75" s="146">
        <v>46036</v>
      </c>
      <c r="D75" s="147" t="s">
        <v>184</v>
      </c>
      <c r="E75" s="148">
        <v>37</v>
      </c>
      <c r="F75" s="147" t="s">
        <v>885</v>
      </c>
      <c r="G75" s="147" t="s">
        <v>217</v>
      </c>
      <c r="H75" s="149">
        <v>0</v>
      </c>
      <c r="I75" s="149">
        <v>600000</v>
      </c>
      <c r="J75" s="141">
        <f>+J74+Tabla69[[#This Row],[DEBE]]-Tabla69[[#This Row],[HABER]]</f>
        <v>578862032.57000005</v>
      </c>
      <c r="K75" s="142" t="s">
        <v>872</v>
      </c>
      <c r="L75" s="143" t="s">
        <v>623</v>
      </c>
      <c r="M75" s="143" t="s">
        <v>1505</v>
      </c>
    </row>
    <row r="76" spans="2:13" x14ac:dyDescent="0.35">
      <c r="B76" s="145">
        <v>46036</v>
      </c>
      <c r="C76" s="146">
        <v>46036</v>
      </c>
      <c r="D76" s="147" t="s">
        <v>184</v>
      </c>
      <c r="E76" s="148">
        <v>38</v>
      </c>
      <c r="F76" s="147" t="s">
        <v>889</v>
      </c>
      <c r="G76" s="147" t="s">
        <v>218</v>
      </c>
      <c r="H76" s="149">
        <v>0</v>
      </c>
      <c r="I76" s="149">
        <v>1500000</v>
      </c>
      <c r="J76" s="141">
        <f>+J75+Tabla69[[#This Row],[DEBE]]-Tabla69[[#This Row],[HABER]]</f>
        <v>577362032.57000005</v>
      </c>
      <c r="K76" s="142" t="s">
        <v>872</v>
      </c>
      <c r="L76" s="143" t="s">
        <v>624</v>
      </c>
      <c r="M76" s="143" t="s">
        <v>1505</v>
      </c>
    </row>
    <row r="77" spans="2:13" x14ac:dyDescent="0.35">
      <c r="B77" s="145">
        <v>46036</v>
      </c>
      <c r="C77" s="146">
        <v>46036</v>
      </c>
      <c r="D77" s="147" t="s">
        <v>184</v>
      </c>
      <c r="E77" s="148">
        <v>39</v>
      </c>
      <c r="F77" s="147" t="s">
        <v>896</v>
      </c>
      <c r="G77" s="147" t="s">
        <v>219</v>
      </c>
      <c r="H77" s="149">
        <v>0</v>
      </c>
      <c r="I77" s="149">
        <v>1699692.9</v>
      </c>
      <c r="J77" s="141">
        <f>+J76+Tabla69[[#This Row],[DEBE]]-Tabla69[[#This Row],[HABER]]</f>
        <v>575662339.67000008</v>
      </c>
      <c r="K77" s="142" t="s">
        <v>872</v>
      </c>
      <c r="L77" s="143" t="s">
        <v>625</v>
      </c>
      <c r="M77" s="143" t="s">
        <v>1505</v>
      </c>
    </row>
    <row r="78" spans="2:13" x14ac:dyDescent="0.35">
      <c r="B78" s="145">
        <v>46036</v>
      </c>
      <c r="C78" s="146">
        <v>46036</v>
      </c>
      <c r="D78" s="147" t="s">
        <v>184</v>
      </c>
      <c r="E78" s="148">
        <v>40</v>
      </c>
      <c r="F78" s="147" t="s">
        <v>897</v>
      </c>
      <c r="G78" s="147" t="s">
        <v>220</v>
      </c>
      <c r="H78" s="149">
        <v>0</v>
      </c>
      <c r="I78" s="149">
        <v>96768</v>
      </c>
      <c r="J78" s="141">
        <f>+J77+Tabla69[[#This Row],[DEBE]]-Tabla69[[#This Row],[HABER]]</f>
        <v>575565571.67000008</v>
      </c>
      <c r="K78" s="142" t="s">
        <v>872</v>
      </c>
      <c r="L78" s="143" t="s">
        <v>626</v>
      </c>
      <c r="M78" s="143" t="s">
        <v>1505</v>
      </c>
    </row>
    <row r="79" spans="2:13" x14ac:dyDescent="0.35">
      <c r="B79" s="145">
        <v>46036</v>
      </c>
      <c r="C79" s="146">
        <v>46036</v>
      </c>
      <c r="D79" s="147" t="s">
        <v>184</v>
      </c>
      <c r="E79" s="148">
        <v>41</v>
      </c>
      <c r="F79" s="147" t="s">
        <v>898</v>
      </c>
      <c r="G79" s="147" t="s">
        <v>221</v>
      </c>
      <c r="H79" s="149">
        <v>0</v>
      </c>
      <c r="I79" s="149">
        <v>347010.52</v>
      </c>
      <c r="J79" s="141">
        <f>+J78+Tabla69[[#This Row],[DEBE]]-Tabla69[[#This Row],[HABER]]</f>
        <v>575218561.1500001</v>
      </c>
      <c r="K79" s="142" t="s">
        <v>872</v>
      </c>
      <c r="L79" s="143" t="s">
        <v>627</v>
      </c>
      <c r="M79" s="143" t="s">
        <v>1505</v>
      </c>
    </row>
    <row r="80" spans="2:13" x14ac:dyDescent="0.35">
      <c r="B80" s="165">
        <v>46036</v>
      </c>
      <c r="C80" s="166">
        <v>46036</v>
      </c>
      <c r="D80" s="167" t="s">
        <v>184</v>
      </c>
      <c r="E80" s="168">
        <v>42</v>
      </c>
      <c r="F80" s="167" t="s">
        <v>899</v>
      </c>
      <c r="G80" s="167" t="s">
        <v>222</v>
      </c>
      <c r="H80" s="169">
        <v>0</v>
      </c>
      <c r="I80" s="169">
        <v>-5469750</v>
      </c>
      <c r="J80" s="155">
        <f>+J79+Tabla69[[#This Row],[DEBE]]-Tabla69[[#This Row],[HABER]]</f>
        <v>580688311.1500001</v>
      </c>
      <c r="K80" s="156" t="s">
        <v>871</v>
      </c>
      <c r="L80" s="157" t="s">
        <v>628</v>
      </c>
      <c r="M80" s="157"/>
    </row>
    <row r="81" spans="2:13" x14ac:dyDescent="0.35">
      <c r="B81" s="165">
        <v>46036</v>
      </c>
      <c r="C81" s="166">
        <v>46036</v>
      </c>
      <c r="D81" s="167" t="s">
        <v>184</v>
      </c>
      <c r="E81" s="168">
        <v>42</v>
      </c>
      <c r="F81" s="167" t="s">
        <v>899</v>
      </c>
      <c r="G81" s="167" t="s">
        <v>222</v>
      </c>
      <c r="H81" s="169">
        <v>0</v>
      </c>
      <c r="I81" s="169">
        <v>5469750</v>
      </c>
      <c r="J81" s="155">
        <f>+J80+Tabla69[[#This Row],[DEBE]]-Tabla69[[#This Row],[HABER]]</f>
        <v>575218561.1500001</v>
      </c>
      <c r="K81" s="156" t="s">
        <v>871</v>
      </c>
      <c r="L81" s="157" t="s">
        <v>628</v>
      </c>
      <c r="M81" s="157"/>
    </row>
    <row r="82" spans="2:13" x14ac:dyDescent="0.35">
      <c r="B82" s="145">
        <v>46036</v>
      </c>
      <c r="C82" s="146">
        <v>46036</v>
      </c>
      <c r="D82" s="147" t="s">
        <v>184</v>
      </c>
      <c r="E82" s="148">
        <v>43</v>
      </c>
      <c r="F82" s="147" t="s">
        <v>900</v>
      </c>
      <c r="G82" s="147" t="s">
        <v>223</v>
      </c>
      <c r="H82" s="149">
        <v>0</v>
      </c>
      <c r="I82" s="149">
        <v>47843910</v>
      </c>
      <c r="J82" s="141">
        <f>+J81+Tabla69[[#This Row],[DEBE]]-Tabla69[[#This Row],[HABER]]</f>
        <v>527374651.1500001</v>
      </c>
      <c r="K82" s="142" t="s">
        <v>872</v>
      </c>
      <c r="L82" s="143" t="s">
        <v>629</v>
      </c>
      <c r="M82" s="143" t="s">
        <v>1505</v>
      </c>
    </row>
    <row r="83" spans="2:13" x14ac:dyDescent="0.35">
      <c r="B83" s="145">
        <v>46036</v>
      </c>
      <c r="C83" s="146">
        <v>46036</v>
      </c>
      <c r="D83" s="147" t="s">
        <v>184</v>
      </c>
      <c r="E83" s="148">
        <v>44</v>
      </c>
      <c r="F83" s="147" t="s">
        <v>901</v>
      </c>
      <c r="G83" s="147" t="s">
        <v>224</v>
      </c>
      <c r="H83" s="149">
        <v>0</v>
      </c>
      <c r="I83" s="149">
        <v>1350000</v>
      </c>
      <c r="J83" s="141">
        <f>+J82+Tabla69[[#This Row],[DEBE]]-Tabla69[[#This Row],[HABER]]</f>
        <v>526024651.1500001</v>
      </c>
      <c r="K83" s="142" t="s">
        <v>872</v>
      </c>
      <c r="L83" s="143" t="s">
        <v>630</v>
      </c>
      <c r="M83" s="143" t="s">
        <v>1505</v>
      </c>
    </row>
    <row r="84" spans="2:13" x14ac:dyDescent="0.35">
      <c r="B84" s="145">
        <v>46036</v>
      </c>
      <c r="C84" s="146">
        <v>46036</v>
      </c>
      <c r="D84" s="147" t="s">
        <v>184</v>
      </c>
      <c r="E84" s="148">
        <v>45</v>
      </c>
      <c r="F84" s="147" t="s">
        <v>902</v>
      </c>
      <c r="G84" s="147" t="s">
        <v>225</v>
      </c>
      <c r="H84" s="149">
        <v>0</v>
      </c>
      <c r="I84" s="149">
        <v>87091</v>
      </c>
      <c r="J84" s="141">
        <f>+J83+Tabla69[[#This Row],[DEBE]]-Tabla69[[#This Row],[HABER]]</f>
        <v>525937560.1500001</v>
      </c>
      <c r="K84" s="142" t="s">
        <v>872</v>
      </c>
      <c r="L84" s="143" t="s">
        <v>631</v>
      </c>
      <c r="M84" s="143" t="s">
        <v>1505</v>
      </c>
    </row>
    <row r="85" spans="2:13" x14ac:dyDescent="0.35">
      <c r="B85" s="145">
        <v>46036</v>
      </c>
      <c r="C85" s="146">
        <v>46036</v>
      </c>
      <c r="D85" s="147" t="s">
        <v>184</v>
      </c>
      <c r="E85" s="148">
        <v>46</v>
      </c>
      <c r="F85" s="147" t="s">
        <v>903</v>
      </c>
      <c r="G85" s="147" t="s">
        <v>226</v>
      </c>
      <c r="H85" s="149">
        <v>0</v>
      </c>
      <c r="I85" s="149">
        <v>39424024.439999998</v>
      </c>
      <c r="J85" s="141">
        <f>+J84+Tabla69[[#This Row],[DEBE]]-Tabla69[[#This Row],[HABER]]</f>
        <v>486513535.7100001</v>
      </c>
      <c r="K85" s="142" t="s">
        <v>872</v>
      </c>
      <c r="L85" s="143" t="s">
        <v>632</v>
      </c>
      <c r="M85" s="143" t="s">
        <v>1505</v>
      </c>
    </row>
    <row r="86" spans="2:13" x14ac:dyDescent="0.35">
      <c r="B86" s="145">
        <v>46036</v>
      </c>
      <c r="C86" s="146">
        <v>46036</v>
      </c>
      <c r="D86" s="147" t="s">
        <v>184</v>
      </c>
      <c r="E86" s="148">
        <v>47</v>
      </c>
      <c r="F86" s="147" t="s">
        <v>904</v>
      </c>
      <c r="G86" s="147" t="s">
        <v>227</v>
      </c>
      <c r="H86" s="149">
        <v>0</v>
      </c>
      <c r="I86" s="149">
        <v>1544617.92</v>
      </c>
      <c r="J86" s="141">
        <f>+J85+Tabla69[[#This Row],[DEBE]]-Tabla69[[#This Row],[HABER]]</f>
        <v>484968917.79000008</v>
      </c>
      <c r="K86" s="142" t="s">
        <v>872</v>
      </c>
      <c r="L86" s="143" t="s">
        <v>633</v>
      </c>
      <c r="M86" s="143" t="s">
        <v>1505</v>
      </c>
    </row>
    <row r="87" spans="2:13" x14ac:dyDescent="0.35">
      <c r="B87" s="165">
        <v>46036</v>
      </c>
      <c r="C87" s="166">
        <v>46036</v>
      </c>
      <c r="D87" s="167" t="s">
        <v>184</v>
      </c>
      <c r="E87" s="168">
        <v>48</v>
      </c>
      <c r="F87" s="167" t="s">
        <v>899</v>
      </c>
      <c r="G87" s="167" t="s">
        <v>222</v>
      </c>
      <c r="H87" s="169">
        <v>0</v>
      </c>
      <c r="I87" s="169">
        <v>-5469750</v>
      </c>
      <c r="J87" s="155">
        <f>+J86+Tabla69[[#This Row],[DEBE]]-Tabla69[[#This Row],[HABER]]</f>
        <v>490438667.79000008</v>
      </c>
      <c r="K87" s="156" t="s">
        <v>871</v>
      </c>
      <c r="L87" s="157" t="s">
        <v>628</v>
      </c>
      <c r="M87" s="157"/>
    </row>
    <row r="88" spans="2:13" x14ac:dyDescent="0.35">
      <c r="B88" s="165">
        <v>46036</v>
      </c>
      <c r="C88" s="166">
        <v>46036</v>
      </c>
      <c r="D88" s="167" t="s">
        <v>184</v>
      </c>
      <c r="E88" s="168">
        <v>48</v>
      </c>
      <c r="F88" s="167" t="s">
        <v>899</v>
      </c>
      <c r="G88" s="167" t="s">
        <v>222</v>
      </c>
      <c r="H88" s="169">
        <v>0</v>
      </c>
      <c r="I88" s="169">
        <v>5469750</v>
      </c>
      <c r="J88" s="155">
        <f>+J87+Tabla69[[#This Row],[DEBE]]-Tabla69[[#This Row],[HABER]]</f>
        <v>484968917.79000008</v>
      </c>
      <c r="K88" s="156" t="s">
        <v>871</v>
      </c>
      <c r="L88" s="157" t="s">
        <v>628</v>
      </c>
      <c r="M88" s="157"/>
    </row>
    <row r="89" spans="2:13" x14ac:dyDescent="0.35">
      <c r="B89" s="145">
        <v>46036</v>
      </c>
      <c r="C89" s="146">
        <v>46036</v>
      </c>
      <c r="D89" s="147" t="s">
        <v>184</v>
      </c>
      <c r="E89" s="148">
        <v>49</v>
      </c>
      <c r="F89" s="147" t="s">
        <v>905</v>
      </c>
      <c r="G89" s="147" t="s">
        <v>228</v>
      </c>
      <c r="H89" s="149">
        <v>0</v>
      </c>
      <c r="I89" s="149">
        <v>1184320</v>
      </c>
      <c r="J89" s="141">
        <f>+J88+Tabla69[[#This Row],[DEBE]]-Tabla69[[#This Row],[HABER]]</f>
        <v>483784597.79000008</v>
      </c>
      <c r="K89" s="142" t="s">
        <v>872</v>
      </c>
      <c r="L89" s="143" t="s">
        <v>634</v>
      </c>
      <c r="M89" s="143" t="s">
        <v>1505</v>
      </c>
    </row>
    <row r="90" spans="2:13" x14ac:dyDescent="0.35">
      <c r="B90" s="145">
        <v>46036</v>
      </c>
      <c r="C90" s="146">
        <v>46036</v>
      </c>
      <c r="D90" s="147" t="s">
        <v>184</v>
      </c>
      <c r="E90" s="148">
        <v>50</v>
      </c>
      <c r="F90" s="147" t="s">
        <v>908</v>
      </c>
      <c r="G90" s="147" t="s">
        <v>229</v>
      </c>
      <c r="H90" s="149">
        <v>0</v>
      </c>
      <c r="I90" s="149">
        <v>876080</v>
      </c>
      <c r="J90" s="141">
        <f>+J89+Tabla69[[#This Row],[DEBE]]-Tabla69[[#This Row],[HABER]]</f>
        <v>482908517.79000008</v>
      </c>
      <c r="K90" s="142" t="s">
        <v>872</v>
      </c>
      <c r="L90" s="143" t="s">
        <v>635</v>
      </c>
      <c r="M90" s="143" t="s">
        <v>1505</v>
      </c>
    </row>
    <row r="91" spans="2:13" x14ac:dyDescent="0.35">
      <c r="B91" s="145">
        <v>46036</v>
      </c>
      <c r="C91" s="146">
        <v>46036</v>
      </c>
      <c r="D91" s="147" t="s">
        <v>184</v>
      </c>
      <c r="E91" s="148">
        <v>51</v>
      </c>
      <c r="F91" s="147" t="s">
        <v>909</v>
      </c>
      <c r="G91" s="147" t="s">
        <v>230</v>
      </c>
      <c r="H91" s="149">
        <v>0</v>
      </c>
      <c r="I91" s="149">
        <v>8788248</v>
      </c>
      <c r="J91" s="141">
        <f>+J90+Tabla69[[#This Row],[DEBE]]-Tabla69[[#This Row],[HABER]]</f>
        <v>474120269.79000008</v>
      </c>
      <c r="K91" s="142" t="s">
        <v>872</v>
      </c>
      <c r="L91" s="143" t="s">
        <v>636</v>
      </c>
      <c r="M91" s="143" t="s">
        <v>1505</v>
      </c>
    </row>
    <row r="92" spans="2:13" x14ac:dyDescent="0.35">
      <c r="B92" s="145">
        <v>46036</v>
      </c>
      <c r="C92" s="146">
        <v>46036</v>
      </c>
      <c r="D92" s="147" t="s">
        <v>184</v>
      </c>
      <c r="E92" s="148">
        <v>52</v>
      </c>
      <c r="F92" s="147" t="s">
        <v>906</v>
      </c>
      <c r="G92" s="147" t="s">
        <v>231</v>
      </c>
      <c r="H92" s="149">
        <v>0</v>
      </c>
      <c r="I92" s="149">
        <v>107410.5</v>
      </c>
      <c r="J92" s="141">
        <f>+J91+Tabla69[[#This Row],[DEBE]]-Tabla69[[#This Row],[HABER]]</f>
        <v>474012859.29000008</v>
      </c>
      <c r="K92" s="142" t="s">
        <v>872</v>
      </c>
      <c r="L92" s="143" t="s">
        <v>637</v>
      </c>
      <c r="M92" s="143" t="s">
        <v>1505</v>
      </c>
    </row>
    <row r="93" spans="2:13" x14ac:dyDescent="0.35">
      <c r="B93" s="145">
        <v>46036</v>
      </c>
      <c r="C93" s="146">
        <v>46036</v>
      </c>
      <c r="D93" s="147" t="s">
        <v>184</v>
      </c>
      <c r="E93" s="148">
        <v>53</v>
      </c>
      <c r="F93" s="147" t="s">
        <v>910</v>
      </c>
      <c r="G93" s="147" t="s">
        <v>232</v>
      </c>
      <c r="H93" s="149">
        <v>0</v>
      </c>
      <c r="I93" s="149">
        <v>2092096.97</v>
      </c>
      <c r="J93" s="141">
        <f>+J92+Tabla69[[#This Row],[DEBE]]-Tabla69[[#This Row],[HABER]]</f>
        <v>471920762.32000005</v>
      </c>
      <c r="K93" s="142" t="s">
        <v>872</v>
      </c>
      <c r="L93" s="143" t="s">
        <v>638</v>
      </c>
      <c r="M93" s="143" t="s">
        <v>1505</v>
      </c>
    </row>
    <row r="94" spans="2:13" x14ac:dyDescent="0.35">
      <c r="B94" s="165">
        <v>46036</v>
      </c>
      <c r="C94" s="166">
        <v>46036</v>
      </c>
      <c r="D94" s="167" t="s">
        <v>184</v>
      </c>
      <c r="E94" s="168">
        <v>54</v>
      </c>
      <c r="F94" s="167" t="s">
        <v>899</v>
      </c>
      <c r="G94" s="167" t="s">
        <v>222</v>
      </c>
      <c r="H94" s="169">
        <v>0</v>
      </c>
      <c r="I94" s="169">
        <v>5469750</v>
      </c>
      <c r="J94" s="155">
        <f>+J93+Tabla69[[#This Row],[DEBE]]-Tabla69[[#This Row],[HABER]]</f>
        <v>466451012.32000005</v>
      </c>
      <c r="K94" s="156" t="s">
        <v>871</v>
      </c>
      <c r="L94" s="157" t="s">
        <v>628</v>
      </c>
      <c r="M94" s="157"/>
    </row>
    <row r="95" spans="2:13" x14ac:dyDescent="0.35">
      <c r="B95" s="165">
        <v>46036</v>
      </c>
      <c r="C95" s="166">
        <v>46036</v>
      </c>
      <c r="D95" s="167" t="s">
        <v>184</v>
      </c>
      <c r="E95" s="168">
        <v>54</v>
      </c>
      <c r="F95" s="167" t="s">
        <v>911</v>
      </c>
      <c r="G95" s="167" t="s">
        <v>222</v>
      </c>
      <c r="H95" s="169">
        <v>0</v>
      </c>
      <c r="I95" s="169">
        <v>-5469750</v>
      </c>
      <c r="J95" s="155">
        <f>+J94+Tabla69[[#This Row],[DEBE]]-Tabla69[[#This Row],[HABER]]</f>
        <v>471920762.32000005</v>
      </c>
      <c r="K95" s="156" t="s">
        <v>871</v>
      </c>
      <c r="L95" s="157" t="s">
        <v>628</v>
      </c>
      <c r="M95" s="157"/>
    </row>
    <row r="96" spans="2:13" x14ac:dyDescent="0.35">
      <c r="B96" s="145">
        <v>46036</v>
      </c>
      <c r="C96" s="146">
        <v>46036</v>
      </c>
      <c r="D96" s="147" t="s">
        <v>184</v>
      </c>
      <c r="E96" s="148">
        <v>55</v>
      </c>
      <c r="F96" s="147" t="s">
        <v>911</v>
      </c>
      <c r="G96" s="147" t="s">
        <v>222</v>
      </c>
      <c r="H96" s="149">
        <v>0</v>
      </c>
      <c r="I96" s="149">
        <v>5469750</v>
      </c>
      <c r="J96" s="141">
        <f>+J95+Tabla69[[#This Row],[DEBE]]-Tabla69[[#This Row],[HABER]]</f>
        <v>466451012.32000005</v>
      </c>
      <c r="K96" s="142" t="s">
        <v>872</v>
      </c>
      <c r="L96" s="143" t="s">
        <v>628</v>
      </c>
      <c r="M96" s="143" t="s">
        <v>1505</v>
      </c>
    </row>
    <row r="97" spans="2:13" x14ac:dyDescent="0.35">
      <c r="B97" s="145">
        <v>46037</v>
      </c>
      <c r="C97" s="146">
        <v>46036</v>
      </c>
      <c r="D97" s="147" t="s">
        <v>185</v>
      </c>
      <c r="E97" s="148">
        <v>8</v>
      </c>
      <c r="F97" s="147" t="s">
        <v>1462</v>
      </c>
      <c r="G97" s="147" t="s">
        <v>233</v>
      </c>
      <c r="H97" s="149">
        <v>0</v>
      </c>
      <c r="I97" s="149">
        <v>400000000</v>
      </c>
      <c r="J97" s="141">
        <f>+J96+Tabla69[[#This Row],[DEBE]]-Tabla69[[#This Row],[HABER]]</f>
        <v>66451012.320000052</v>
      </c>
      <c r="K97" s="142" t="s">
        <v>872</v>
      </c>
      <c r="L97" s="143" t="s">
        <v>639</v>
      </c>
      <c r="M97" s="143" t="s">
        <v>101</v>
      </c>
    </row>
    <row r="98" spans="2:13" x14ac:dyDescent="0.35">
      <c r="B98" s="145">
        <v>46037</v>
      </c>
      <c r="C98" s="146">
        <v>46036</v>
      </c>
      <c r="D98" s="138" t="s">
        <v>874</v>
      </c>
      <c r="E98" s="148">
        <v>34</v>
      </c>
      <c r="F98" s="147" t="s">
        <v>197</v>
      </c>
      <c r="G98" s="147" t="s">
        <v>1469</v>
      </c>
      <c r="H98" s="149">
        <v>457786314</v>
      </c>
      <c r="I98" s="149">
        <v>0</v>
      </c>
      <c r="J98" s="141">
        <f>+J97+Tabla69[[#This Row],[DEBE]]-Tabla69[[#This Row],[HABER]]</f>
        <v>524237326.32000005</v>
      </c>
      <c r="K98" s="142" t="s">
        <v>872</v>
      </c>
      <c r="L98" s="176" t="s">
        <v>1472</v>
      </c>
      <c r="M98" s="143" t="s">
        <v>89</v>
      </c>
    </row>
    <row r="99" spans="2:13" x14ac:dyDescent="0.35">
      <c r="B99" s="145">
        <v>46037</v>
      </c>
      <c r="C99" s="146">
        <v>46036</v>
      </c>
      <c r="D99" s="138" t="s">
        <v>874</v>
      </c>
      <c r="E99" s="148">
        <v>35</v>
      </c>
      <c r="F99" s="147" t="s">
        <v>197</v>
      </c>
      <c r="G99" s="147" t="s">
        <v>1468</v>
      </c>
      <c r="H99" s="149">
        <v>80909264</v>
      </c>
      <c r="I99" s="149">
        <v>0</v>
      </c>
      <c r="J99" s="141">
        <f>+J98+Tabla69[[#This Row],[DEBE]]-Tabla69[[#This Row],[HABER]]</f>
        <v>605146590.32000005</v>
      </c>
      <c r="K99" s="142" t="s">
        <v>872</v>
      </c>
      <c r="L99" s="176" t="s">
        <v>1473</v>
      </c>
      <c r="M99" s="143" t="s">
        <v>89</v>
      </c>
    </row>
    <row r="100" spans="2:13" x14ac:dyDescent="0.35">
      <c r="B100" s="145">
        <v>46037</v>
      </c>
      <c r="C100" s="146">
        <v>46035</v>
      </c>
      <c r="D100" s="138" t="s">
        <v>874</v>
      </c>
      <c r="E100" s="148">
        <v>36</v>
      </c>
      <c r="F100" s="147" t="s">
        <v>234</v>
      </c>
      <c r="G100" s="147" t="s">
        <v>235</v>
      </c>
      <c r="H100" s="149">
        <v>298135487.19999999</v>
      </c>
      <c r="I100" s="149">
        <v>0</v>
      </c>
      <c r="J100" s="141">
        <f>+J99+Tabla69[[#This Row],[DEBE]]-Tabla69[[#This Row],[HABER]]</f>
        <v>903282077.51999998</v>
      </c>
      <c r="K100" s="142" t="s">
        <v>872</v>
      </c>
      <c r="L100" s="143" t="s">
        <v>1506</v>
      </c>
      <c r="M100" s="143"/>
    </row>
    <row r="101" spans="2:13" x14ac:dyDescent="0.35">
      <c r="B101" s="165">
        <v>46037</v>
      </c>
      <c r="C101" s="166">
        <v>46036</v>
      </c>
      <c r="D101" s="152" t="s">
        <v>874</v>
      </c>
      <c r="E101" s="168">
        <v>36</v>
      </c>
      <c r="F101" s="167" t="s">
        <v>234</v>
      </c>
      <c r="G101" s="167" t="s">
        <v>235</v>
      </c>
      <c r="H101" s="169">
        <v>-298135487.19999999</v>
      </c>
      <c r="I101" s="169">
        <v>0</v>
      </c>
      <c r="J101" s="155">
        <f>+J100+Tabla69[[#This Row],[DEBE]]-Tabla69[[#This Row],[HABER]]</f>
        <v>605146590.31999993</v>
      </c>
      <c r="K101" s="156" t="s">
        <v>871</v>
      </c>
      <c r="L101" s="157" t="s">
        <v>604</v>
      </c>
      <c r="M101" s="157"/>
    </row>
    <row r="102" spans="2:13" x14ac:dyDescent="0.35">
      <c r="B102" s="165">
        <v>46037</v>
      </c>
      <c r="C102" s="166">
        <v>46036</v>
      </c>
      <c r="D102" s="152" t="s">
        <v>874</v>
      </c>
      <c r="E102" s="168">
        <v>36</v>
      </c>
      <c r="F102" s="167" t="s">
        <v>234</v>
      </c>
      <c r="G102" s="167" t="s">
        <v>235</v>
      </c>
      <c r="H102" s="169">
        <v>298135487.19999999</v>
      </c>
      <c r="I102" s="169">
        <v>0</v>
      </c>
      <c r="J102" s="155">
        <f>+J101+Tabla69[[#This Row],[DEBE]]-Tabla69[[#This Row],[HABER]]</f>
        <v>903282077.51999998</v>
      </c>
      <c r="K102" s="156" t="s">
        <v>871</v>
      </c>
      <c r="L102" s="157" t="s">
        <v>604</v>
      </c>
      <c r="M102" s="157"/>
    </row>
    <row r="103" spans="2:13" x14ac:dyDescent="0.35">
      <c r="B103" s="165">
        <v>46037</v>
      </c>
      <c r="C103" s="166">
        <v>46036</v>
      </c>
      <c r="D103" s="152" t="s">
        <v>874</v>
      </c>
      <c r="E103" s="168">
        <v>37</v>
      </c>
      <c r="F103" s="167" t="s">
        <v>236</v>
      </c>
      <c r="G103" s="167" t="s">
        <v>237</v>
      </c>
      <c r="H103" s="169">
        <v>30789.37</v>
      </c>
      <c r="I103" s="169">
        <v>0</v>
      </c>
      <c r="J103" s="155">
        <f>+J102+Tabla69[[#This Row],[DEBE]]-Tabla69[[#This Row],[HABER]]</f>
        <v>903312866.88999999</v>
      </c>
      <c r="K103" s="156" t="s">
        <v>871</v>
      </c>
      <c r="L103" s="157" t="s">
        <v>604</v>
      </c>
      <c r="M103" s="157"/>
    </row>
    <row r="104" spans="2:13" x14ac:dyDescent="0.35">
      <c r="B104" s="145">
        <v>46037</v>
      </c>
      <c r="C104" s="146">
        <v>46027</v>
      </c>
      <c r="D104" s="138" t="s">
        <v>874</v>
      </c>
      <c r="E104" s="148">
        <v>37</v>
      </c>
      <c r="F104" s="147" t="s">
        <v>236</v>
      </c>
      <c r="G104" s="147" t="s">
        <v>237</v>
      </c>
      <c r="H104" s="149">
        <v>30789.37</v>
      </c>
      <c r="I104" s="149">
        <v>0</v>
      </c>
      <c r="J104" s="141">
        <f>+J103+Tabla69[[#This Row],[DEBE]]-Tabla69[[#This Row],[HABER]]</f>
        <v>903343656.25999999</v>
      </c>
      <c r="K104" s="142" t="s">
        <v>872</v>
      </c>
      <c r="L104" s="147" t="s">
        <v>1504</v>
      </c>
      <c r="M104" s="143"/>
    </row>
    <row r="105" spans="2:13" x14ac:dyDescent="0.35">
      <c r="B105" s="165">
        <v>46037</v>
      </c>
      <c r="C105" s="166">
        <v>46036</v>
      </c>
      <c r="D105" s="152" t="s">
        <v>874</v>
      </c>
      <c r="E105" s="168">
        <v>37</v>
      </c>
      <c r="F105" s="167" t="s">
        <v>236</v>
      </c>
      <c r="G105" s="167" t="s">
        <v>237</v>
      </c>
      <c r="H105" s="169">
        <v>-30789.37</v>
      </c>
      <c r="I105" s="169">
        <v>0</v>
      </c>
      <c r="J105" s="155">
        <f>+J104+Tabla69[[#This Row],[DEBE]]-Tabla69[[#This Row],[HABER]]</f>
        <v>903312866.88999999</v>
      </c>
      <c r="K105" s="156" t="s">
        <v>871</v>
      </c>
      <c r="L105" s="157" t="s">
        <v>604</v>
      </c>
      <c r="M105" s="157"/>
    </row>
    <row r="106" spans="2:13" x14ac:dyDescent="0.35">
      <c r="B106" s="145">
        <v>46037</v>
      </c>
      <c r="C106" s="146">
        <v>46036</v>
      </c>
      <c r="D106" s="138" t="s">
        <v>874</v>
      </c>
      <c r="E106" s="148">
        <v>38</v>
      </c>
      <c r="F106" s="147" t="s">
        <v>238</v>
      </c>
      <c r="G106" s="147" t="s">
        <v>195</v>
      </c>
      <c r="H106" s="149">
        <v>22700</v>
      </c>
      <c r="I106" s="149">
        <v>0</v>
      </c>
      <c r="J106" s="141">
        <f>+J105+Tabla69[[#This Row],[DEBE]]-Tabla69[[#This Row],[HABER]]</f>
        <v>903335566.88999999</v>
      </c>
      <c r="K106" s="142" t="s">
        <v>872</v>
      </c>
      <c r="L106" s="143" t="s">
        <v>640</v>
      </c>
      <c r="M106" s="143" t="s">
        <v>90</v>
      </c>
    </row>
    <row r="107" spans="2:13" x14ac:dyDescent="0.35">
      <c r="B107" s="145">
        <v>46037</v>
      </c>
      <c r="C107" s="146">
        <v>46037</v>
      </c>
      <c r="D107" s="147" t="s">
        <v>184</v>
      </c>
      <c r="E107" s="148">
        <v>56</v>
      </c>
      <c r="F107" s="147" t="s">
        <v>912</v>
      </c>
      <c r="G107" s="147" t="s">
        <v>239</v>
      </c>
      <c r="H107" s="149">
        <v>0</v>
      </c>
      <c r="I107" s="149">
        <v>91080</v>
      </c>
      <c r="J107" s="141">
        <f>+J106+Tabla69[[#This Row],[DEBE]]-Tabla69[[#This Row],[HABER]]</f>
        <v>903244486.88999999</v>
      </c>
      <c r="K107" s="142" t="s">
        <v>872</v>
      </c>
      <c r="L107" s="143" t="s">
        <v>641</v>
      </c>
      <c r="M107" s="143" t="s">
        <v>1505</v>
      </c>
    </row>
    <row r="108" spans="2:13" x14ac:dyDescent="0.35">
      <c r="B108" s="145">
        <v>46037</v>
      </c>
      <c r="C108" s="146">
        <v>46037</v>
      </c>
      <c r="D108" s="147" t="s">
        <v>184</v>
      </c>
      <c r="E108" s="148">
        <v>57</v>
      </c>
      <c r="F108" s="147" t="s">
        <v>913</v>
      </c>
      <c r="G108" s="147" t="s">
        <v>240</v>
      </c>
      <c r="H108" s="149">
        <v>0</v>
      </c>
      <c r="I108" s="149">
        <v>159513.64000000001</v>
      </c>
      <c r="J108" s="141">
        <f>+J107+Tabla69[[#This Row],[DEBE]]-Tabla69[[#This Row],[HABER]]</f>
        <v>903084973.25</v>
      </c>
      <c r="K108" s="142" t="s">
        <v>872</v>
      </c>
      <c r="L108" s="143" t="s">
        <v>642</v>
      </c>
      <c r="M108" s="143" t="s">
        <v>1505</v>
      </c>
    </row>
    <row r="109" spans="2:13" x14ac:dyDescent="0.35">
      <c r="B109" s="145">
        <v>46037</v>
      </c>
      <c r="C109" s="146">
        <v>46037</v>
      </c>
      <c r="D109" s="147" t="s">
        <v>184</v>
      </c>
      <c r="E109" s="148">
        <v>58</v>
      </c>
      <c r="F109" s="147" t="s">
        <v>914</v>
      </c>
      <c r="G109" s="147" t="s">
        <v>241</v>
      </c>
      <c r="H109" s="149">
        <v>0</v>
      </c>
      <c r="I109" s="149">
        <v>96000</v>
      </c>
      <c r="J109" s="141">
        <f>+J108+Tabla69[[#This Row],[DEBE]]-Tabla69[[#This Row],[HABER]]</f>
        <v>902988973.25</v>
      </c>
      <c r="K109" s="142" t="s">
        <v>872</v>
      </c>
      <c r="L109" s="143" t="s">
        <v>643</v>
      </c>
      <c r="M109" s="143" t="s">
        <v>1505</v>
      </c>
    </row>
    <row r="110" spans="2:13" x14ac:dyDescent="0.35">
      <c r="B110" s="145">
        <v>46037</v>
      </c>
      <c r="C110" s="146">
        <v>46037</v>
      </c>
      <c r="D110" s="147" t="s">
        <v>184</v>
      </c>
      <c r="E110" s="148">
        <v>59</v>
      </c>
      <c r="F110" s="147" t="s">
        <v>915</v>
      </c>
      <c r="G110" s="147" t="s">
        <v>242</v>
      </c>
      <c r="H110" s="149">
        <v>0</v>
      </c>
      <c r="I110" s="149">
        <v>234720</v>
      </c>
      <c r="J110" s="141">
        <f>+J109+Tabla69[[#This Row],[DEBE]]-Tabla69[[#This Row],[HABER]]</f>
        <v>902754253.25</v>
      </c>
      <c r="K110" s="142" t="s">
        <v>872</v>
      </c>
      <c r="L110" s="143" t="s">
        <v>644</v>
      </c>
      <c r="M110" s="143" t="s">
        <v>1505</v>
      </c>
    </row>
    <row r="111" spans="2:13" x14ac:dyDescent="0.35">
      <c r="B111" s="145">
        <v>46037</v>
      </c>
      <c r="C111" s="146">
        <v>46037</v>
      </c>
      <c r="D111" s="147" t="s">
        <v>184</v>
      </c>
      <c r="E111" s="148">
        <v>60</v>
      </c>
      <c r="F111" s="147" t="s">
        <v>907</v>
      </c>
      <c r="G111" s="147" t="s">
        <v>243</v>
      </c>
      <c r="H111" s="149">
        <v>0</v>
      </c>
      <c r="I111" s="149">
        <v>1050000</v>
      </c>
      <c r="J111" s="141">
        <f>+J110+Tabla69[[#This Row],[DEBE]]-Tabla69[[#This Row],[HABER]]</f>
        <v>901704253.25</v>
      </c>
      <c r="K111" s="142" t="s">
        <v>872</v>
      </c>
      <c r="L111" s="143" t="s">
        <v>645</v>
      </c>
      <c r="M111" s="143" t="s">
        <v>1505</v>
      </c>
    </row>
    <row r="112" spans="2:13" x14ac:dyDescent="0.35">
      <c r="B112" s="145">
        <v>46037</v>
      </c>
      <c r="C112" s="146">
        <v>46037</v>
      </c>
      <c r="D112" s="147" t="s">
        <v>184</v>
      </c>
      <c r="E112" s="148">
        <v>61</v>
      </c>
      <c r="F112" s="147" t="s">
        <v>903</v>
      </c>
      <c r="G112" s="147" t="s">
        <v>244</v>
      </c>
      <c r="H112" s="149">
        <v>0</v>
      </c>
      <c r="I112" s="149">
        <v>79678555.540000007</v>
      </c>
      <c r="J112" s="141">
        <f>+J111+Tabla69[[#This Row],[DEBE]]-Tabla69[[#This Row],[HABER]]</f>
        <v>822025697.71000004</v>
      </c>
      <c r="K112" s="142" t="s">
        <v>872</v>
      </c>
      <c r="L112" s="143" t="s">
        <v>646</v>
      </c>
      <c r="M112" s="143" t="s">
        <v>1505</v>
      </c>
    </row>
    <row r="113" spans="2:13" x14ac:dyDescent="0.35">
      <c r="B113" s="145">
        <v>46037</v>
      </c>
      <c r="C113" s="146">
        <v>46037</v>
      </c>
      <c r="D113" s="147" t="s">
        <v>184</v>
      </c>
      <c r="E113" s="148">
        <v>62</v>
      </c>
      <c r="F113" s="147" t="s">
        <v>916</v>
      </c>
      <c r="G113" s="147" t="s">
        <v>245</v>
      </c>
      <c r="H113" s="149">
        <v>0</v>
      </c>
      <c r="I113" s="149">
        <v>990000</v>
      </c>
      <c r="J113" s="141">
        <f>+J112+Tabla69[[#This Row],[DEBE]]-Tabla69[[#This Row],[HABER]]</f>
        <v>821035697.71000004</v>
      </c>
      <c r="K113" s="142" t="s">
        <v>872</v>
      </c>
      <c r="L113" s="143" t="s">
        <v>647</v>
      </c>
      <c r="M113" s="143" t="s">
        <v>1505</v>
      </c>
    </row>
    <row r="114" spans="2:13" x14ac:dyDescent="0.35">
      <c r="B114" s="145">
        <v>46037</v>
      </c>
      <c r="C114" s="146">
        <v>46037</v>
      </c>
      <c r="D114" s="147" t="s">
        <v>184</v>
      </c>
      <c r="E114" s="148">
        <v>63</v>
      </c>
      <c r="F114" s="147" t="s">
        <v>917</v>
      </c>
      <c r="G114" s="147" t="s">
        <v>246</v>
      </c>
      <c r="H114" s="149">
        <v>0</v>
      </c>
      <c r="I114" s="149">
        <v>2500000</v>
      </c>
      <c r="J114" s="141">
        <f>+J113+Tabla69[[#This Row],[DEBE]]-Tabla69[[#This Row],[HABER]]</f>
        <v>818535697.71000004</v>
      </c>
      <c r="K114" s="142" t="s">
        <v>872</v>
      </c>
      <c r="L114" s="143" t="s">
        <v>648</v>
      </c>
      <c r="M114" s="143" t="s">
        <v>1505</v>
      </c>
    </row>
    <row r="115" spans="2:13" x14ac:dyDescent="0.35">
      <c r="B115" s="165">
        <v>46037</v>
      </c>
      <c r="C115" s="166">
        <v>46037</v>
      </c>
      <c r="D115" s="167" t="s">
        <v>184</v>
      </c>
      <c r="E115" s="168">
        <v>64</v>
      </c>
      <c r="F115" s="167" t="s">
        <v>918</v>
      </c>
      <c r="G115" s="167" t="s">
        <v>247</v>
      </c>
      <c r="H115" s="169">
        <v>0</v>
      </c>
      <c r="I115" s="169">
        <v>-125000</v>
      </c>
      <c r="J115" s="155">
        <f>+J114+Tabla69[[#This Row],[DEBE]]-Tabla69[[#This Row],[HABER]]</f>
        <v>818660697.71000004</v>
      </c>
      <c r="K115" s="156" t="s">
        <v>871</v>
      </c>
      <c r="L115" s="157" t="s">
        <v>649</v>
      </c>
      <c r="M115" s="157"/>
    </row>
    <row r="116" spans="2:13" x14ac:dyDescent="0.35">
      <c r="B116" s="165">
        <v>46037</v>
      </c>
      <c r="C116" s="166">
        <v>46037</v>
      </c>
      <c r="D116" s="167" t="s">
        <v>184</v>
      </c>
      <c r="E116" s="168">
        <v>64</v>
      </c>
      <c r="F116" s="167" t="s">
        <v>918</v>
      </c>
      <c r="G116" s="167" t="s">
        <v>247</v>
      </c>
      <c r="H116" s="169">
        <v>0</v>
      </c>
      <c r="I116" s="169">
        <v>125000</v>
      </c>
      <c r="J116" s="155">
        <f>+J115+Tabla69[[#This Row],[DEBE]]-Tabla69[[#This Row],[HABER]]</f>
        <v>818535697.71000004</v>
      </c>
      <c r="K116" s="156" t="s">
        <v>871</v>
      </c>
      <c r="L116" s="157" t="s">
        <v>649</v>
      </c>
      <c r="M116" s="157"/>
    </row>
    <row r="117" spans="2:13" x14ac:dyDescent="0.35">
      <c r="B117" s="165">
        <v>46037</v>
      </c>
      <c r="C117" s="166">
        <v>46037</v>
      </c>
      <c r="D117" s="167" t="s">
        <v>184</v>
      </c>
      <c r="E117" s="168">
        <v>65</v>
      </c>
      <c r="F117" s="167" t="s">
        <v>919</v>
      </c>
      <c r="G117" s="167"/>
      <c r="H117" s="169">
        <v>0</v>
      </c>
      <c r="I117" s="169">
        <v>-250000</v>
      </c>
      <c r="J117" s="155">
        <f>+J116+Tabla69[[#This Row],[DEBE]]-Tabla69[[#This Row],[HABER]]</f>
        <v>818785697.71000004</v>
      </c>
      <c r="K117" s="156" t="s">
        <v>871</v>
      </c>
      <c r="L117" s="157" t="s">
        <v>649</v>
      </c>
      <c r="M117" s="157"/>
    </row>
    <row r="118" spans="2:13" x14ac:dyDescent="0.35">
      <c r="B118" s="165">
        <v>46037</v>
      </c>
      <c r="C118" s="166">
        <v>46037</v>
      </c>
      <c r="D118" s="167" t="s">
        <v>184</v>
      </c>
      <c r="E118" s="168">
        <v>65</v>
      </c>
      <c r="F118" s="167" t="s">
        <v>919</v>
      </c>
      <c r="G118" s="167"/>
      <c r="H118" s="169">
        <v>0</v>
      </c>
      <c r="I118" s="169">
        <v>250000</v>
      </c>
      <c r="J118" s="155">
        <f>+J117+Tabla69[[#This Row],[DEBE]]-Tabla69[[#This Row],[HABER]]</f>
        <v>818535697.71000004</v>
      </c>
      <c r="K118" s="156" t="s">
        <v>871</v>
      </c>
      <c r="L118" s="157" t="s">
        <v>649</v>
      </c>
      <c r="M118" s="157"/>
    </row>
    <row r="119" spans="2:13" x14ac:dyDescent="0.35">
      <c r="B119" s="165">
        <v>46037</v>
      </c>
      <c r="C119" s="166">
        <v>46037</v>
      </c>
      <c r="D119" s="167" t="s">
        <v>184</v>
      </c>
      <c r="E119" s="168">
        <v>66</v>
      </c>
      <c r="F119" s="167" t="s">
        <v>920</v>
      </c>
      <c r="G119" s="167" t="s">
        <v>248</v>
      </c>
      <c r="H119" s="169">
        <v>0</v>
      </c>
      <c r="I119" s="169">
        <v>62500</v>
      </c>
      <c r="J119" s="155">
        <f>+J118+Tabla69[[#This Row],[DEBE]]-Tabla69[[#This Row],[HABER]]</f>
        <v>818473197.71000004</v>
      </c>
      <c r="K119" s="156" t="s">
        <v>871</v>
      </c>
      <c r="L119" s="157" t="s">
        <v>649</v>
      </c>
      <c r="M119" s="157"/>
    </row>
    <row r="120" spans="2:13" x14ac:dyDescent="0.35">
      <c r="B120" s="165">
        <v>46037</v>
      </c>
      <c r="C120" s="166">
        <v>46037</v>
      </c>
      <c r="D120" s="167" t="s">
        <v>184</v>
      </c>
      <c r="E120" s="168">
        <v>66</v>
      </c>
      <c r="F120" s="167" t="s">
        <v>920</v>
      </c>
      <c r="G120" s="167" t="s">
        <v>248</v>
      </c>
      <c r="H120" s="169">
        <v>0</v>
      </c>
      <c r="I120" s="169">
        <v>-62500</v>
      </c>
      <c r="J120" s="155">
        <f>+J119+Tabla69[[#This Row],[DEBE]]-Tabla69[[#This Row],[HABER]]</f>
        <v>818535697.71000004</v>
      </c>
      <c r="K120" s="156" t="s">
        <v>871</v>
      </c>
      <c r="L120" s="157" t="s">
        <v>649</v>
      </c>
      <c r="M120" s="157"/>
    </row>
    <row r="121" spans="2:13" x14ac:dyDescent="0.35">
      <c r="B121" s="165">
        <v>46037</v>
      </c>
      <c r="C121" s="166">
        <v>46037</v>
      </c>
      <c r="D121" s="167" t="s">
        <v>184</v>
      </c>
      <c r="E121" s="168">
        <v>67</v>
      </c>
      <c r="F121" s="167" t="s">
        <v>921</v>
      </c>
      <c r="G121" s="167" t="s">
        <v>248</v>
      </c>
      <c r="H121" s="169">
        <v>0</v>
      </c>
      <c r="I121" s="169">
        <v>-250000</v>
      </c>
      <c r="J121" s="155">
        <f>+J120+Tabla69[[#This Row],[DEBE]]-Tabla69[[#This Row],[HABER]]</f>
        <v>818785697.71000004</v>
      </c>
      <c r="K121" s="156" t="s">
        <v>871</v>
      </c>
      <c r="L121" s="157" t="s">
        <v>649</v>
      </c>
      <c r="M121" s="157"/>
    </row>
    <row r="122" spans="2:13" x14ac:dyDescent="0.35">
      <c r="B122" s="165">
        <v>46037</v>
      </c>
      <c r="C122" s="166">
        <v>46037</v>
      </c>
      <c r="D122" s="167" t="s">
        <v>184</v>
      </c>
      <c r="E122" s="168">
        <v>67</v>
      </c>
      <c r="F122" s="167" t="s">
        <v>921</v>
      </c>
      <c r="G122" s="167" t="s">
        <v>248</v>
      </c>
      <c r="H122" s="169">
        <v>0</v>
      </c>
      <c r="I122" s="169">
        <v>250000</v>
      </c>
      <c r="J122" s="155">
        <f>+J121+Tabla69[[#This Row],[DEBE]]-Tabla69[[#This Row],[HABER]]</f>
        <v>818535697.71000004</v>
      </c>
      <c r="K122" s="156" t="s">
        <v>871</v>
      </c>
      <c r="L122" s="157" t="s">
        <v>649</v>
      </c>
      <c r="M122" s="157"/>
    </row>
    <row r="123" spans="2:13" x14ac:dyDescent="0.35">
      <c r="B123" s="165">
        <v>46037</v>
      </c>
      <c r="C123" s="166">
        <v>46037</v>
      </c>
      <c r="D123" s="167" t="s">
        <v>184</v>
      </c>
      <c r="E123" s="168">
        <v>68</v>
      </c>
      <c r="F123" s="167" t="s">
        <v>922</v>
      </c>
      <c r="G123" s="167" t="s">
        <v>248</v>
      </c>
      <c r="H123" s="169">
        <v>0</v>
      </c>
      <c r="I123" s="169">
        <v>-62500</v>
      </c>
      <c r="J123" s="155">
        <f>+J122+Tabla69[[#This Row],[DEBE]]-Tabla69[[#This Row],[HABER]]</f>
        <v>818598197.71000004</v>
      </c>
      <c r="K123" s="156" t="s">
        <v>871</v>
      </c>
      <c r="L123" s="157" t="s">
        <v>649</v>
      </c>
      <c r="M123" s="157"/>
    </row>
    <row r="124" spans="2:13" x14ac:dyDescent="0.35">
      <c r="B124" s="165">
        <v>46037</v>
      </c>
      <c r="C124" s="166">
        <v>46037</v>
      </c>
      <c r="D124" s="167" t="s">
        <v>184</v>
      </c>
      <c r="E124" s="168">
        <v>68</v>
      </c>
      <c r="F124" s="167" t="s">
        <v>922</v>
      </c>
      <c r="G124" s="167" t="s">
        <v>248</v>
      </c>
      <c r="H124" s="169">
        <v>0</v>
      </c>
      <c r="I124" s="169">
        <v>62500</v>
      </c>
      <c r="J124" s="155">
        <f>+J123+Tabla69[[#This Row],[DEBE]]-Tabla69[[#This Row],[HABER]]</f>
        <v>818535697.71000004</v>
      </c>
      <c r="K124" s="156" t="s">
        <v>871</v>
      </c>
      <c r="L124" s="157" t="s">
        <v>649</v>
      </c>
      <c r="M124" s="157"/>
    </row>
    <row r="125" spans="2:13" x14ac:dyDescent="0.35">
      <c r="B125" s="165">
        <v>46037</v>
      </c>
      <c r="C125" s="166">
        <v>46037</v>
      </c>
      <c r="D125" s="167" t="s">
        <v>184</v>
      </c>
      <c r="E125" s="168">
        <v>69</v>
      </c>
      <c r="F125" s="167" t="s">
        <v>923</v>
      </c>
      <c r="G125" s="167" t="s">
        <v>248</v>
      </c>
      <c r="H125" s="169">
        <v>0</v>
      </c>
      <c r="I125" s="169">
        <v>-125000</v>
      </c>
      <c r="J125" s="155">
        <f>+J124+Tabla69[[#This Row],[DEBE]]-Tabla69[[#This Row],[HABER]]</f>
        <v>818660697.71000004</v>
      </c>
      <c r="K125" s="156" t="s">
        <v>871</v>
      </c>
      <c r="L125" s="157" t="s">
        <v>649</v>
      </c>
      <c r="M125" s="157"/>
    </row>
    <row r="126" spans="2:13" x14ac:dyDescent="0.35">
      <c r="B126" s="165">
        <v>46037</v>
      </c>
      <c r="C126" s="166">
        <v>46037</v>
      </c>
      <c r="D126" s="167" t="s">
        <v>184</v>
      </c>
      <c r="E126" s="168">
        <v>69</v>
      </c>
      <c r="F126" s="167" t="s">
        <v>923</v>
      </c>
      <c r="G126" s="167" t="s">
        <v>248</v>
      </c>
      <c r="H126" s="169">
        <v>0</v>
      </c>
      <c r="I126" s="169">
        <v>125000</v>
      </c>
      <c r="J126" s="155">
        <f>+J125+Tabla69[[#This Row],[DEBE]]-Tabla69[[#This Row],[HABER]]</f>
        <v>818535697.71000004</v>
      </c>
      <c r="K126" s="156" t="s">
        <v>871</v>
      </c>
      <c r="L126" s="157" t="s">
        <v>649</v>
      </c>
      <c r="M126" s="157"/>
    </row>
    <row r="127" spans="2:13" x14ac:dyDescent="0.35">
      <c r="B127" s="165">
        <v>46037</v>
      </c>
      <c r="C127" s="166">
        <v>46037</v>
      </c>
      <c r="D127" s="167" t="s">
        <v>184</v>
      </c>
      <c r="E127" s="168">
        <v>70</v>
      </c>
      <c r="F127" s="167" t="s">
        <v>924</v>
      </c>
      <c r="G127" s="167" t="s">
        <v>248</v>
      </c>
      <c r="H127" s="169">
        <v>0</v>
      </c>
      <c r="I127" s="169">
        <v>-125000</v>
      </c>
      <c r="J127" s="155">
        <f>+J126+Tabla69[[#This Row],[DEBE]]-Tabla69[[#This Row],[HABER]]</f>
        <v>818660697.71000004</v>
      </c>
      <c r="K127" s="156" t="s">
        <v>871</v>
      </c>
      <c r="L127" s="157" t="s">
        <v>649</v>
      </c>
      <c r="M127" s="157"/>
    </row>
    <row r="128" spans="2:13" x14ac:dyDescent="0.35">
      <c r="B128" s="165">
        <v>46037</v>
      </c>
      <c r="C128" s="166">
        <v>46037</v>
      </c>
      <c r="D128" s="167" t="s">
        <v>184</v>
      </c>
      <c r="E128" s="168">
        <v>70</v>
      </c>
      <c r="F128" s="167" t="s">
        <v>924</v>
      </c>
      <c r="G128" s="167" t="s">
        <v>248</v>
      </c>
      <c r="H128" s="169">
        <v>0</v>
      </c>
      <c r="I128" s="169">
        <v>125000</v>
      </c>
      <c r="J128" s="155">
        <f>+J127+Tabla69[[#This Row],[DEBE]]-Tabla69[[#This Row],[HABER]]</f>
        <v>818535697.71000004</v>
      </c>
      <c r="K128" s="156" t="s">
        <v>871</v>
      </c>
      <c r="L128" s="157" t="s">
        <v>649</v>
      </c>
      <c r="M128" s="157"/>
    </row>
    <row r="129" spans="2:13" x14ac:dyDescent="0.35">
      <c r="B129" s="165">
        <v>46037</v>
      </c>
      <c r="C129" s="166">
        <v>46037</v>
      </c>
      <c r="D129" s="167" t="s">
        <v>184</v>
      </c>
      <c r="E129" s="168">
        <v>71</v>
      </c>
      <c r="F129" s="167" t="s">
        <v>925</v>
      </c>
      <c r="G129" s="167"/>
      <c r="H129" s="169">
        <v>0</v>
      </c>
      <c r="I129" s="169">
        <v>250000</v>
      </c>
      <c r="J129" s="155">
        <f>+J128+Tabla69[[#This Row],[DEBE]]-Tabla69[[#This Row],[HABER]]</f>
        <v>818285697.71000004</v>
      </c>
      <c r="K129" s="156" t="s">
        <v>871</v>
      </c>
      <c r="L129" s="157" t="s">
        <v>1507</v>
      </c>
      <c r="M129" s="157"/>
    </row>
    <row r="130" spans="2:13" x14ac:dyDescent="0.35">
      <c r="B130" s="165">
        <v>46037</v>
      </c>
      <c r="C130" s="166">
        <v>46037</v>
      </c>
      <c r="D130" s="167" t="s">
        <v>184</v>
      </c>
      <c r="E130" s="168">
        <v>71</v>
      </c>
      <c r="F130" s="167" t="s">
        <v>925</v>
      </c>
      <c r="G130" s="167"/>
      <c r="H130" s="169">
        <v>0</v>
      </c>
      <c r="I130" s="169">
        <v>-250000</v>
      </c>
      <c r="J130" s="155">
        <f>+J129+Tabla69[[#This Row],[DEBE]]-Tabla69[[#This Row],[HABER]]</f>
        <v>818535697.71000004</v>
      </c>
      <c r="K130" s="156" t="s">
        <v>871</v>
      </c>
      <c r="L130" s="157" t="s">
        <v>1507</v>
      </c>
      <c r="M130" s="157"/>
    </row>
    <row r="131" spans="2:13" x14ac:dyDescent="0.35">
      <c r="B131" s="165">
        <v>46037</v>
      </c>
      <c r="C131" s="166">
        <v>46037</v>
      </c>
      <c r="D131" s="167" t="s">
        <v>184</v>
      </c>
      <c r="E131" s="168">
        <v>72</v>
      </c>
      <c r="F131" s="167" t="s">
        <v>926</v>
      </c>
      <c r="G131" s="167"/>
      <c r="H131" s="169">
        <v>0</v>
      </c>
      <c r="I131" s="169">
        <v>-250000</v>
      </c>
      <c r="J131" s="155">
        <f>+J130+Tabla69[[#This Row],[DEBE]]-Tabla69[[#This Row],[HABER]]</f>
        <v>818785697.71000004</v>
      </c>
      <c r="K131" s="156" t="s">
        <v>871</v>
      </c>
      <c r="L131" s="157" t="s">
        <v>649</v>
      </c>
      <c r="M131" s="157"/>
    </row>
    <row r="132" spans="2:13" x14ac:dyDescent="0.35">
      <c r="B132" s="165">
        <v>46037</v>
      </c>
      <c r="C132" s="166">
        <v>46037</v>
      </c>
      <c r="D132" s="167" t="s">
        <v>184</v>
      </c>
      <c r="E132" s="168">
        <v>72</v>
      </c>
      <c r="F132" s="167" t="s">
        <v>926</v>
      </c>
      <c r="G132" s="167"/>
      <c r="H132" s="169">
        <v>0</v>
      </c>
      <c r="I132" s="169">
        <v>250000</v>
      </c>
      <c r="J132" s="155">
        <f>+J131+Tabla69[[#This Row],[DEBE]]-Tabla69[[#This Row],[HABER]]</f>
        <v>818535697.71000004</v>
      </c>
      <c r="K132" s="156" t="s">
        <v>871</v>
      </c>
      <c r="L132" s="157" t="s">
        <v>649</v>
      </c>
      <c r="M132" s="157"/>
    </row>
    <row r="133" spans="2:13" x14ac:dyDescent="0.35">
      <c r="B133" s="165">
        <v>46037</v>
      </c>
      <c r="C133" s="166">
        <v>46037</v>
      </c>
      <c r="D133" s="167" t="s">
        <v>184</v>
      </c>
      <c r="E133" s="168">
        <v>73</v>
      </c>
      <c r="F133" s="167" t="s">
        <v>927</v>
      </c>
      <c r="G133" s="167" t="s">
        <v>247</v>
      </c>
      <c r="H133" s="169">
        <v>0</v>
      </c>
      <c r="I133" s="169">
        <v>-125000</v>
      </c>
      <c r="J133" s="155">
        <f>+J132+Tabla69[[#This Row],[DEBE]]-Tabla69[[#This Row],[HABER]]</f>
        <v>818660697.71000004</v>
      </c>
      <c r="K133" s="156" t="s">
        <v>871</v>
      </c>
      <c r="L133" s="157" t="s">
        <v>649</v>
      </c>
      <c r="M133" s="157"/>
    </row>
    <row r="134" spans="2:13" x14ac:dyDescent="0.35">
      <c r="B134" s="165">
        <v>46037</v>
      </c>
      <c r="C134" s="166">
        <v>46037</v>
      </c>
      <c r="D134" s="167" t="s">
        <v>184</v>
      </c>
      <c r="E134" s="168">
        <v>73</v>
      </c>
      <c r="F134" s="167" t="s">
        <v>927</v>
      </c>
      <c r="G134" s="167" t="s">
        <v>247</v>
      </c>
      <c r="H134" s="169">
        <v>0</v>
      </c>
      <c r="I134" s="169">
        <v>125000</v>
      </c>
      <c r="J134" s="155">
        <f>+J133+Tabla69[[#This Row],[DEBE]]-Tabla69[[#This Row],[HABER]]</f>
        <v>818535697.71000004</v>
      </c>
      <c r="K134" s="156" t="s">
        <v>871</v>
      </c>
      <c r="L134" s="157" t="s">
        <v>649</v>
      </c>
      <c r="M134" s="157"/>
    </row>
    <row r="135" spans="2:13" x14ac:dyDescent="0.35">
      <c r="B135" s="165">
        <v>46037</v>
      </c>
      <c r="C135" s="166">
        <v>46037</v>
      </c>
      <c r="D135" s="167" t="s">
        <v>184</v>
      </c>
      <c r="E135" s="168">
        <v>74</v>
      </c>
      <c r="F135" s="167" t="s">
        <v>928</v>
      </c>
      <c r="G135" s="167"/>
      <c r="H135" s="169">
        <v>0</v>
      </c>
      <c r="I135" s="169">
        <v>-250000</v>
      </c>
      <c r="J135" s="155">
        <f>+J134+Tabla69[[#This Row],[DEBE]]-Tabla69[[#This Row],[HABER]]</f>
        <v>818785697.71000004</v>
      </c>
      <c r="K135" s="156" t="s">
        <v>871</v>
      </c>
      <c r="L135" s="157" t="s">
        <v>1507</v>
      </c>
      <c r="M135" s="157"/>
    </row>
    <row r="136" spans="2:13" x14ac:dyDescent="0.35">
      <c r="B136" s="165">
        <v>46037</v>
      </c>
      <c r="C136" s="166">
        <v>46037</v>
      </c>
      <c r="D136" s="167" t="s">
        <v>184</v>
      </c>
      <c r="E136" s="168">
        <v>74</v>
      </c>
      <c r="F136" s="167" t="s">
        <v>928</v>
      </c>
      <c r="G136" s="167"/>
      <c r="H136" s="169">
        <v>0</v>
      </c>
      <c r="I136" s="169">
        <v>250000</v>
      </c>
      <c r="J136" s="155">
        <f>+J135+Tabla69[[#This Row],[DEBE]]-Tabla69[[#This Row],[HABER]]</f>
        <v>818535697.71000004</v>
      </c>
      <c r="K136" s="156" t="s">
        <v>871</v>
      </c>
      <c r="L136" s="157" t="s">
        <v>1507</v>
      </c>
      <c r="M136" s="157"/>
    </row>
    <row r="137" spans="2:13" x14ac:dyDescent="0.35">
      <c r="B137" s="165">
        <v>46037</v>
      </c>
      <c r="C137" s="166">
        <v>46037</v>
      </c>
      <c r="D137" s="167" t="s">
        <v>184</v>
      </c>
      <c r="E137" s="168">
        <v>75</v>
      </c>
      <c r="F137" s="167" t="s">
        <v>929</v>
      </c>
      <c r="G137" s="167" t="s">
        <v>247</v>
      </c>
      <c r="H137" s="169">
        <v>0</v>
      </c>
      <c r="I137" s="169">
        <v>-250000</v>
      </c>
      <c r="J137" s="155">
        <f>+J136+Tabla69[[#This Row],[DEBE]]-Tabla69[[#This Row],[HABER]]</f>
        <v>818785697.71000004</v>
      </c>
      <c r="K137" s="156" t="s">
        <v>871</v>
      </c>
      <c r="L137" s="157" t="s">
        <v>649</v>
      </c>
      <c r="M137" s="157"/>
    </row>
    <row r="138" spans="2:13" x14ac:dyDescent="0.35">
      <c r="B138" s="165">
        <v>46037</v>
      </c>
      <c r="C138" s="166">
        <v>46037</v>
      </c>
      <c r="D138" s="167" t="s">
        <v>184</v>
      </c>
      <c r="E138" s="168">
        <v>75</v>
      </c>
      <c r="F138" s="167" t="s">
        <v>929</v>
      </c>
      <c r="G138" s="167" t="s">
        <v>247</v>
      </c>
      <c r="H138" s="169">
        <v>0</v>
      </c>
      <c r="I138" s="169">
        <v>250000</v>
      </c>
      <c r="J138" s="155">
        <f>+J137+Tabla69[[#This Row],[DEBE]]-Tabla69[[#This Row],[HABER]]</f>
        <v>818535697.71000004</v>
      </c>
      <c r="K138" s="156" t="s">
        <v>871</v>
      </c>
      <c r="L138" s="157" t="s">
        <v>649</v>
      </c>
      <c r="M138" s="157"/>
    </row>
    <row r="139" spans="2:13" x14ac:dyDescent="0.35">
      <c r="B139" s="165">
        <v>46037</v>
      </c>
      <c r="C139" s="166">
        <v>46037</v>
      </c>
      <c r="D139" s="167" t="s">
        <v>184</v>
      </c>
      <c r="E139" s="168">
        <v>76</v>
      </c>
      <c r="F139" s="167" t="s">
        <v>930</v>
      </c>
      <c r="G139" s="167" t="s">
        <v>248</v>
      </c>
      <c r="H139" s="169">
        <v>0</v>
      </c>
      <c r="I139" s="169">
        <v>-125000</v>
      </c>
      <c r="J139" s="155">
        <f>+J138+Tabla69[[#This Row],[DEBE]]-Tabla69[[#This Row],[HABER]]</f>
        <v>818660697.71000004</v>
      </c>
      <c r="K139" s="156" t="s">
        <v>871</v>
      </c>
      <c r="L139" s="157" t="s">
        <v>649</v>
      </c>
      <c r="M139" s="157"/>
    </row>
    <row r="140" spans="2:13" x14ac:dyDescent="0.35">
      <c r="B140" s="165">
        <v>46037</v>
      </c>
      <c r="C140" s="166">
        <v>46037</v>
      </c>
      <c r="D140" s="167" t="s">
        <v>184</v>
      </c>
      <c r="E140" s="168">
        <v>76</v>
      </c>
      <c r="F140" s="167" t="s">
        <v>930</v>
      </c>
      <c r="G140" s="167" t="s">
        <v>248</v>
      </c>
      <c r="H140" s="169">
        <v>0</v>
      </c>
      <c r="I140" s="169">
        <v>125000</v>
      </c>
      <c r="J140" s="155">
        <f>+J139+Tabla69[[#This Row],[DEBE]]-Tabla69[[#This Row],[HABER]]</f>
        <v>818535697.71000004</v>
      </c>
      <c r="K140" s="156" t="s">
        <v>871</v>
      </c>
      <c r="L140" s="157" t="s">
        <v>649</v>
      </c>
      <c r="M140" s="157"/>
    </row>
    <row r="141" spans="2:13" x14ac:dyDescent="0.35">
      <c r="B141" s="165">
        <v>46037</v>
      </c>
      <c r="C141" s="166">
        <v>46037</v>
      </c>
      <c r="D141" s="167" t="s">
        <v>184</v>
      </c>
      <c r="E141" s="168">
        <v>77</v>
      </c>
      <c r="F141" s="167" t="s">
        <v>931</v>
      </c>
      <c r="G141" s="167" t="s">
        <v>248</v>
      </c>
      <c r="H141" s="169">
        <v>0</v>
      </c>
      <c r="I141" s="169">
        <v>-62500</v>
      </c>
      <c r="J141" s="155">
        <f>+J140+Tabla69[[#This Row],[DEBE]]-Tabla69[[#This Row],[HABER]]</f>
        <v>818598197.71000004</v>
      </c>
      <c r="K141" s="156" t="s">
        <v>871</v>
      </c>
      <c r="L141" s="157" t="s">
        <v>649</v>
      </c>
      <c r="M141" s="157"/>
    </row>
    <row r="142" spans="2:13" x14ac:dyDescent="0.35">
      <c r="B142" s="165">
        <v>46037</v>
      </c>
      <c r="C142" s="166">
        <v>46037</v>
      </c>
      <c r="D142" s="167" t="s">
        <v>184</v>
      </c>
      <c r="E142" s="168">
        <v>77</v>
      </c>
      <c r="F142" s="167" t="s">
        <v>931</v>
      </c>
      <c r="G142" s="167" t="s">
        <v>248</v>
      </c>
      <c r="H142" s="169">
        <v>0</v>
      </c>
      <c r="I142" s="169">
        <v>62500</v>
      </c>
      <c r="J142" s="155">
        <f>+J141+Tabla69[[#This Row],[DEBE]]-Tabla69[[#This Row],[HABER]]</f>
        <v>818535697.71000004</v>
      </c>
      <c r="K142" s="156" t="s">
        <v>871</v>
      </c>
      <c r="L142" s="157" t="s">
        <v>649</v>
      </c>
      <c r="M142" s="157"/>
    </row>
    <row r="143" spans="2:13" x14ac:dyDescent="0.35">
      <c r="B143" s="165">
        <v>46037</v>
      </c>
      <c r="C143" s="166">
        <v>46037</v>
      </c>
      <c r="D143" s="167" t="s">
        <v>184</v>
      </c>
      <c r="E143" s="168">
        <v>78</v>
      </c>
      <c r="F143" s="167" t="s">
        <v>932</v>
      </c>
      <c r="G143" s="167" t="s">
        <v>248</v>
      </c>
      <c r="H143" s="169">
        <v>0</v>
      </c>
      <c r="I143" s="169">
        <v>-125000</v>
      </c>
      <c r="J143" s="155">
        <f>+J142+Tabla69[[#This Row],[DEBE]]-Tabla69[[#This Row],[HABER]]</f>
        <v>818660697.71000004</v>
      </c>
      <c r="K143" s="156" t="s">
        <v>871</v>
      </c>
      <c r="L143" s="157" t="s">
        <v>649</v>
      </c>
      <c r="M143" s="157"/>
    </row>
    <row r="144" spans="2:13" x14ac:dyDescent="0.35">
      <c r="B144" s="165">
        <v>46037</v>
      </c>
      <c r="C144" s="166">
        <v>46037</v>
      </c>
      <c r="D144" s="167" t="s">
        <v>184</v>
      </c>
      <c r="E144" s="168">
        <v>78</v>
      </c>
      <c r="F144" s="167" t="s">
        <v>932</v>
      </c>
      <c r="G144" s="167" t="s">
        <v>248</v>
      </c>
      <c r="H144" s="169">
        <v>0</v>
      </c>
      <c r="I144" s="169">
        <v>125000</v>
      </c>
      <c r="J144" s="155">
        <f>+J143+Tabla69[[#This Row],[DEBE]]-Tabla69[[#This Row],[HABER]]</f>
        <v>818535697.71000004</v>
      </c>
      <c r="K144" s="156" t="s">
        <v>871</v>
      </c>
      <c r="L144" s="157" t="s">
        <v>649</v>
      </c>
      <c r="M144" s="157"/>
    </row>
    <row r="145" spans="2:13" x14ac:dyDescent="0.35">
      <c r="B145" s="165">
        <v>46037</v>
      </c>
      <c r="C145" s="166">
        <v>46037</v>
      </c>
      <c r="D145" s="167" t="s">
        <v>184</v>
      </c>
      <c r="E145" s="168">
        <v>79</v>
      </c>
      <c r="F145" s="167" t="s">
        <v>933</v>
      </c>
      <c r="G145" s="167"/>
      <c r="H145" s="169">
        <v>0</v>
      </c>
      <c r="I145" s="169">
        <v>125000</v>
      </c>
      <c r="J145" s="155">
        <f>+J144+Tabla69[[#This Row],[DEBE]]-Tabla69[[#This Row],[HABER]]</f>
        <v>818410697.71000004</v>
      </c>
      <c r="K145" s="156" t="s">
        <v>871</v>
      </c>
      <c r="L145" s="157" t="s">
        <v>1507</v>
      </c>
      <c r="M145" s="157"/>
    </row>
    <row r="146" spans="2:13" x14ac:dyDescent="0.35">
      <c r="B146" s="165">
        <v>46037</v>
      </c>
      <c r="C146" s="166">
        <v>46037</v>
      </c>
      <c r="D146" s="167" t="s">
        <v>184</v>
      </c>
      <c r="E146" s="168">
        <v>79</v>
      </c>
      <c r="F146" s="167" t="s">
        <v>933</v>
      </c>
      <c r="G146" s="167"/>
      <c r="H146" s="169">
        <v>0</v>
      </c>
      <c r="I146" s="169">
        <v>-125000</v>
      </c>
      <c r="J146" s="155">
        <f>+J145+Tabla69[[#This Row],[DEBE]]-Tabla69[[#This Row],[HABER]]</f>
        <v>818535697.71000004</v>
      </c>
      <c r="K146" s="156" t="s">
        <v>871</v>
      </c>
      <c r="L146" s="157" t="s">
        <v>1507</v>
      </c>
      <c r="M146" s="157"/>
    </row>
    <row r="147" spans="2:13" x14ac:dyDescent="0.35">
      <c r="B147" s="165">
        <v>46037</v>
      </c>
      <c r="C147" s="166">
        <v>46037</v>
      </c>
      <c r="D147" s="167" t="s">
        <v>184</v>
      </c>
      <c r="E147" s="168">
        <v>80</v>
      </c>
      <c r="F147" s="167" t="s">
        <v>934</v>
      </c>
      <c r="G147" s="167" t="s">
        <v>248</v>
      </c>
      <c r="H147" s="169">
        <v>0</v>
      </c>
      <c r="I147" s="169">
        <v>-125000</v>
      </c>
      <c r="J147" s="155">
        <f>+J146+Tabla69[[#This Row],[DEBE]]-Tabla69[[#This Row],[HABER]]</f>
        <v>818660697.71000004</v>
      </c>
      <c r="K147" s="156" t="s">
        <v>871</v>
      </c>
      <c r="L147" s="157" t="s">
        <v>649</v>
      </c>
      <c r="M147" s="157"/>
    </row>
    <row r="148" spans="2:13" x14ac:dyDescent="0.35">
      <c r="B148" s="165">
        <v>46037</v>
      </c>
      <c r="C148" s="166">
        <v>46037</v>
      </c>
      <c r="D148" s="167" t="s">
        <v>184</v>
      </c>
      <c r="E148" s="168">
        <v>80</v>
      </c>
      <c r="F148" s="167" t="s">
        <v>934</v>
      </c>
      <c r="G148" s="167" t="s">
        <v>248</v>
      </c>
      <c r="H148" s="169">
        <v>0</v>
      </c>
      <c r="I148" s="169">
        <v>125000</v>
      </c>
      <c r="J148" s="155">
        <f>+J147+Tabla69[[#This Row],[DEBE]]-Tabla69[[#This Row],[HABER]]</f>
        <v>818535697.71000004</v>
      </c>
      <c r="K148" s="156" t="s">
        <v>871</v>
      </c>
      <c r="L148" s="157" t="s">
        <v>649</v>
      </c>
      <c r="M148" s="157"/>
    </row>
    <row r="149" spans="2:13" x14ac:dyDescent="0.35">
      <c r="B149" s="165">
        <v>46037</v>
      </c>
      <c r="C149" s="166">
        <v>46037</v>
      </c>
      <c r="D149" s="167" t="s">
        <v>184</v>
      </c>
      <c r="E149" s="168">
        <v>81</v>
      </c>
      <c r="F149" s="167" t="s">
        <v>935</v>
      </c>
      <c r="G149" s="167" t="s">
        <v>248</v>
      </c>
      <c r="H149" s="169">
        <v>0</v>
      </c>
      <c r="I149" s="169">
        <v>125000</v>
      </c>
      <c r="J149" s="155">
        <f>+J148+Tabla69[[#This Row],[DEBE]]-Tabla69[[#This Row],[HABER]]</f>
        <v>818410697.71000004</v>
      </c>
      <c r="K149" s="156" t="s">
        <v>871</v>
      </c>
      <c r="L149" s="157" t="s">
        <v>649</v>
      </c>
      <c r="M149" s="157"/>
    </row>
    <row r="150" spans="2:13" x14ac:dyDescent="0.35">
      <c r="B150" s="165">
        <v>46037</v>
      </c>
      <c r="C150" s="166">
        <v>46037</v>
      </c>
      <c r="D150" s="167" t="s">
        <v>184</v>
      </c>
      <c r="E150" s="168">
        <v>81</v>
      </c>
      <c r="F150" s="167" t="s">
        <v>935</v>
      </c>
      <c r="G150" s="167" t="s">
        <v>248</v>
      </c>
      <c r="H150" s="169">
        <v>0</v>
      </c>
      <c r="I150" s="169">
        <v>-125000</v>
      </c>
      <c r="J150" s="155">
        <f>+J149+Tabla69[[#This Row],[DEBE]]-Tabla69[[#This Row],[HABER]]</f>
        <v>818535697.71000004</v>
      </c>
      <c r="K150" s="156" t="s">
        <v>871</v>
      </c>
      <c r="L150" s="157" t="s">
        <v>649</v>
      </c>
      <c r="M150" s="157"/>
    </row>
    <row r="151" spans="2:13" x14ac:dyDescent="0.35">
      <c r="B151" s="165">
        <v>46037</v>
      </c>
      <c r="C151" s="166">
        <v>46037</v>
      </c>
      <c r="D151" s="167" t="s">
        <v>184</v>
      </c>
      <c r="E151" s="168">
        <v>82</v>
      </c>
      <c r="F151" s="167" t="s">
        <v>936</v>
      </c>
      <c r="G151" s="167" t="s">
        <v>247</v>
      </c>
      <c r="H151" s="169">
        <v>0</v>
      </c>
      <c r="I151" s="169">
        <v>62500</v>
      </c>
      <c r="J151" s="155">
        <f>+J150+Tabla69[[#This Row],[DEBE]]-Tabla69[[#This Row],[HABER]]</f>
        <v>818473197.71000004</v>
      </c>
      <c r="K151" s="156" t="s">
        <v>871</v>
      </c>
      <c r="L151" s="157" t="s">
        <v>649</v>
      </c>
      <c r="M151" s="157"/>
    </row>
    <row r="152" spans="2:13" x14ac:dyDescent="0.35">
      <c r="B152" s="165">
        <v>46037</v>
      </c>
      <c r="C152" s="166">
        <v>46037</v>
      </c>
      <c r="D152" s="167" t="s">
        <v>184</v>
      </c>
      <c r="E152" s="168">
        <v>82</v>
      </c>
      <c r="F152" s="167" t="s">
        <v>936</v>
      </c>
      <c r="G152" s="167" t="s">
        <v>247</v>
      </c>
      <c r="H152" s="169">
        <v>0</v>
      </c>
      <c r="I152" s="169">
        <v>-62500</v>
      </c>
      <c r="J152" s="155">
        <f>+J151+Tabla69[[#This Row],[DEBE]]-Tabla69[[#This Row],[HABER]]</f>
        <v>818535697.71000004</v>
      </c>
      <c r="K152" s="156" t="s">
        <v>871</v>
      </c>
      <c r="L152" s="157" t="s">
        <v>649</v>
      </c>
      <c r="M152" s="157"/>
    </row>
    <row r="153" spans="2:13" x14ac:dyDescent="0.35">
      <c r="B153" s="165">
        <v>46037</v>
      </c>
      <c r="C153" s="166">
        <v>46037</v>
      </c>
      <c r="D153" s="167" t="s">
        <v>184</v>
      </c>
      <c r="E153" s="168">
        <v>83</v>
      </c>
      <c r="F153" s="167" t="s">
        <v>937</v>
      </c>
      <c r="G153" s="167"/>
      <c r="H153" s="169">
        <v>0</v>
      </c>
      <c r="I153" s="169">
        <v>62500</v>
      </c>
      <c r="J153" s="155">
        <f>+J152+Tabla69[[#This Row],[DEBE]]-Tabla69[[#This Row],[HABER]]</f>
        <v>818473197.71000004</v>
      </c>
      <c r="K153" s="156" t="s">
        <v>871</v>
      </c>
      <c r="L153" s="157" t="s">
        <v>1507</v>
      </c>
      <c r="M153" s="157"/>
    </row>
    <row r="154" spans="2:13" x14ac:dyDescent="0.35">
      <c r="B154" s="165">
        <v>46037</v>
      </c>
      <c r="C154" s="166">
        <v>46037</v>
      </c>
      <c r="D154" s="167" t="s">
        <v>184</v>
      </c>
      <c r="E154" s="168">
        <v>83</v>
      </c>
      <c r="F154" s="167" t="s">
        <v>937</v>
      </c>
      <c r="G154" s="167"/>
      <c r="H154" s="169">
        <v>0</v>
      </c>
      <c r="I154" s="169">
        <v>-62500</v>
      </c>
      <c r="J154" s="155">
        <f>+J153+Tabla69[[#This Row],[DEBE]]-Tabla69[[#This Row],[HABER]]</f>
        <v>818535697.71000004</v>
      </c>
      <c r="K154" s="156" t="s">
        <v>871</v>
      </c>
      <c r="L154" s="157" t="s">
        <v>1507</v>
      </c>
      <c r="M154" s="157"/>
    </row>
    <row r="155" spans="2:13" x14ac:dyDescent="0.35">
      <c r="B155" s="165">
        <v>46037</v>
      </c>
      <c r="C155" s="166">
        <v>46037</v>
      </c>
      <c r="D155" s="167" t="s">
        <v>184</v>
      </c>
      <c r="E155" s="168">
        <v>84</v>
      </c>
      <c r="F155" s="167" t="s">
        <v>938</v>
      </c>
      <c r="G155" s="167" t="s">
        <v>247</v>
      </c>
      <c r="H155" s="169">
        <v>0</v>
      </c>
      <c r="I155" s="169">
        <v>-62500</v>
      </c>
      <c r="J155" s="155">
        <f>+J154+Tabla69[[#This Row],[DEBE]]-Tabla69[[#This Row],[HABER]]</f>
        <v>818598197.71000004</v>
      </c>
      <c r="K155" s="156" t="s">
        <v>871</v>
      </c>
      <c r="L155" s="157" t="s">
        <v>649</v>
      </c>
      <c r="M155" s="157"/>
    </row>
    <row r="156" spans="2:13" x14ac:dyDescent="0.35">
      <c r="B156" s="165">
        <v>46037</v>
      </c>
      <c r="C156" s="166">
        <v>46037</v>
      </c>
      <c r="D156" s="167" t="s">
        <v>184</v>
      </c>
      <c r="E156" s="168">
        <v>84</v>
      </c>
      <c r="F156" s="167" t="s">
        <v>938</v>
      </c>
      <c r="G156" s="167" t="s">
        <v>247</v>
      </c>
      <c r="H156" s="169">
        <v>0</v>
      </c>
      <c r="I156" s="169">
        <v>62500</v>
      </c>
      <c r="J156" s="155">
        <f>+J155+Tabla69[[#This Row],[DEBE]]-Tabla69[[#This Row],[HABER]]</f>
        <v>818535697.71000004</v>
      </c>
      <c r="K156" s="156" t="s">
        <v>871</v>
      </c>
      <c r="L156" s="157" t="s">
        <v>649</v>
      </c>
      <c r="M156" s="157"/>
    </row>
    <row r="157" spans="2:13" x14ac:dyDescent="0.35">
      <c r="B157" s="165">
        <v>46037</v>
      </c>
      <c r="C157" s="166">
        <v>46037</v>
      </c>
      <c r="D157" s="167" t="s">
        <v>184</v>
      </c>
      <c r="E157" s="168">
        <v>85</v>
      </c>
      <c r="F157" s="167" t="s">
        <v>939</v>
      </c>
      <c r="G157" s="167" t="s">
        <v>87</v>
      </c>
      <c r="H157" s="169">
        <v>0</v>
      </c>
      <c r="I157" s="169">
        <v>-62500</v>
      </c>
      <c r="J157" s="155">
        <f>+J156+Tabla69[[#This Row],[DEBE]]-Tabla69[[#This Row],[HABER]]</f>
        <v>818598197.71000004</v>
      </c>
      <c r="K157" s="156" t="s">
        <v>871</v>
      </c>
      <c r="L157" s="157" t="s">
        <v>1507</v>
      </c>
      <c r="M157" s="157"/>
    </row>
    <row r="158" spans="2:13" x14ac:dyDescent="0.35">
      <c r="B158" s="165">
        <v>46037</v>
      </c>
      <c r="C158" s="166">
        <v>46037</v>
      </c>
      <c r="D158" s="167" t="s">
        <v>184</v>
      </c>
      <c r="E158" s="168">
        <v>85</v>
      </c>
      <c r="F158" s="167" t="s">
        <v>939</v>
      </c>
      <c r="G158" s="167" t="s">
        <v>87</v>
      </c>
      <c r="H158" s="169">
        <v>0</v>
      </c>
      <c r="I158" s="169">
        <v>62500</v>
      </c>
      <c r="J158" s="155">
        <f>+J157+Tabla69[[#This Row],[DEBE]]-Tabla69[[#This Row],[HABER]]</f>
        <v>818535697.71000004</v>
      </c>
      <c r="K158" s="156" t="s">
        <v>871</v>
      </c>
      <c r="L158" s="157" t="s">
        <v>1507</v>
      </c>
      <c r="M158" s="157"/>
    </row>
    <row r="159" spans="2:13" x14ac:dyDescent="0.35">
      <c r="B159" s="165">
        <v>46037</v>
      </c>
      <c r="C159" s="166">
        <v>46037</v>
      </c>
      <c r="D159" s="167" t="s">
        <v>184</v>
      </c>
      <c r="E159" s="168">
        <v>86</v>
      </c>
      <c r="F159" s="167" t="s">
        <v>940</v>
      </c>
      <c r="G159" s="167" t="s">
        <v>247</v>
      </c>
      <c r="H159" s="169">
        <v>0</v>
      </c>
      <c r="I159" s="169">
        <v>62500</v>
      </c>
      <c r="J159" s="155">
        <f>+J158+Tabla69[[#This Row],[DEBE]]-Tabla69[[#This Row],[HABER]]</f>
        <v>818473197.71000004</v>
      </c>
      <c r="K159" s="156" t="s">
        <v>871</v>
      </c>
      <c r="L159" s="157" t="s">
        <v>649</v>
      </c>
      <c r="M159" s="157"/>
    </row>
    <row r="160" spans="2:13" x14ac:dyDescent="0.35">
      <c r="B160" s="165">
        <v>46037</v>
      </c>
      <c r="C160" s="166">
        <v>46037</v>
      </c>
      <c r="D160" s="167" t="s">
        <v>184</v>
      </c>
      <c r="E160" s="168">
        <v>86</v>
      </c>
      <c r="F160" s="167" t="s">
        <v>940</v>
      </c>
      <c r="G160" s="167" t="s">
        <v>247</v>
      </c>
      <c r="H160" s="169">
        <v>0</v>
      </c>
      <c r="I160" s="169">
        <v>-62500</v>
      </c>
      <c r="J160" s="155">
        <f>+J159+Tabla69[[#This Row],[DEBE]]-Tabla69[[#This Row],[HABER]]</f>
        <v>818535697.71000004</v>
      </c>
      <c r="K160" s="156" t="s">
        <v>871</v>
      </c>
      <c r="L160" s="157" t="s">
        <v>649</v>
      </c>
      <c r="M160" s="157"/>
    </row>
    <row r="161" spans="2:13" x14ac:dyDescent="0.35">
      <c r="B161" s="165">
        <v>46037</v>
      </c>
      <c r="C161" s="166">
        <v>46037</v>
      </c>
      <c r="D161" s="167" t="s">
        <v>184</v>
      </c>
      <c r="E161" s="168">
        <v>87</v>
      </c>
      <c r="F161" s="167" t="s">
        <v>941</v>
      </c>
      <c r="G161" s="167" t="s">
        <v>249</v>
      </c>
      <c r="H161" s="169">
        <v>0</v>
      </c>
      <c r="I161" s="169">
        <v>-62500</v>
      </c>
      <c r="J161" s="155">
        <f>+J160+Tabla69[[#This Row],[DEBE]]-Tabla69[[#This Row],[HABER]]</f>
        <v>818598197.71000004</v>
      </c>
      <c r="K161" s="156" t="s">
        <v>871</v>
      </c>
      <c r="L161" s="157" t="s">
        <v>1507</v>
      </c>
      <c r="M161" s="157"/>
    </row>
    <row r="162" spans="2:13" x14ac:dyDescent="0.35">
      <c r="B162" s="165">
        <v>46037</v>
      </c>
      <c r="C162" s="166">
        <v>46037</v>
      </c>
      <c r="D162" s="167" t="s">
        <v>184</v>
      </c>
      <c r="E162" s="168">
        <v>87</v>
      </c>
      <c r="F162" s="167" t="s">
        <v>941</v>
      </c>
      <c r="G162" s="167" t="s">
        <v>249</v>
      </c>
      <c r="H162" s="169">
        <v>0</v>
      </c>
      <c r="I162" s="169">
        <v>62500</v>
      </c>
      <c r="J162" s="155">
        <f>+J161+Tabla69[[#This Row],[DEBE]]-Tabla69[[#This Row],[HABER]]</f>
        <v>818535697.71000004</v>
      </c>
      <c r="K162" s="156" t="s">
        <v>871</v>
      </c>
      <c r="L162" s="157" t="s">
        <v>1507</v>
      </c>
      <c r="M162" s="157"/>
    </row>
    <row r="163" spans="2:13" x14ac:dyDescent="0.35">
      <c r="B163" s="165">
        <v>46037</v>
      </c>
      <c r="C163" s="166">
        <v>46037</v>
      </c>
      <c r="D163" s="167" t="s">
        <v>184</v>
      </c>
      <c r="E163" s="168">
        <v>88</v>
      </c>
      <c r="F163" s="167" t="s">
        <v>942</v>
      </c>
      <c r="G163" s="167" t="s">
        <v>248</v>
      </c>
      <c r="H163" s="169">
        <v>0</v>
      </c>
      <c r="I163" s="169">
        <v>-250000</v>
      </c>
      <c r="J163" s="155">
        <f>+J162+Tabla69[[#This Row],[DEBE]]-Tabla69[[#This Row],[HABER]]</f>
        <v>818785697.71000004</v>
      </c>
      <c r="K163" s="156" t="s">
        <v>871</v>
      </c>
      <c r="L163" s="157" t="s">
        <v>649</v>
      </c>
      <c r="M163" s="157"/>
    </row>
    <row r="164" spans="2:13" x14ac:dyDescent="0.35">
      <c r="B164" s="165">
        <v>46037</v>
      </c>
      <c r="C164" s="166">
        <v>46037</v>
      </c>
      <c r="D164" s="167" t="s">
        <v>184</v>
      </c>
      <c r="E164" s="168">
        <v>88</v>
      </c>
      <c r="F164" s="167" t="s">
        <v>942</v>
      </c>
      <c r="G164" s="167" t="s">
        <v>248</v>
      </c>
      <c r="H164" s="169">
        <v>0</v>
      </c>
      <c r="I164" s="169">
        <v>250000</v>
      </c>
      <c r="J164" s="155">
        <f>+J163+Tabla69[[#This Row],[DEBE]]-Tabla69[[#This Row],[HABER]]</f>
        <v>818535697.71000004</v>
      </c>
      <c r="K164" s="156" t="s">
        <v>871</v>
      </c>
      <c r="L164" s="157" t="s">
        <v>649</v>
      </c>
      <c r="M164" s="157"/>
    </row>
    <row r="165" spans="2:13" x14ac:dyDescent="0.35">
      <c r="B165" s="165">
        <v>46037</v>
      </c>
      <c r="C165" s="166">
        <v>46037</v>
      </c>
      <c r="D165" s="167" t="s">
        <v>184</v>
      </c>
      <c r="E165" s="168">
        <v>89</v>
      </c>
      <c r="F165" s="167" t="s">
        <v>943</v>
      </c>
      <c r="G165" s="167" t="s">
        <v>248</v>
      </c>
      <c r="H165" s="169">
        <v>0</v>
      </c>
      <c r="I165" s="169">
        <v>-250000</v>
      </c>
      <c r="J165" s="155">
        <f>+J164+Tabla69[[#This Row],[DEBE]]-Tabla69[[#This Row],[HABER]]</f>
        <v>818785697.71000004</v>
      </c>
      <c r="K165" s="156" t="s">
        <v>871</v>
      </c>
      <c r="L165" s="157" t="s">
        <v>649</v>
      </c>
      <c r="M165" s="157"/>
    </row>
    <row r="166" spans="2:13" x14ac:dyDescent="0.35">
      <c r="B166" s="165">
        <v>46037</v>
      </c>
      <c r="C166" s="166">
        <v>46037</v>
      </c>
      <c r="D166" s="167" t="s">
        <v>184</v>
      </c>
      <c r="E166" s="168">
        <v>89</v>
      </c>
      <c r="F166" s="167" t="s">
        <v>943</v>
      </c>
      <c r="G166" s="167" t="s">
        <v>248</v>
      </c>
      <c r="H166" s="169">
        <v>0</v>
      </c>
      <c r="I166" s="169">
        <v>250000</v>
      </c>
      <c r="J166" s="155">
        <f>+J165+Tabla69[[#This Row],[DEBE]]-Tabla69[[#This Row],[HABER]]</f>
        <v>818535697.71000004</v>
      </c>
      <c r="K166" s="156" t="s">
        <v>871</v>
      </c>
      <c r="L166" s="157" t="s">
        <v>649</v>
      </c>
      <c r="M166" s="157"/>
    </row>
    <row r="167" spans="2:13" x14ac:dyDescent="0.35">
      <c r="B167" s="165">
        <v>46037</v>
      </c>
      <c r="C167" s="166">
        <v>46037</v>
      </c>
      <c r="D167" s="167" t="s">
        <v>184</v>
      </c>
      <c r="E167" s="168">
        <v>90</v>
      </c>
      <c r="F167" s="167" t="s">
        <v>944</v>
      </c>
      <c r="G167" s="167" t="s">
        <v>247</v>
      </c>
      <c r="H167" s="169">
        <v>0</v>
      </c>
      <c r="I167" s="169">
        <v>-125000</v>
      </c>
      <c r="J167" s="155">
        <f>+J166+Tabla69[[#This Row],[DEBE]]-Tabla69[[#This Row],[HABER]]</f>
        <v>818660697.71000004</v>
      </c>
      <c r="K167" s="156" t="s">
        <v>871</v>
      </c>
      <c r="L167" s="157" t="s">
        <v>649</v>
      </c>
      <c r="M167" s="157"/>
    </row>
    <row r="168" spans="2:13" x14ac:dyDescent="0.35">
      <c r="B168" s="165">
        <v>46037</v>
      </c>
      <c r="C168" s="166">
        <v>46037</v>
      </c>
      <c r="D168" s="167" t="s">
        <v>184</v>
      </c>
      <c r="E168" s="168">
        <v>90</v>
      </c>
      <c r="F168" s="167" t="s">
        <v>944</v>
      </c>
      <c r="G168" s="167" t="s">
        <v>247</v>
      </c>
      <c r="H168" s="169">
        <v>0</v>
      </c>
      <c r="I168" s="169">
        <v>125000</v>
      </c>
      <c r="J168" s="155">
        <f>+J167+Tabla69[[#This Row],[DEBE]]-Tabla69[[#This Row],[HABER]]</f>
        <v>818535697.71000004</v>
      </c>
      <c r="K168" s="156" t="s">
        <v>871</v>
      </c>
      <c r="L168" s="157" t="s">
        <v>649</v>
      </c>
      <c r="M168" s="157"/>
    </row>
    <row r="169" spans="2:13" x14ac:dyDescent="0.35">
      <c r="B169" s="165">
        <v>46037</v>
      </c>
      <c r="C169" s="166">
        <v>46037</v>
      </c>
      <c r="D169" s="167" t="s">
        <v>184</v>
      </c>
      <c r="E169" s="168">
        <v>91</v>
      </c>
      <c r="F169" s="167" t="s">
        <v>945</v>
      </c>
      <c r="G169" s="167" t="s">
        <v>248</v>
      </c>
      <c r="H169" s="169">
        <v>0</v>
      </c>
      <c r="I169" s="169">
        <v>250000</v>
      </c>
      <c r="J169" s="155">
        <f>+J168+Tabla69[[#This Row],[DEBE]]-Tabla69[[#This Row],[HABER]]</f>
        <v>818285697.71000004</v>
      </c>
      <c r="K169" s="156" t="s">
        <v>871</v>
      </c>
      <c r="L169" s="157" t="s">
        <v>649</v>
      </c>
      <c r="M169" s="157"/>
    </row>
    <row r="170" spans="2:13" x14ac:dyDescent="0.35">
      <c r="B170" s="165">
        <v>46037</v>
      </c>
      <c r="C170" s="166">
        <v>46037</v>
      </c>
      <c r="D170" s="167" t="s">
        <v>184</v>
      </c>
      <c r="E170" s="168">
        <v>91</v>
      </c>
      <c r="F170" s="167" t="s">
        <v>945</v>
      </c>
      <c r="G170" s="167" t="s">
        <v>248</v>
      </c>
      <c r="H170" s="169">
        <v>0</v>
      </c>
      <c r="I170" s="169">
        <v>-250000</v>
      </c>
      <c r="J170" s="155">
        <f>+J169+Tabla69[[#This Row],[DEBE]]-Tabla69[[#This Row],[HABER]]</f>
        <v>818535697.71000004</v>
      </c>
      <c r="K170" s="156" t="s">
        <v>871</v>
      </c>
      <c r="L170" s="157" t="s">
        <v>649</v>
      </c>
      <c r="M170" s="157"/>
    </row>
    <row r="171" spans="2:13" x14ac:dyDescent="0.35">
      <c r="B171" s="165">
        <v>46037</v>
      </c>
      <c r="C171" s="166">
        <v>46037</v>
      </c>
      <c r="D171" s="167" t="s">
        <v>184</v>
      </c>
      <c r="E171" s="168">
        <v>92</v>
      </c>
      <c r="F171" s="167" t="s">
        <v>946</v>
      </c>
      <c r="G171" s="167" t="s">
        <v>248</v>
      </c>
      <c r="H171" s="169">
        <v>0</v>
      </c>
      <c r="I171" s="169">
        <v>-125000</v>
      </c>
      <c r="J171" s="155">
        <f>+J170+Tabla69[[#This Row],[DEBE]]-Tabla69[[#This Row],[HABER]]</f>
        <v>818660697.71000004</v>
      </c>
      <c r="K171" s="156" t="s">
        <v>871</v>
      </c>
      <c r="L171" s="157" t="s">
        <v>649</v>
      </c>
      <c r="M171" s="157"/>
    </row>
    <row r="172" spans="2:13" x14ac:dyDescent="0.35">
      <c r="B172" s="165">
        <v>46037</v>
      </c>
      <c r="C172" s="166">
        <v>46037</v>
      </c>
      <c r="D172" s="167" t="s">
        <v>184</v>
      </c>
      <c r="E172" s="168">
        <v>92</v>
      </c>
      <c r="F172" s="167" t="s">
        <v>946</v>
      </c>
      <c r="G172" s="167" t="s">
        <v>248</v>
      </c>
      <c r="H172" s="169">
        <v>0</v>
      </c>
      <c r="I172" s="169">
        <v>125000</v>
      </c>
      <c r="J172" s="155">
        <f>+J171+Tabla69[[#This Row],[DEBE]]-Tabla69[[#This Row],[HABER]]</f>
        <v>818535697.71000004</v>
      </c>
      <c r="K172" s="156" t="s">
        <v>871</v>
      </c>
      <c r="L172" s="157" t="s">
        <v>649</v>
      </c>
      <c r="M172" s="157"/>
    </row>
    <row r="173" spans="2:13" x14ac:dyDescent="0.35">
      <c r="B173" s="165">
        <v>46037</v>
      </c>
      <c r="C173" s="166">
        <v>46037</v>
      </c>
      <c r="D173" s="167" t="s">
        <v>184</v>
      </c>
      <c r="E173" s="168">
        <v>93</v>
      </c>
      <c r="F173" s="167" t="s">
        <v>947</v>
      </c>
      <c r="G173" s="167" t="s">
        <v>247</v>
      </c>
      <c r="H173" s="169">
        <v>0</v>
      </c>
      <c r="I173" s="169">
        <v>-125000</v>
      </c>
      <c r="J173" s="155">
        <f>+J172+Tabla69[[#This Row],[DEBE]]-Tabla69[[#This Row],[HABER]]</f>
        <v>818660697.71000004</v>
      </c>
      <c r="K173" s="156" t="s">
        <v>871</v>
      </c>
      <c r="L173" s="157" t="s">
        <v>649</v>
      </c>
      <c r="M173" s="157"/>
    </row>
    <row r="174" spans="2:13" x14ac:dyDescent="0.35">
      <c r="B174" s="165">
        <v>46037</v>
      </c>
      <c r="C174" s="166">
        <v>46037</v>
      </c>
      <c r="D174" s="167" t="s">
        <v>184</v>
      </c>
      <c r="E174" s="168">
        <v>93</v>
      </c>
      <c r="F174" s="167" t="s">
        <v>947</v>
      </c>
      <c r="G174" s="167" t="s">
        <v>247</v>
      </c>
      <c r="H174" s="169">
        <v>0</v>
      </c>
      <c r="I174" s="169">
        <v>125000</v>
      </c>
      <c r="J174" s="155">
        <f>+J173+Tabla69[[#This Row],[DEBE]]-Tabla69[[#This Row],[HABER]]</f>
        <v>818535697.71000004</v>
      </c>
      <c r="K174" s="156" t="s">
        <v>871</v>
      </c>
      <c r="L174" s="157" t="s">
        <v>649</v>
      </c>
      <c r="M174" s="157"/>
    </row>
    <row r="175" spans="2:13" x14ac:dyDescent="0.35">
      <c r="B175" s="165">
        <v>46037</v>
      </c>
      <c r="C175" s="166">
        <v>46037</v>
      </c>
      <c r="D175" s="167" t="s">
        <v>184</v>
      </c>
      <c r="E175" s="168">
        <v>94</v>
      </c>
      <c r="F175" s="167" t="s">
        <v>948</v>
      </c>
      <c r="G175" s="167" t="s">
        <v>248</v>
      </c>
      <c r="H175" s="169">
        <v>0</v>
      </c>
      <c r="I175" s="169">
        <v>125000</v>
      </c>
      <c r="J175" s="155">
        <f>+J174+Tabla69[[#This Row],[DEBE]]-Tabla69[[#This Row],[HABER]]</f>
        <v>818410697.71000004</v>
      </c>
      <c r="K175" s="156" t="s">
        <v>871</v>
      </c>
      <c r="L175" s="157" t="s">
        <v>649</v>
      </c>
      <c r="M175" s="157"/>
    </row>
    <row r="176" spans="2:13" x14ac:dyDescent="0.35">
      <c r="B176" s="165">
        <v>46037</v>
      </c>
      <c r="C176" s="166">
        <v>46037</v>
      </c>
      <c r="D176" s="167" t="s">
        <v>184</v>
      </c>
      <c r="E176" s="168">
        <v>94</v>
      </c>
      <c r="F176" s="167" t="s">
        <v>948</v>
      </c>
      <c r="G176" s="167" t="s">
        <v>248</v>
      </c>
      <c r="H176" s="169">
        <v>0</v>
      </c>
      <c r="I176" s="169">
        <v>-125000</v>
      </c>
      <c r="J176" s="155">
        <f>+J175+Tabla69[[#This Row],[DEBE]]-Tabla69[[#This Row],[HABER]]</f>
        <v>818535697.71000004</v>
      </c>
      <c r="K176" s="156" t="s">
        <v>871</v>
      </c>
      <c r="L176" s="157" t="s">
        <v>649</v>
      </c>
      <c r="M176" s="157"/>
    </row>
    <row r="177" spans="2:13" x14ac:dyDescent="0.35">
      <c r="B177" s="165">
        <v>46037</v>
      </c>
      <c r="C177" s="166">
        <v>46037</v>
      </c>
      <c r="D177" s="167" t="s">
        <v>184</v>
      </c>
      <c r="E177" s="168">
        <v>95</v>
      </c>
      <c r="F177" s="167" t="s">
        <v>949</v>
      </c>
      <c r="G177" s="167"/>
      <c r="H177" s="169">
        <v>0</v>
      </c>
      <c r="I177" s="169">
        <v>250000</v>
      </c>
      <c r="J177" s="155">
        <f>+J176+Tabla69[[#This Row],[DEBE]]-Tabla69[[#This Row],[HABER]]</f>
        <v>818285697.71000004</v>
      </c>
      <c r="K177" s="156" t="s">
        <v>871</v>
      </c>
      <c r="L177" s="157" t="s">
        <v>1507</v>
      </c>
      <c r="M177" s="157"/>
    </row>
    <row r="178" spans="2:13" x14ac:dyDescent="0.35">
      <c r="B178" s="165">
        <v>46037</v>
      </c>
      <c r="C178" s="166">
        <v>46037</v>
      </c>
      <c r="D178" s="167" t="s">
        <v>184</v>
      </c>
      <c r="E178" s="168">
        <v>95</v>
      </c>
      <c r="F178" s="167" t="s">
        <v>949</v>
      </c>
      <c r="G178" s="167"/>
      <c r="H178" s="169">
        <v>0</v>
      </c>
      <c r="I178" s="169">
        <v>-250000</v>
      </c>
      <c r="J178" s="155">
        <f>+J177+Tabla69[[#This Row],[DEBE]]-Tabla69[[#This Row],[HABER]]</f>
        <v>818535697.71000004</v>
      </c>
      <c r="K178" s="156" t="s">
        <v>871</v>
      </c>
      <c r="L178" s="157" t="s">
        <v>1507</v>
      </c>
      <c r="M178" s="157"/>
    </row>
    <row r="179" spans="2:13" x14ac:dyDescent="0.35">
      <c r="B179" s="165">
        <v>46037</v>
      </c>
      <c r="C179" s="166">
        <v>46037</v>
      </c>
      <c r="D179" s="167" t="s">
        <v>184</v>
      </c>
      <c r="E179" s="168">
        <v>96</v>
      </c>
      <c r="F179" s="167" t="s">
        <v>950</v>
      </c>
      <c r="G179" s="167" t="s">
        <v>247</v>
      </c>
      <c r="H179" s="169">
        <v>0</v>
      </c>
      <c r="I179" s="169">
        <v>62500</v>
      </c>
      <c r="J179" s="155">
        <f>+J178+Tabla69[[#This Row],[DEBE]]-Tabla69[[#This Row],[HABER]]</f>
        <v>818473197.71000004</v>
      </c>
      <c r="K179" s="156" t="s">
        <v>871</v>
      </c>
      <c r="L179" s="157" t="s">
        <v>649</v>
      </c>
      <c r="M179" s="157"/>
    </row>
    <row r="180" spans="2:13" x14ac:dyDescent="0.35">
      <c r="B180" s="165">
        <v>46037</v>
      </c>
      <c r="C180" s="166">
        <v>46037</v>
      </c>
      <c r="D180" s="167" t="s">
        <v>184</v>
      </c>
      <c r="E180" s="168">
        <v>96</v>
      </c>
      <c r="F180" s="167" t="s">
        <v>950</v>
      </c>
      <c r="G180" s="167" t="s">
        <v>247</v>
      </c>
      <c r="H180" s="169">
        <v>0</v>
      </c>
      <c r="I180" s="169">
        <v>-62500</v>
      </c>
      <c r="J180" s="155">
        <f>+J179+Tabla69[[#This Row],[DEBE]]-Tabla69[[#This Row],[HABER]]</f>
        <v>818535697.71000004</v>
      </c>
      <c r="K180" s="156" t="s">
        <v>871</v>
      </c>
      <c r="L180" s="157" t="s">
        <v>649</v>
      </c>
      <c r="M180" s="157"/>
    </row>
    <row r="181" spans="2:13" x14ac:dyDescent="0.35">
      <c r="B181" s="165">
        <v>46037</v>
      </c>
      <c r="C181" s="166">
        <v>46037</v>
      </c>
      <c r="D181" s="167" t="s">
        <v>184</v>
      </c>
      <c r="E181" s="168">
        <v>97</v>
      </c>
      <c r="F181" s="167" t="s">
        <v>951</v>
      </c>
      <c r="G181" s="167" t="s">
        <v>247</v>
      </c>
      <c r="H181" s="169">
        <v>0</v>
      </c>
      <c r="I181" s="169">
        <v>-62500</v>
      </c>
      <c r="J181" s="155">
        <f>+J180+Tabla69[[#This Row],[DEBE]]-Tabla69[[#This Row],[HABER]]</f>
        <v>818598197.71000004</v>
      </c>
      <c r="K181" s="156" t="s">
        <v>871</v>
      </c>
      <c r="L181" s="157" t="s">
        <v>1507</v>
      </c>
      <c r="M181" s="157"/>
    </row>
    <row r="182" spans="2:13" x14ac:dyDescent="0.35">
      <c r="B182" s="165">
        <v>46037</v>
      </c>
      <c r="C182" s="166">
        <v>46037</v>
      </c>
      <c r="D182" s="167" t="s">
        <v>184</v>
      </c>
      <c r="E182" s="168">
        <v>97</v>
      </c>
      <c r="F182" s="167" t="s">
        <v>951</v>
      </c>
      <c r="G182" s="167" t="s">
        <v>247</v>
      </c>
      <c r="H182" s="169">
        <v>0</v>
      </c>
      <c r="I182" s="169">
        <v>62500</v>
      </c>
      <c r="J182" s="155">
        <f>+J181+Tabla69[[#This Row],[DEBE]]-Tabla69[[#This Row],[HABER]]</f>
        <v>818535697.71000004</v>
      </c>
      <c r="K182" s="156" t="s">
        <v>871</v>
      </c>
      <c r="L182" s="157" t="s">
        <v>1507</v>
      </c>
      <c r="M182" s="157"/>
    </row>
    <row r="183" spans="2:13" x14ac:dyDescent="0.35">
      <c r="B183" s="165">
        <v>46037</v>
      </c>
      <c r="C183" s="166">
        <v>46037</v>
      </c>
      <c r="D183" s="167" t="s">
        <v>184</v>
      </c>
      <c r="E183" s="168">
        <v>98</v>
      </c>
      <c r="F183" s="167" t="s">
        <v>952</v>
      </c>
      <c r="G183" s="167" t="s">
        <v>247</v>
      </c>
      <c r="H183" s="169">
        <v>0</v>
      </c>
      <c r="I183" s="169">
        <v>250000</v>
      </c>
      <c r="J183" s="155">
        <f>+J182+Tabla69[[#This Row],[DEBE]]-Tabla69[[#This Row],[HABER]]</f>
        <v>818285697.71000004</v>
      </c>
      <c r="K183" s="156" t="s">
        <v>871</v>
      </c>
      <c r="L183" s="157" t="s">
        <v>649</v>
      </c>
      <c r="M183" s="157"/>
    </row>
    <row r="184" spans="2:13" x14ac:dyDescent="0.35">
      <c r="B184" s="165">
        <v>46037</v>
      </c>
      <c r="C184" s="166">
        <v>46037</v>
      </c>
      <c r="D184" s="167" t="s">
        <v>184</v>
      </c>
      <c r="E184" s="168">
        <v>98</v>
      </c>
      <c r="F184" s="167" t="s">
        <v>952</v>
      </c>
      <c r="G184" s="167" t="s">
        <v>247</v>
      </c>
      <c r="H184" s="169">
        <v>0</v>
      </c>
      <c r="I184" s="169">
        <v>-250000</v>
      </c>
      <c r="J184" s="155">
        <f>+J183+Tabla69[[#This Row],[DEBE]]-Tabla69[[#This Row],[HABER]]</f>
        <v>818535697.71000004</v>
      </c>
      <c r="K184" s="156" t="s">
        <v>871</v>
      </c>
      <c r="L184" s="157" t="s">
        <v>649</v>
      </c>
      <c r="M184" s="157"/>
    </row>
    <row r="185" spans="2:13" x14ac:dyDescent="0.35">
      <c r="B185" s="165">
        <v>46037</v>
      </c>
      <c r="C185" s="166">
        <v>46037</v>
      </c>
      <c r="D185" s="167" t="s">
        <v>184</v>
      </c>
      <c r="E185" s="168">
        <v>99</v>
      </c>
      <c r="F185" s="167" t="s">
        <v>953</v>
      </c>
      <c r="G185" s="167" t="s">
        <v>248</v>
      </c>
      <c r="H185" s="169">
        <v>0</v>
      </c>
      <c r="I185" s="169">
        <v>-62500</v>
      </c>
      <c r="J185" s="155">
        <f>+J184+Tabla69[[#This Row],[DEBE]]-Tabla69[[#This Row],[HABER]]</f>
        <v>818598197.71000004</v>
      </c>
      <c r="K185" s="156" t="s">
        <v>871</v>
      </c>
      <c r="L185" s="157" t="s">
        <v>649</v>
      </c>
      <c r="M185" s="157"/>
    </row>
    <row r="186" spans="2:13" x14ac:dyDescent="0.35">
      <c r="B186" s="165">
        <v>46037</v>
      </c>
      <c r="C186" s="166">
        <v>46037</v>
      </c>
      <c r="D186" s="167" t="s">
        <v>184</v>
      </c>
      <c r="E186" s="168">
        <v>99</v>
      </c>
      <c r="F186" s="167" t="s">
        <v>953</v>
      </c>
      <c r="G186" s="167" t="s">
        <v>248</v>
      </c>
      <c r="H186" s="169">
        <v>0</v>
      </c>
      <c r="I186" s="169">
        <v>62500</v>
      </c>
      <c r="J186" s="155">
        <f>+J185+Tabla69[[#This Row],[DEBE]]-Tabla69[[#This Row],[HABER]]</f>
        <v>818535697.71000004</v>
      </c>
      <c r="K186" s="156" t="s">
        <v>871</v>
      </c>
      <c r="L186" s="157" t="s">
        <v>649</v>
      </c>
      <c r="M186" s="157"/>
    </row>
    <row r="187" spans="2:13" x14ac:dyDescent="0.35">
      <c r="B187" s="165">
        <v>46037</v>
      </c>
      <c r="C187" s="166">
        <v>46037</v>
      </c>
      <c r="D187" s="167" t="s">
        <v>184</v>
      </c>
      <c r="E187" s="168">
        <v>100</v>
      </c>
      <c r="F187" s="167" t="s">
        <v>954</v>
      </c>
      <c r="G187" s="167" t="s">
        <v>248</v>
      </c>
      <c r="H187" s="169">
        <v>0</v>
      </c>
      <c r="I187" s="169">
        <v>-62500</v>
      </c>
      <c r="J187" s="155">
        <f>+J186+Tabla69[[#This Row],[DEBE]]-Tabla69[[#This Row],[HABER]]</f>
        <v>818598197.71000004</v>
      </c>
      <c r="K187" s="156" t="s">
        <v>871</v>
      </c>
      <c r="L187" s="157" t="s">
        <v>649</v>
      </c>
      <c r="M187" s="157"/>
    </row>
    <row r="188" spans="2:13" x14ac:dyDescent="0.35">
      <c r="B188" s="165">
        <v>46037</v>
      </c>
      <c r="C188" s="166">
        <v>46037</v>
      </c>
      <c r="D188" s="167" t="s">
        <v>184</v>
      </c>
      <c r="E188" s="168">
        <v>100</v>
      </c>
      <c r="F188" s="167" t="s">
        <v>954</v>
      </c>
      <c r="G188" s="167" t="s">
        <v>248</v>
      </c>
      <c r="H188" s="169">
        <v>0</v>
      </c>
      <c r="I188" s="169">
        <v>62500</v>
      </c>
      <c r="J188" s="155">
        <f>+J187+Tabla69[[#This Row],[DEBE]]-Tabla69[[#This Row],[HABER]]</f>
        <v>818535697.71000004</v>
      </c>
      <c r="K188" s="156" t="s">
        <v>871</v>
      </c>
      <c r="L188" s="157" t="s">
        <v>649</v>
      </c>
      <c r="M188" s="157"/>
    </row>
    <row r="189" spans="2:13" x14ac:dyDescent="0.35">
      <c r="B189" s="165">
        <v>46037</v>
      </c>
      <c r="C189" s="166">
        <v>46037</v>
      </c>
      <c r="D189" s="167" t="s">
        <v>184</v>
      </c>
      <c r="E189" s="168">
        <v>101</v>
      </c>
      <c r="F189" s="167" t="s">
        <v>955</v>
      </c>
      <c r="G189" s="167" t="s">
        <v>247</v>
      </c>
      <c r="H189" s="169">
        <v>0</v>
      </c>
      <c r="I189" s="169">
        <v>-250000</v>
      </c>
      <c r="J189" s="155">
        <f>+J188+Tabla69[[#This Row],[DEBE]]-Tabla69[[#This Row],[HABER]]</f>
        <v>818785697.71000004</v>
      </c>
      <c r="K189" s="156" t="s">
        <v>871</v>
      </c>
      <c r="L189" s="157" t="s">
        <v>649</v>
      </c>
      <c r="M189" s="157"/>
    </row>
    <row r="190" spans="2:13" x14ac:dyDescent="0.35">
      <c r="B190" s="165">
        <v>46037</v>
      </c>
      <c r="C190" s="166">
        <v>46037</v>
      </c>
      <c r="D190" s="167" t="s">
        <v>184</v>
      </c>
      <c r="E190" s="168">
        <v>101</v>
      </c>
      <c r="F190" s="167" t="s">
        <v>955</v>
      </c>
      <c r="G190" s="167" t="s">
        <v>247</v>
      </c>
      <c r="H190" s="169">
        <v>0</v>
      </c>
      <c r="I190" s="169">
        <v>250000</v>
      </c>
      <c r="J190" s="155">
        <f>+J189+Tabla69[[#This Row],[DEBE]]-Tabla69[[#This Row],[HABER]]</f>
        <v>818535697.71000004</v>
      </c>
      <c r="K190" s="156" t="s">
        <v>871</v>
      </c>
      <c r="L190" s="157" t="s">
        <v>649</v>
      </c>
      <c r="M190" s="157"/>
    </row>
    <row r="191" spans="2:13" x14ac:dyDescent="0.35">
      <c r="B191" s="165">
        <v>46037</v>
      </c>
      <c r="C191" s="166">
        <v>46037</v>
      </c>
      <c r="D191" s="167" t="s">
        <v>184</v>
      </c>
      <c r="E191" s="168">
        <v>102</v>
      </c>
      <c r="F191" s="167" t="s">
        <v>956</v>
      </c>
      <c r="G191" s="167" t="s">
        <v>248</v>
      </c>
      <c r="H191" s="169">
        <v>0</v>
      </c>
      <c r="I191" s="169">
        <v>250000</v>
      </c>
      <c r="J191" s="155">
        <f>+J190+Tabla69[[#This Row],[DEBE]]-Tabla69[[#This Row],[HABER]]</f>
        <v>818285697.71000004</v>
      </c>
      <c r="K191" s="156" t="s">
        <v>871</v>
      </c>
      <c r="L191" s="157" t="s">
        <v>649</v>
      </c>
      <c r="M191" s="157"/>
    </row>
    <row r="192" spans="2:13" x14ac:dyDescent="0.35">
      <c r="B192" s="165">
        <v>46037</v>
      </c>
      <c r="C192" s="166">
        <v>46037</v>
      </c>
      <c r="D192" s="167" t="s">
        <v>184</v>
      </c>
      <c r="E192" s="168">
        <v>102</v>
      </c>
      <c r="F192" s="167" t="s">
        <v>956</v>
      </c>
      <c r="G192" s="167" t="s">
        <v>248</v>
      </c>
      <c r="H192" s="169">
        <v>0</v>
      </c>
      <c r="I192" s="169">
        <v>-250000</v>
      </c>
      <c r="J192" s="155">
        <f>+J191+Tabla69[[#This Row],[DEBE]]-Tabla69[[#This Row],[HABER]]</f>
        <v>818535697.71000004</v>
      </c>
      <c r="K192" s="156" t="s">
        <v>871</v>
      </c>
      <c r="L192" s="157" t="s">
        <v>649</v>
      </c>
      <c r="M192" s="157"/>
    </row>
    <row r="193" spans="2:13" x14ac:dyDescent="0.35">
      <c r="B193" s="165">
        <v>46037</v>
      </c>
      <c r="C193" s="166">
        <v>46037</v>
      </c>
      <c r="D193" s="167" t="s">
        <v>184</v>
      </c>
      <c r="E193" s="168">
        <v>103</v>
      </c>
      <c r="F193" s="167" t="s">
        <v>957</v>
      </c>
      <c r="G193" s="167" t="s">
        <v>247</v>
      </c>
      <c r="H193" s="169">
        <v>0</v>
      </c>
      <c r="I193" s="169">
        <v>-62500</v>
      </c>
      <c r="J193" s="155">
        <f>+J192+Tabla69[[#This Row],[DEBE]]-Tabla69[[#This Row],[HABER]]</f>
        <v>818598197.71000004</v>
      </c>
      <c r="K193" s="156" t="s">
        <v>871</v>
      </c>
      <c r="L193" s="157" t="s">
        <v>1507</v>
      </c>
      <c r="M193" s="157"/>
    </row>
    <row r="194" spans="2:13" x14ac:dyDescent="0.35">
      <c r="B194" s="165">
        <v>46037</v>
      </c>
      <c r="C194" s="166">
        <v>46037</v>
      </c>
      <c r="D194" s="167" t="s">
        <v>184</v>
      </c>
      <c r="E194" s="168">
        <v>103</v>
      </c>
      <c r="F194" s="167" t="s">
        <v>957</v>
      </c>
      <c r="G194" s="167" t="s">
        <v>247</v>
      </c>
      <c r="H194" s="169">
        <v>0</v>
      </c>
      <c r="I194" s="169">
        <v>62500</v>
      </c>
      <c r="J194" s="155">
        <f>+J193+Tabla69[[#This Row],[DEBE]]-Tabla69[[#This Row],[HABER]]</f>
        <v>818535697.71000004</v>
      </c>
      <c r="K194" s="156" t="s">
        <v>871</v>
      </c>
      <c r="L194" s="157" t="s">
        <v>1507</v>
      </c>
      <c r="M194" s="157"/>
    </row>
    <row r="195" spans="2:13" x14ac:dyDescent="0.35">
      <c r="B195" s="165">
        <v>46037</v>
      </c>
      <c r="C195" s="166">
        <v>46037</v>
      </c>
      <c r="D195" s="167" t="s">
        <v>184</v>
      </c>
      <c r="E195" s="168">
        <v>104</v>
      </c>
      <c r="F195" s="167" t="s">
        <v>958</v>
      </c>
      <c r="G195" s="167" t="s">
        <v>248</v>
      </c>
      <c r="H195" s="169">
        <v>0</v>
      </c>
      <c r="I195" s="169">
        <v>125000</v>
      </c>
      <c r="J195" s="155">
        <f>+J194+Tabla69[[#This Row],[DEBE]]-Tabla69[[#This Row],[HABER]]</f>
        <v>818410697.71000004</v>
      </c>
      <c r="K195" s="156" t="s">
        <v>871</v>
      </c>
      <c r="L195" s="157" t="s">
        <v>649</v>
      </c>
      <c r="M195" s="157"/>
    </row>
    <row r="196" spans="2:13" x14ac:dyDescent="0.35">
      <c r="B196" s="165">
        <v>46037</v>
      </c>
      <c r="C196" s="166">
        <v>46037</v>
      </c>
      <c r="D196" s="167" t="s">
        <v>184</v>
      </c>
      <c r="E196" s="168">
        <v>104</v>
      </c>
      <c r="F196" s="167" t="s">
        <v>958</v>
      </c>
      <c r="G196" s="167" t="s">
        <v>248</v>
      </c>
      <c r="H196" s="169">
        <v>0</v>
      </c>
      <c r="I196" s="169">
        <v>-125000</v>
      </c>
      <c r="J196" s="155">
        <f>+J195+Tabla69[[#This Row],[DEBE]]-Tabla69[[#This Row],[HABER]]</f>
        <v>818535697.71000004</v>
      </c>
      <c r="K196" s="156" t="s">
        <v>871</v>
      </c>
      <c r="L196" s="157" t="s">
        <v>649</v>
      </c>
      <c r="M196" s="157"/>
    </row>
    <row r="197" spans="2:13" x14ac:dyDescent="0.35">
      <c r="B197" s="165">
        <v>46037</v>
      </c>
      <c r="C197" s="166">
        <v>46037</v>
      </c>
      <c r="D197" s="167" t="s">
        <v>184</v>
      </c>
      <c r="E197" s="168">
        <v>105</v>
      </c>
      <c r="F197" s="167" t="s">
        <v>959</v>
      </c>
      <c r="G197" s="167" t="s">
        <v>248</v>
      </c>
      <c r="H197" s="169">
        <v>0</v>
      </c>
      <c r="I197" s="169">
        <v>125000</v>
      </c>
      <c r="J197" s="155">
        <f>+J196+Tabla69[[#This Row],[DEBE]]-Tabla69[[#This Row],[HABER]]</f>
        <v>818410697.71000004</v>
      </c>
      <c r="K197" s="156" t="s">
        <v>871</v>
      </c>
      <c r="L197" s="157" t="s">
        <v>649</v>
      </c>
      <c r="M197" s="157"/>
    </row>
    <row r="198" spans="2:13" x14ac:dyDescent="0.35">
      <c r="B198" s="165">
        <v>46037</v>
      </c>
      <c r="C198" s="166">
        <v>46037</v>
      </c>
      <c r="D198" s="167" t="s">
        <v>184</v>
      </c>
      <c r="E198" s="168">
        <v>105</v>
      </c>
      <c r="F198" s="167" t="s">
        <v>959</v>
      </c>
      <c r="G198" s="167" t="s">
        <v>248</v>
      </c>
      <c r="H198" s="169">
        <v>0</v>
      </c>
      <c r="I198" s="169">
        <v>-125000</v>
      </c>
      <c r="J198" s="155">
        <f>+J197+Tabla69[[#This Row],[DEBE]]-Tabla69[[#This Row],[HABER]]</f>
        <v>818535697.71000004</v>
      </c>
      <c r="K198" s="156" t="s">
        <v>871</v>
      </c>
      <c r="L198" s="157" t="s">
        <v>649</v>
      </c>
      <c r="M198" s="157"/>
    </row>
    <row r="199" spans="2:13" x14ac:dyDescent="0.35">
      <c r="B199" s="165">
        <v>46037</v>
      </c>
      <c r="C199" s="166">
        <v>46037</v>
      </c>
      <c r="D199" s="167" t="s">
        <v>184</v>
      </c>
      <c r="E199" s="168">
        <v>106</v>
      </c>
      <c r="F199" s="167" t="s">
        <v>960</v>
      </c>
      <c r="G199" s="167" t="s">
        <v>247</v>
      </c>
      <c r="H199" s="169">
        <v>0</v>
      </c>
      <c r="I199" s="169">
        <v>250000</v>
      </c>
      <c r="J199" s="155">
        <f>+J198+Tabla69[[#This Row],[DEBE]]-Tabla69[[#This Row],[HABER]]</f>
        <v>818285697.71000004</v>
      </c>
      <c r="K199" s="156" t="s">
        <v>871</v>
      </c>
      <c r="L199" s="157" t="s">
        <v>649</v>
      </c>
      <c r="M199" s="157"/>
    </row>
    <row r="200" spans="2:13" x14ac:dyDescent="0.35">
      <c r="B200" s="165">
        <v>46037</v>
      </c>
      <c r="C200" s="166">
        <v>46037</v>
      </c>
      <c r="D200" s="167" t="s">
        <v>184</v>
      </c>
      <c r="E200" s="168">
        <v>106</v>
      </c>
      <c r="F200" s="167" t="s">
        <v>960</v>
      </c>
      <c r="G200" s="167" t="s">
        <v>247</v>
      </c>
      <c r="H200" s="169">
        <v>0</v>
      </c>
      <c r="I200" s="169">
        <v>-250000</v>
      </c>
      <c r="J200" s="155">
        <f>+J199+Tabla69[[#This Row],[DEBE]]-Tabla69[[#This Row],[HABER]]</f>
        <v>818535697.71000004</v>
      </c>
      <c r="K200" s="156" t="s">
        <v>871</v>
      </c>
      <c r="L200" s="157" t="s">
        <v>649</v>
      </c>
      <c r="M200" s="157"/>
    </row>
    <row r="201" spans="2:13" x14ac:dyDescent="0.35">
      <c r="B201" s="165">
        <v>46037</v>
      </c>
      <c r="C201" s="166">
        <v>46037</v>
      </c>
      <c r="D201" s="167" t="s">
        <v>184</v>
      </c>
      <c r="E201" s="168">
        <v>107</v>
      </c>
      <c r="F201" s="167" t="s">
        <v>961</v>
      </c>
      <c r="G201" s="167" t="s">
        <v>87</v>
      </c>
      <c r="H201" s="169">
        <v>0</v>
      </c>
      <c r="I201" s="169">
        <v>-125000</v>
      </c>
      <c r="J201" s="155">
        <f>+J200+Tabla69[[#This Row],[DEBE]]-Tabla69[[#This Row],[HABER]]</f>
        <v>818660697.71000004</v>
      </c>
      <c r="K201" s="156" t="s">
        <v>871</v>
      </c>
      <c r="L201" s="157" t="s">
        <v>1507</v>
      </c>
      <c r="M201" s="157"/>
    </row>
    <row r="202" spans="2:13" x14ac:dyDescent="0.35">
      <c r="B202" s="165">
        <v>46037</v>
      </c>
      <c r="C202" s="166">
        <v>46037</v>
      </c>
      <c r="D202" s="167" t="s">
        <v>184</v>
      </c>
      <c r="E202" s="168">
        <v>107</v>
      </c>
      <c r="F202" s="167" t="s">
        <v>961</v>
      </c>
      <c r="G202" s="167" t="s">
        <v>87</v>
      </c>
      <c r="H202" s="169">
        <v>0</v>
      </c>
      <c r="I202" s="169">
        <v>125000</v>
      </c>
      <c r="J202" s="155">
        <f>+J201+Tabla69[[#This Row],[DEBE]]-Tabla69[[#This Row],[HABER]]</f>
        <v>818535697.71000004</v>
      </c>
      <c r="K202" s="156" t="s">
        <v>871</v>
      </c>
      <c r="L202" s="157" t="s">
        <v>1507</v>
      </c>
      <c r="M202" s="157"/>
    </row>
    <row r="203" spans="2:13" x14ac:dyDescent="0.35">
      <c r="B203" s="165">
        <v>46037</v>
      </c>
      <c r="C203" s="166">
        <v>46037</v>
      </c>
      <c r="D203" s="167" t="s">
        <v>184</v>
      </c>
      <c r="E203" s="168">
        <v>108</v>
      </c>
      <c r="F203" s="167" t="s">
        <v>962</v>
      </c>
      <c r="G203" s="167" t="s">
        <v>247</v>
      </c>
      <c r="H203" s="169">
        <v>0</v>
      </c>
      <c r="I203" s="169">
        <v>-125000</v>
      </c>
      <c r="J203" s="155">
        <f>+J202+Tabla69[[#This Row],[DEBE]]-Tabla69[[#This Row],[HABER]]</f>
        <v>818660697.71000004</v>
      </c>
      <c r="K203" s="156" t="s">
        <v>871</v>
      </c>
      <c r="L203" s="157" t="s">
        <v>649</v>
      </c>
      <c r="M203" s="157"/>
    </row>
    <row r="204" spans="2:13" x14ac:dyDescent="0.35">
      <c r="B204" s="165">
        <v>46037</v>
      </c>
      <c r="C204" s="166">
        <v>46037</v>
      </c>
      <c r="D204" s="167" t="s">
        <v>184</v>
      </c>
      <c r="E204" s="168">
        <v>108</v>
      </c>
      <c r="F204" s="167" t="s">
        <v>962</v>
      </c>
      <c r="G204" s="167" t="s">
        <v>247</v>
      </c>
      <c r="H204" s="169">
        <v>0</v>
      </c>
      <c r="I204" s="169">
        <v>125000</v>
      </c>
      <c r="J204" s="155">
        <f>+J203+Tabla69[[#This Row],[DEBE]]-Tabla69[[#This Row],[HABER]]</f>
        <v>818535697.71000004</v>
      </c>
      <c r="K204" s="156" t="s">
        <v>871</v>
      </c>
      <c r="L204" s="157" t="s">
        <v>649</v>
      </c>
      <c r="M204" s="157"/>
    </row>
    <row r="205" spans="2:13" x14ac:dyDescent="0.35">
      <c r="B205" s="165">
        <v>46037</v>
      </c>
      <c r="C205" s="166">
        <v>46037</v>
      </c>
      <c r="D205" s="167" t="s">
        <v>184</v>
      </c>
      <c r="E205" s="168">
        <v>109</v>
      </c>
      <c r="F205" s="167" t="s">
        <v>963</v>
      </c>
      <c r="G205" s="167" t="s">
        <v>247</v>
      </c>
      <c r="H205" s="169">
        <v>0</v>
      </c>
      <c r="I205" s="169">
        <v>125000</v>
      </c>
      <c r="J205" s="155">
        <f>+J204+Tabla69[[#This Row],[DEBE]]-Tabla69[[#This Row],[HABER]]</f>
        <v>818410697.71000004</v>
      </c>
      <c r="K205" s="156" t="s">
        <v>871</v>
      </c>
      <c r="L205" s="157" t="s">
        <v>1507</v>
      </c>
      <c r="M205" s="157"/>
    </row>
    <row r="206" spans="2:13" x14ac:dyDescent="0.35">
      <c r="B206" s="165">
        <v>46037</v>
      </c>
      <c r="C206" s="166">
        <v>46037</v>
      </c>
      <c r="D206" s="167" t="s">
        <v>184</v>
      </c>
      <c r="E206" s="168">
        <v>109</v>
      </c>
      <c r="F206" s="167" t="s">
        <v>963</v>
      </c>
      <c r="G206" s="167" t="s">
        <v>247</v>
      </c>
      <c r="H206" s="169">
        <v>0</v>
      </c>
      <c r="I206" s="169">
        <v>-125000</v>
      </c>
      <c r="J206" s="155">
        <f>+J205+Tabla69[[#This Row],[DEBE]]-Tabla69[[#This Row],[HABER]]</f>
        <v>818535697.71000004</v>
      </c>
      <c r="K206" s="156" t="s">
        <v>871</v>
      </c>
      <c r="L206" s="157" t="s">
        <v>1507</v>
      </c>
      <c r="M206" s="157"/>
    </row>
    <row r="207" spans="2:13" x14ac:dyDescent="0.35">
      <c r="B207" s="165">
        <v>46037</v>
      </c>
      <c r="C207" s="166">
        <v>46037</v>
      </c>
      <c r="D207" s="167" t="s">
        <v>184</v>
      </c>
      <c r="E207" s="168">
        <v>110</v>
      </c>
      <c r="F207" s="167" t="s">
        <v>964</v>
      </c>
      <c r="G207" s="167" t="s">
        <v>247</v>
      </c>
      <c r="H207" s="169">
        <v>0</v>
      </c>
      <c r="I207" s="169">
        <v>-125000</v>
      </c>
      <c r="J207" s="155">
        <f>+J206+Tabla69[[#This Row],[DEBE]]-Tabla69[[#This Row],[HABER]]</f>
        <v>818660697.71000004</v>
      </c>
      <c r="K207" s="156" t="s">
        <v>871</v>
      </c>
      <c r="L207" s="157" t="s">
        <v>649</v>
      </c>
      <c r="M207" s="157"/>
    </row>
    <row r="208" spans="2:13" x14ac:dyDescent="0.35">
      <c r="B208" s="165">
        <v>46037</v>
      </c>
      <c r="C208" s="166">
        <v>46037</v>
      </c>
      <c r="D208" s="167" t="s">
        <v>184</v>
      </c>
      <c r="E208" s="168">
        <v>110</v>
      </c>
      <c r="F208" s="167" t="s">
        <v>964</v>
      </c>
      <c r="G208" s="167" t="s">
        <v>247</v>
      </c>
      <c r="H208" s="169">
        <v>0</v>
      </c>
      <c r="I208" s="169">
        <v>125000</v>
      </c>
      <c r="J208" s="155">
        <f>+J207+Tabla69[[#This Row],[DEBE]]-Tabla69[[#This Row],[HABER]]</f>
        <v>818535697.71000004</v>
      </c>
      <c r="K208" s="156" t="s">
        <v>871</v>
      </c>
      <c r="L208" s="157" t="s">
        <v>649</v>
      </c>
      <c r="M208" s="157"/>
    </row>
    <row r="209" spans="2:13" x14ac:dyDescent="0.35">
      <c r="B209" s="165">
        <v>46037</v>
      </c>
      <c r="C209" s="166">
        <v>46037</v>
      </c>
      <c r="D209" s="167" t="s">
        <v>184</v>
      </c>
      <c r="E209" s="168">
        <v>111</v>
      </c>
      <c r="F209" s="167" t="s">
        <v>965</v>
      </c>
      <c r="G209" s="167" t="s">
        <v>248</v>
      </c>
      <c r="H209" s="169">
        <v>0</v>
      </c>
      <c r="I209" s="169">
        <v>-125000</v>
      </c>
      <c r="J209" s="155">
        <f>+J208+Tabla69[[#This Row],[DEBE]]-Tabla69[[#This Row],[HABER]]</f>
        <v>818660697.71000004</v>
      </c>
      <c r="K209" s="156" t="s">
        <v>871</v>
      </c>
      <c r="L209" s="157" t="s">
        <v>649</v>
      </c>
      <c r="M209" s="157"/>
    </row>
    <row r="210" spans="2:13" x14ac:dyDescent="0.35">
      <c r="B210" s="165">
        <v>46037</v>
      </c>
      <c r="C210" s="166">
        <v>46037</v>
      </c>
      <c r="D210" s="167" t="s">
        <v>184</v>
      </c>
      <c r="E210" s="168">
        <v>111</v>
      </c>
      <c r="F210" s="167" t="s">
        <v>965</v>
      </c>
      <c r="G210" s="167" t="s">
        <v>248</v>
      </c>
      <c r="H210" s="169">
        <v>0</v>
      </c>
      <c r="I210" s="169">
        <v>125000</v>
      </c>
      <c r="J210" s="155">
        <f>+J209+Tabla69[[#This Row],[DEBE]]-Tabla69[[#This Row],[HABER]]</f>
        <v>818535697.71000004</v>
      </c>
      <c r="K210" s="156" t="s">
        <v>871</v>
      </c>
      <c r="L210" s="157" t="s">
        <v>649</v>
      </c>
      <c r="M210" s="157"/>
    </row>
    <row r="211" spans="2:13" x14ac:dyDescent="0.35">
      <c r="B211" s="165">
        <v>46037</v>
      </c>
      <c r="C211" s="166">
        <v>46037</v>
      </c>
      <c r="D211" s="167" t="s">
        <v>184</v>
      </c>
      <c r="E211" s="168">
        <v>112</v>
      </c>
      <c r="F211" s="167" t="s">
        <v>966</v>
      </c>
      <c r="G211" s="167" t="s">
        <v>248</v>
      </c>
      <c r="H211" s="169">
        <v>0</v>
      </c>
      <c r="I211" s="169">
        <v>250000</v>
      </c>
      <c r="J211" s="155">
        <f>+J210+Tabla69[[#This Row],[DEBE]]-Tabla69[[#This Row],[HABER]]</f>
        <v>818285697.71000004</v>
      </c>
      <c r="K211" s="156" t="s">
        <v>871</v>
      </c>
      <c r="L211" s="157" t="s">
        <v>649</v>
      </c>
      <c r="M211" s="157"/>
    </row>
    <row r="212" spans="2:13" x14ac:dyDescent="0.35">
      <c r="B212" s="165">
        <v>46037</v>
      </c>
      <c r="C212" s="166">
        <v>46037</v>
      </c>
      <c r="D212" s="167" t="s">
        <v>184</v>
      </c>
      <c r="E212" s="168">
        <v>112</v>
      </c>
      <c r="F212" s="167" t="s">
        <v>966</v>
      </c>
      <c r="G212" s="167" t="s">
        <v>248</v>
      </c>
      <c r="H212" s="169">
        <v>0</v>
      </c>
      <c r="I212" s="169">
        <v>-250000</v>
      </c>
      <c r="J212" s="155">
        <f>+J211+Tabla69[[#This Row],[DEBE]]-Tabla69[[#This Row],[HABER]]</f>
        <v>818535697.71000004</v>
      </c>
      <c r="K212" s="156" t="s">
        <v>871</v>
      </c>
      <c r="L212" s="157" t="s">
        <v>649</v>
      </c>
      <c r="M212" s="157"/>
    </row>
    <row r="213" spans="2:13" x14ac:dyDescent="0.35">
      <c r="B213" s="165">
        <v>46037</v>
      </c>
      <c r="C213" s="166">
        <v>46037</v>
      </c>
      <c r="D213" s="167" t="s">
        <v>184</v>
      </c>
      <c r="E213" s="168">
        <v>113</v>
      </c>
      <c r="F213" s="167" t="s">
        <v>967</v>
      </c>
      <c r="G213" s="167" t="s">
        <v>248</v>
      </c>
      <c r="H213" s="169">
        <v>0</v>
      </c>
      <c r="I213" s="169">
        <v>-250000</v>
      </c>
      <c r="J213" s="155">
        <f>+J212+Tabla69[[#This Row],[DEBE]]-Tabla69[[#This Row],[HABER]]</f>
        <v>818785697.71000004</v>
      </c>
      <c r="K213" s="156" t="s">
        <v>871</v>
      </c>
      <c r="L213" s="157" t="s">
        <v>649</v>
      </c>
      <c r="M213" s="157"/>
    </row>
    <row r="214" spans="2:13" x14ac:dyDescent="0.35">
      <c r="B214" s="165">
        <v>46037</v>
      </c>
      <c r="C214" s="166">
        <v>46037</v>
      </c>
      <c r="D214" s="167" t="s">
        <v>184</v>
      </c>
      <c r="E214" s="168">
        <v>113</v>
      </c>
      <c r="F214" s="167" t="s">
        <v>967</v>
      </c>
      <c r="G214" s="167" t="s">
        <v>248</v>
      </c>
      <c r="H214" s="169">
        <v>0</v>
      </c>
      <c r="I214" s="169">
        <v>250000</v>
      </c>
      <c r="J214" s="155">
        <f>+J213+Tabla69[[#This Row],[DEBE]]-Tabla69[[#This Row],[HABER]]</f>
        <v>818535697.71000004</v>
      </c>
      <c r="K214" s="156" t="s">
        <v>871</v>
      </c>
      <c r="L214" s="157" t="s">
        <v>649</v>
      </c>
      <c r="M214" s="157"/>
    </row>
    <row r="215" spans="2:13" x14ac:dyDescent="0.35">
      <c r="B215" s="165">
        <v>46037</v>
      </c>
      <c r="C215" s="166">
        <v>46037</v>
      </c>
      <c r="D215" s="167" t="s">
        <v>184</v>
      </c>
      <c r="E215" s="168">
        <v>114</v>
      </c>
      <c r="F215" s="167" t="s">
        <v>968</v>
      </c>
      <c r="G215" s="167" t="s">
        <v>87</v>
      </c>
      <c r="H215" s="169">
        <v>0</v>
      </c>
      <c r="I215" s="169">
        <v>125000</v>
      </c>
      <c r="J215" s="155">
        <f>+J214+Tabla69[[#This Row],[DEBE]]-Tabla69[[#This Row],[HABER]]</f>
        <v>818410697.71000004</v>
      </c>
      <c r="K215" s="156" t="s">
        <v>871</v>
      </c>
      <c r="L215" s="157" t="s">
        <v>1507</v>
      </c>
      <c r="M215" s="157"/>
    </row>
    <row r="216" spans="2:13" x14ac:dyDescent="0.35">
      <c r="B216" s="165">
        <v>46037</v>
      </c>
      <c r="C216" s="166">
        <v>46037</v>
      </c>
      <c r="D216" s="167" t="s">
        <v>184</v>
      </c>
      <c r="E216" s="168">
        <v>114</v>
      </c>
      <c r="F216" s="167" t="s">
        <v>968</v>
      </c>
      <c r="G216" s="167" t="s">
        <v>87</v>
      </c>
      <c r="H216" s="169">
        <v>0</v>
      </c>
      <c r="I216" s="169">
        <v>-125000</v>
      </c>
      <c r="J216" s="155">
        <f>+J215+Tabla69[[#This Row],[DEBE]]-Tabla69[[#This Row],[HABER]]</f>
        <v>818535697.71000004</v>
      </c>
      <c r="K216" s="156" t="s">
        <v>871</v>
      </c>
      <c r="L216" s="157" t="s">
        <v>1507</v>
      </c>
      <c r="M216" s="157"/>
    </row>
    <row r="217" spans="2:13" x14ac:dyDescent="0.35">
      <c r="B217" s="165">
        <v>46037</v>
      </c>
      <c r="C217" s="166">
        <v>46037</v>
      </c>
      <c r="D217" s="167" t="s">
        <v>184</v>
      </c>
      <c r="E217" s="168">
        <v>115</v>
      </c>
      <c r="F217" s="167" t="s">
        <v>969</v>
      </c>
      <c r="G217" s="167" t="s">
        <v>248</v>
      </c>
      <c r="H217" s="169">
        <v>0</v>
      </c>
      <c r="I217" s="169">
        <v>250000</v>
      </c>
      <c r="J217" s="155">
        <f>+J216+Tabla69[[#This Row],[DEBE]]-Tabla69[[#This Row],[HABER]]</f>
        <v>818285697.71000004</v>
      </c>
      <c r="K217" s="156" t="s">
        <v>871</v>
      </c>
      <c r="L217" s="157" t="s">
        <v>649</v>
      </c>
      <c r="M217" s="157"/>
    </row>
    <row r="218" spans="2:13" x14ac:dyDescent="0.35">
      <c r="B218" s="165">
        <v>46037</v>
      </c>
      <c r="C218" s="166">
        <v>46037</v>
      </c>
      <c r="D218" s="167" t="s">
        <v>184</v>
      </c>
      <c r="E218" s="168">
        <v>115</v>
      </c>
      <c r="F218" s="167" t="s">
        <v>969</v>
      </c>
      <c r="G218" s="167" t="s">
        <v>248</v>
      </c>
      <c r="H218" s="169">
        <v>0</v>
      </c>
      <c r="I218" s="169">
        <v>-250000</v>
      </c>
      <c r="J218" s="155">
        <f>+J217+Tabla69[[#This Row],[DEBE]]-Tabla69[[#This Row],[HABER]]</f>
        <v>818535697.71000004</v>
      </c>
      <c r="K218" s="156" t="s">
        <v>871</v>
      </c>
      <c r="L218" s="157" t="s">
        <v>649</v>
      </c>
      <c r="M218" s="157"/>
    </row>
    <row r="219" spans="2:13" x14ac:dyDescent="0.35">
      <c r="B219" s="165">
        <v>46037</v>
      </c>
      <c r="C219" s="166">
        <v>46037</v>
      </c>
      <c r="D219" s="167" t="s">
        <v>184</v>
      </c>
      <c r="E219" s="168">
        <v>116</v>
      </c>
      <c r="F219" s="167" t="s">
        <v>970</v>
      </c>
      <c r="G219" s="167" t="s">
        <v>248</v>
      </c>
      <c r="H219" s="169">
        <v>0</v>
      </c>
      <c r="I219" s="169">
        <v>250000</v>
      </c>
      <c r="J219" s="155">
        <f>+J218+Tabla69[[#This Row],[DEBE]]-Tabla69[[#This Row],[HABER]]</f>
        <v>818285697.71000004</v>
      </c>
      <c r="K219" s="156" t="s">
        <v>871</v>
      </c>
      <c r="L219" s="157" t="s">
        <v>649</v>
      </c>
      <c r="M219" s="157"/>
    </row>
    <row r="220" spans="2:13" x14ac:dyDescent="0.35">
      <c r="B220" s="165">
        <v>46037</v>
      </c>
      <c r="C220" s="166">
        <v>46037</v>
      </c>
      <c r="D220" s="167" t="s">
        <v>184</v>
      </c>
      <c r="E220" s="168">
        <v>116</v>
      </c>
      <c r="F220" s="167" t="s">
        <v>970</v>
      </c>
      <c r="G220" s="167" t="s">
        <v>248</v>
      </c>
      <c r="H220" s="169">
        <v>0</v>
      </c>
      <c r="I220" s="169">
        <v>-250000</v>
      </c>
      <c r="J220" s="155">
        <f>+J219+Tabla69[[#This Row],[DEBE]]-Tabla69[[#This Row],[HABER]]</f>
        <v>818535697.71000004</v>
      </c>
      <c r="K220" s="156" t="s">
        <v>871</v>
      </c>
      <c r="L220" s="157" t="s">
        <v>649</v>
      </c>
      <c r="M220" s="157"/>
    </row>
    <row r="221" spans="2:13" x14ac:dyDescent="0.35">
      <c r="B221" s="165">
        <v>46037</v>
      </c>
      <c r="C221" s="166">
        <v>46037</v>
      </c>
      <c r="D221" s="167" t="s">
        <v>184</v>
      </c>
      <c r="E221" s="168">
        <v>117</v>
      </c>
      <c r="F221" s="167" t="s">
        <v>971</v>
      </c>
      <c r="G221" s="167" t="s">
        <v>247</v>
      </c>
      <c r="H221" s="169">
        <v>0</v>
      </c>
      <c r="I221" s="169">
        <v>-125000</v>
      </c>
      <c r="J221" s="155">
        <f>+J220+Tabla69[[#This Row],[DEBE]]-Tabla69[[#This Row],[HABER]]</f>
        <v>818660697.71000004</v>
      </c>
      <c r="K221" s="156" t="s">
        <v>871</v>
      </c>
      <c r="L221" s="157" t="s">
        <v>649</v>
      </c>
      <c r="M221" s="157"/>
    </row>
    <row r="222" spans="2:13" x14ac:dyDescent="0.35">
      <c r="B222" s="165">
        <v>46037</v>
      </c>
      <c r="C222" s="166">
        <v>46037</v>
      </c>
      <c r="D222" s="167" t="s">
        <v>184</v>
      </c>
      <c r="E222" s="168">
        <v>117</v>
      </c>
      <c r="F222" s="167" t="s">
        <v>971</v>
      </c>
      <c r="G222" s="167" t="s">
        <v>247</v>
      </c>
      <c r="H222" s="169">
        <v>0</v>
      </c>
      <c r="I222" s="169">
        <v>125000</v>
      </c>
      <c r="J222" s="155">
        <f>+J221+Tabla69[[#This Row],[DEBE]]-Tabla69[[#This Row],[HABER]]</f>
        <v>818535697.71000004</v>
      </c>
      <c r="K222" s="156" t="s">
        <v>871</v>
      </c>
      <c r="L222" s="157" t="s">
        <v>649</v>
      </c>
      <c r="M222" s="157"/>
    </row>
    <row r="223" spans="2:13" x14ac:dyDescent="0.35">
      <c r="B223" s="165">
        <v>46037</v>
      </c>
      <c r="C223" s="166">
        <v>46037</v>
      </c>
      <c r="D223" s="167" t="s">
        <v>184</v>
      </c>
      <c r="E223" s="168">
        <v>118</v>
      </c>
      <c r="F223" s="167" t="s">
        <v>972</v>
      </c>
      <c r="G223" s="167"/>
      <c r="H223" s="169">
        <v>0</v>
      </c>
      <c r="I223" s="169">
        <v>-250000</v>
      </c>
      <c r="J223" s="155">
        <f>+J222+Tabla69[[#This Row],[DEBE]]-Tabla69[[#This Row],[HABER]]</f>
        <v>818785697.71000004</v>
      </c>
      <c r="K223" s="156" t="s">
        <v>871</v>
      </c>
      <c r="L223" s="157" t="s">
        <v>1507</v>
      </c>
      <c r="M223" s="157"/>
    </row>
    <row r="224" spans="2:13" x14ac:dyDescent="0.35">
      <c r="B224" s="165">
        <v>46037</v>
      </c>
      <c r="C224" s="166">
        <v>46037</v>
      </c>
      <c r="D224" s="167" t="s">
        <v>184</v>
      </c>
      <c r="E224" s="168">
        <v>118</v>
      </c>
      <c r="F224" s="167" t="s">
        <v>972</v>
      </c>
      <c r="G224" s="167"/>
      <c r="H224" s="169">
        <v>0</v>
      </c>
      <c r="I224" s="169">
        <v>250000</v>
      </c>
      <c r="J224" s="155">
        <f>+J223+Tabla69[[#This Row],[DEBE]]-Tabla69[[#This Row],[HABER]]</f>
        <v>818535697.71000004</v>
      </c>
      <c r="K224" s="156" t="s">
        <v>871</v>
      </c>
      <c r="L224" s="157" t="s">
        <v>1507</v>
      </c>
      <c r="M224" s="157"/>
    </row>
    <row r="225" spans="2:13" x14ac:dyDescent="0.35">
      <c r="B225" s="165">
        <v>46037</v>
      </c>
      <c r="C225" s="166">
        <v>46037</v>
      </c>
      <c r="D225" s="167" t="s">
        <v>184</v>
      </c>
      <c r="E225" s="168">
        <v>119</v>
      </c>
      <c r="F225" s="167" t="s">
        <v>973</v>
      </c>
      <c r="G225" s="167" t="s">
        <v>247</v>
      </c>
      <c r="H225" s="169">
        <v>0</v>
      </c>
      <c r="I225" s="169">
        <v>125000</v>
      </c>
      <c r="J225" s="155">
        <f>+J224+Tabla69[[#This Row],[DEBE]]-Tabla69[[#This Row],[HABER]]</f>
        <v>818410697.71000004</v>
      </c>
      <c r="K225" s="156" t="s">
        <v>871</v>
      </c>
      <c r="L225" s="157" t="s">
        <v>649</v>
      </c>
      <c r="M225" s="157"/>
    </row>
    <row r="226" spans="2:13" x14ac:dyDescent="0.35">
      <c r="B226" s="165">
        <v>46037</v>
      </c>
      <c r="C226" s="166">
        <v>46037</v>
      </c>
      <c r="D226" s="167" t="s">
        <v>184</v>
      </c>
      <c r="E226" s="168">
        <v>119</v>
      </c>
      <c r="F226" s="167" t="s">
        <v>973</v>
      </c>
      <c r="G226" s="167" t="s">
        <v>247</v>
      </c>
      <c r="H226" s="169">
        <v>0</v>
      </c>
      <c r="I226" s="169">
        <v>-125000</v>
      </c>
      <c r="J226" s="155">
        <f>+J225+Tabla69[[#This Row],[DEBE]]-Tabla69[[#This Row],[HABER]]</f>
        <v>818535697.71000004</v>
      </c>
      <c r="K226" s="156" t="s">
        <v>871</v>
      </c>
      <c r="L226" s="157" t="s">
        <v>649</v>
      </c>
      <c r="M226" s="157"/>
    </row>
    <row r="227" spans="2:13" x14ac:dyDescent="0.35">
      <c r="B227" s="165">
        <v>46037</v>
      </c>
      <c r="C227" s="166">
        <v>46037</v>
      </c>
      <c r="D227" s="167" t="s">
        <v>184</v>
      </c>
      <c r="E227" s="168">
        <v>120</v>
      </c>
      <c r="F227" s="167" t="s">
        <v>974</v>
      </c>
      <c r="G227" s="167" t="s">
        <v>247</v>
      </c>
      <c r="H227" s="169">
        <v>0</v>
      </c>
      <c r="I227" s="169">
        <v>125000</v>
      </c>
      <c r="J227" s="155">
        <f>+J226+Tabla69[[#This Row],[DEBE]]-Tabla69[[#This Row],[HABER]]</f>
        <v>818410697.71000004</v>
      </c>
      <c r="K227" s="156" t="s">
        <v>871</v>
      </c>
      <c r="L227" s="157" t="s">
        <v>1507</v>
      </c>
      <c r="M227" s="157"/>
    </row>
    <row r="228" spans="2:13" x14ac:dyDescent="0.35">
      <c r="B228" s="165">
        <v>46037</v>
      </c>
      <c r="C228" s="166">
        <v>46037</v>
      </c>
      <c r="D228" s="167" t="s">
        <v>184</v>
      </c>
      <c r="E228" s="168">
        <v>120</v>
      </c>
      <c r="F228" s="167" t="s">
        <v>974</v>
      </c>
      <c r="G228" s="167" t="s">
        <v>247</v>
      </c>
      <c r="H228" s="169">
        <v>0</v>
      </c>
      <c r="I228" s="169">
        <v>-125000</v>
      </c>
      <c r="J228" s="155">
        <f>+J227+Tabla69[[#This Row],[DEBE]]-Tabla69[[#This Row],[HABER]]</f>
        <v>818535697.71000004</v>
      </c>
      <c r="K228" s="156" t="s">
        <v>871</v>
      </c>
      <c r="L228" s="157" t="s">
        <v>1507</v>
      </c>
      <c r="M228" s="157"/>
    </row>
    <row r="229" spans="2:13" x14ac:dyDescent="0.35">
      <c r="B229" s="165">
        <v>46037</v>
      </c>
      <c r="C229" s="166">
        <v>46037</v>
      </c>
      <c r="D229" s="167" t="s">
        <v>184</v>
      </c>
      <c r="E229" s="168">
        <v>121</v>
      </c>
      <c r="F229" s="167" t="s">
        <v>975</v>
      </c>
      <c r="G229" s="167" t="s">
        <v>248</v>
      </c>
      <c r="H229" s="169">
        <v>0</v>
      </c>
      <c r="I229" s="169">
        <v>250000</v>
      </c>
      <c r="J229" s="155">
        <f>+J228+Tabla69[[#This Row],[DEBE]]-Tabla69[[#This Row],[HABER]]</f>
        <v>818285697.71000004</v>
      </c>
      <c r="K229" s="156" t="s">
        <v>871</v>
      </c>
      <c r="L229" s="157" t="s">
        <v>649</v>
      </c>
      <c r="M229" s="157"/>
    </row>
    <row r="230" spans="2:13" x14ac:dyDescent="0.35">
      <c r="B230" s="165">
        <v>46037</v>
      </c>
      <c r="C230" s="166">
        <v>46037</v>
      </c>
      <c r="D230" s="167" t="s">
        <v>184</v>
      </c>
      <c r="E230" s="168">
        <v>121</v>
      </c>
      <c r="F230" s="167" t="s">
        <v>975</v>
      </c>
      <c r="G230" s="167" t="s">
        <v>248</v>
      </c>
      <c r="H230" s="169">
        <v>0</v>
      </c>
      <c r="I230" s="169">
        <v>-250000</v>
      </c>
      <c r="J230" s="155">
        <f>+J229+Tabla69[[#This Row],[DEBE]]-Tabla69[[#This Row],[HABER]]</f>
        <v>818535697.71000004</v>
      </c>
      <c r="K230" s="156" t="s">
        <v>871</v>
      </c>
      <c r="L230" s="157" t="s">
        <v>649</v>
      </c>
      <c r="M230" s="157"/>
    </row>
    <row r="231" spans="2:13" x14ac:dyDescent="0.35">
      <c r="B231" s="165">
        <v>46037</v>
      </c>
      <c r="C231" s="166">
        <v>46037</v>
      </c>
      <c r="D231" s="167" t="s">
        <v>184</v>
      </c>
      <c r="E231" s="168">
        <v>122</v>
      </c>
      <c r="F231" s="167" t="s">
        <v>976</v>
      </c>
      <c r="G231" s="167" t="s">
        <v>247</v>
      </c>
      <c r="H231" s="169">
        <v>0</v>
      </c>
      <c r="I231" s="169">
        <v>-125000</v>
      </c>
      <c r="J231" s="155">
        <f>+J230+Tabla69[[#This Row],[DEBE]]-Tabla69[[#This Row],[HABER]]</f>
        <v>818660697.71000004</v>
      </c>
      <c r="K231" s="156" t="s">
        <v>871</v>
      </c>
      <c r="L231" s="157" t="s">
        <v>649</v>
      </c>
      <c r="M231" s="157"/>
    </row>
    <row r="232" spans="2:13" x14ac:dyDescent="0.35">
      <c r="B232" s="165">
        <v>46037</v>
      </c>
      <c r="C232" s="166">
        <v>46037</v>
      </c>
      <c r="D232" s="167" t="s">
        <v>184</v>
      </c>
      <c r="E232" s="168">
        <v>122</v>
      </c>
      <c r="F232" s="167" t="s">
        <v>976</v>
      </c>
      <c r="G232" s="167" t="s">
        <v>247</v>
      </c>
      <c r="H232" s="169">
        <v>0</v>
      </c>
      <c r="I232" s="169">
        <v>125000</v>
      </c>
      <c r="J232" s="155">
        <f>+J231+Tabla69[[#This Row],[DEBE]]-Tabla69[[#This Row],[HABER]]</f>
        <v>818535697.71000004</v>
      </c>
      <c r="K232" s="156" t="s">
        <v>871</v>
      </c>
      <c r="L232" s="157" t="s">
        <v>649</v>
      </c>
      <c r="M232" s="157"/>
    </row>
    <row r="233" spans="2:13" x14ac:dyDescent="0.35">
      <c r="B233" s="165">
        <v>46037</v>
      </c>
      <c r="C233" s="166">
        <v>46037</v>
      </c>
      <c r="D233" s="167" t="s">
        <v>184</v>
      </c>
      <c r="E233" s="168">
        <v>123</v>
      </c>
      <c r="F233" s="167" t="s">
        <v>977</v>
      </c>
      <c r="G233" s="167" t="s">
        <v>248</v>
      </c>
      <c r="H233" s="169">
        <v>0</v>
      </c>
      <c r="I233" s="169">
        <v>-250000</v>
      </c>
      <c r="J233" s="155">
        <f>+J232+Tabla69[[#This Row],[DEBE]]-Tabla69[[#This Row],[HABER]]</f>
        <v>818785697.71000004</v>
      </c>
      <c r="K233" s="156" t="s">
        <v>871</v>
      </c>
      <c r="L233" s="157" t="s">
        <v>649</v>
      </c>
      <c r="M233" s="157"/>
    </row>
    <row r="234" spans="2:13" x14ac:dyDescent="0.35">
      <c r="B234" s="165">
        <v>46037</v>
      </c>
      <c r="C234" s="166">
        <v>46037</v>
      </c>
      <c r="D234" s="167" t="s">
        <v>184</v>
      </c>
      <c r="E234" s="168">
        <v>123</v>
      </c>
      <c r="F234" s="167" t="s">
        <v>977</v>
      </c>
      <c r="G234" s="167" t="s">
        <v>248</v>
      </c>
      <c r="H234" s="169">
        <v>0</v>
      </c>
      <c r="I234" s="169">
        <v>250000</v>
      </c>
      <c r="J234" s="155">
        <f>+J233+Tabla69[[#This Row],[DEBE]]-Tabla69[[#This Row],[HABER]]</f>
        <v>818535697.71000004</v>
      </c>
      <c r="K234" s="156" t="s">
        <v>871</v>
      </c>
      <c r="L234" s="157" t="s">
        <v>649</v>
      </c>
      <c r="M234" s="157"/>
    </row>
    <row r="235" spans="2:13" x14ac:dyDescent="0.35">
      <c r="B235" s="165">
        <v>46037</v>
      </c>
      <c r="C235" s="166">
        <v>46037</v>
      </c>
      <c r="D235" s="167" t="s">
        <v>184</v>
      </c>
      <c r="E235" s="168">
        <v>124</v>
      </c>
      <c r="F235" s="167" t="s">
        <v>978</v>
      </c>
      <c r="G235" s="167" t="s">
        <v>248</v>
      </c>
      <c r="H235" s="169">
        <v>0</v>
      </c>
      <c r="I235" s="169">
        <v>250000</v>
      </c>
      <c r="J235" s="155">
        <f>+J234+Tabla69[[#This Row],[DEBE]]-Tabla69[[#This Row],[HABER]]</f>
        <v>818285697.71000004</v>
      </c>
      <c r="K235" s="156" t="s">
        <v>871</v>
      </c>
      <c r="L235" s="157" t="s">
        <v>649</v>
      </c>
      <c r="M235" s="157"/>
    </row>
    <row r="236" spans="2:13" x14ac:dyDescent="0.35">
      <c r="B236" s="165">
        <v>46037</v>
      </c>
      <c r="C236" s="166">
        <v>46037</v>
      </c>
      <c r="D236" s="167" t="s">
        <v>184</v>
      </c>
      <c r="E236" s="168">
        <v>124</v>
      </c>
      <c r="F236" s="167" t="s">
        <v>978</v>
      </c>
      <c r="G236" s="167" t="s">
        <v>248</v>
      </c>
      <c r="H236" s="169">
        <v>0</v>
      </c>
      <c r="I236" s="169">
        <v>-250000</v>
      </c>
      <c r="J236" s="155">
        <f>+J235+Tabla69[[#This Row],[DEBE]]-Tabla69[[#This Row],[HABER]]</f>
        <v>818535697.71000004</v>
      </c>
      <c r="K236" s="156" t="s">
        <v>871</v>
      </c>
      <c r="L236" s="157" t="s">
        <v>649</v>
      </c>
      <c r="M236" s="157"/>
    </row>
    <row r="237" spans="2:13" x14ac:dyDescent="0.35">
      <c r="B237" s="165">
        <v>46037</v>
      </c>
      <c r="C237" s="166">
        <v>46037</v>
      </c>
      <c r="D237" s="167" t="s">
        <v>184</v>
      </c>
      <c r="E237" s="168">
        <v>125</v>
      </c>
      <c r="F237" s="167" t="s">
        <v>979</v>
      </c>
      <c r="G237" s="167" t="s">
        <v>87</v>
      </c>
      <c r="H237" s="169">
        <v>0</v>
      </c>
      <c r="I237" s="169">
        <v>-125000</v>
      </c>
      <c r="J237" s="155">
        <f>+J236+Tabla69[[#This Row],[DEBE]]-Tabla69[[#This Row],[HABER]]</f>
        <v>818660697.71000004</v>
      </c>
      <c r="K237" s="156" t="s">
        <v>871</v>
      </c>
      <c r="L237" s="157" t="s">
        <v>1507</v>
      </c>
      <c r="M237" s="157"/>
    </row>
    <row r="238" spans="2:13" x14ac:dyDescent="0.35">
      <c r="B238" s="165">
        <v>46037</v>
      </c>
      <c r="C238" s="166">
        <v>46037</v>
      </c>
      <c r="D238" s="167" t="s">
        <v>184</v>
      </c>
      <c r="E238" s="168">
        <v>125</v>
      </c>
      <c r="F238" s="167" t="s">
        <v>979</v>
      </c>
      <c r="G238" s="167" t="s">
        <v>87</v>
      </c>
      <c r="H238" s="169">
        <v>0</v>
      </c>
      <c r="I238" s="169">
        <v>125000</v>
      </c>
      <c r="J238" s="155">
        <f>+J237+Tabla69[[#This Row],[DEBE]]-Tabla69[[#This Row],[HABER]]</f>
        <v>818535697.71000004</v>
      </c>
      <c r="K238" s="156" t="s">
        <v>871</v>
      </c>
      <c r="L238" s="157" t="s">
        <v>1507</v>
      </c>
      <c r="M238" s="157"/>
    </row>
    <row r="239" spans="2:13" x14ac:dyDescent="0.35">
      <c r="B239" s="165">
        <v>46037</v>
      </c>
      <c r="C239" s="166">
        <v>46037</v>
      </c>
      <c r="D239" s="167" t="s">
        <v>184</v>
      </c>
      <c r="E239" s="168">
        <v>126</v>
      </c>
      <c r="F239" s="167" t="s">
        <v>980</v>
      </c>
      <c r="G239" s="167" t="s">
        <v>248</v>
      </c>
      <c r="H239" s="169">
        <v>0</v>
      </c>
      <c r="I239" s="169">
        <v>-125000</v>
      </c>
      <c r="J239" s="155">
        <f>+J238+Tabla69[[#This Row],[DEBE]]-Tabla69[[#This Row],[HABER]]</f>
        <v>818660697.71000004</v>
      </c>
      <c r="K239" s="156" t="s">
        <v>871</v>
      </c>
      <c r="L239" s="157" t="s">
        <v>649</v>
      </c>
      <c r="M239" s="157"/>
    </row>
    <row r="240" spans="2:13" x14ac:dyDescent="0.35">
      <c r="B240" s="165">
        <v>46037</v>
      </c>
      <c r="C240" s="166">
        <v>46037</v>
      </c>
      <c r="D240" s="167" t="s">
        <v>184</v>
      </c>
      <c r="E240" s="168">
        <v>126</v>
      </c>
      <c r="F240" s="167" t="s">
        <v>980</v>
      </c>
      <c r="G240" s="167" t="s">
        <v>248</v>
      </c>
      <c r="H240" s="169">
        <v>0</v>
      </c>
      <c r="I240" s="169">
        <v>125000</v>
      </c>
      <c r="J240" s="155">
        <f>+J239+Tabla69[[#This Row],[DEBE]]-Tabla69[[#This Row],[HABER]]</f>
        <v>818535697.71000004</v>
      </c>
      <c r="K240" s="156" t="s">
        <v>871</v>
      </c>
      <c r="L240" s="157" t="s">
        <v>649</v>
      </c>
      <c r="M240" s="157"/>
    </row>
    <row r="241" spans="2:13" x14ac:dyDescent="0.35">
      <c r="B241" s="165">
        <v>46037</v>
      </c>
      <c r="C241" s="166">
        <v>46037</v>
      </c>
      <c r="D241" s="167" t="s">
        <v>184</v>
      </c>
      <c r="E241" s="168">
        <v>127</v>
      </c>
      <c r="F241" s="167" t="s">
        <v>981</v>
      </c>
      <c r="G241" s="167" t="s">
        <v>248</v>
      </c>
      <c r="H241" s="169">
        <v>0</v>
      </c>
      <c r="I241" s="169">
        <v>-250000</v>
      </c>
      <c r="J241" s="155">
        <f>+J240+Tabla69[[#This Row],[DEBE]]-Tabla69[[#This Row],[HABER]]</f>
        <v>818785697.71000004</v>
      </c>
      <c r="K241" s="156" t="s">
        <v>871</v>
      </c>
      <c r="L241" s="157" t="s">
        <v>649</v>
      </c>
      <c r="M241" s="157"/>
    </row>
    <row r="242" spans="2:13" x14ac:dyDescent="0.35">
      <c r="B242" s="165">
        <v>46037</v>
      </c>
      <c r="C242" s="166">
        <v>46037</v>
      </c>
      <c r="D242" s="167" t="s">
        <v>184</v>
      </c>
      <c r="E242" s="168">
        <v>127</v>
      </c>
      <c r="F242" s="167" t="s">
        <v>981</v>
      </c>
      <c r="G242" s="167" t="s">
        <v>248</v>
      </c>
      <c r="H242" s="169">
        <v>0</v>
      </c>
      <c r="I242" s="169">
        <v>250000</v>
      </c>
      <c r="J242" s="155">
        <f>+J241+Tabla69[[#This Row],[DEBE]]-Tabla69[[#This Row],[HABER]]</f>
        <v>818535697.71000004</v>
      </c>
      <c r="K242" s="156" t="s">
        <v>871</v>
      </c>
      <c r="L242" s="157" t="s">
        <v>649</v>
      </c>
      <c r="M242" s="157"/>
    </row>
    <row r="243" spans="2:13" x14ac:dyDescent="0.35">
      <c r="B243" s="165">
        <v>46037</v>
      </c>
      <c r="C243" s="166">
        <v>46037</v>
      </c>
      <c r="D243" s="167" t="s">
        <v>184</v>
      </c>
      <c r="E243" s="168">
        <v>128</v>
      </c>
      <c r="F243" s="167" t="s">
        <v>982</v>
      </c>
      <c r="G243" s="167" t="s">
        <v>247</v>
      </c>
      <c r="H243" s="169">
        <v>0</v>
      </c>
      <c r="I243" s="169">
        <v>-125000</v>
      </c>
      <c r="J243" s="155">
        <f>+J242+Tabla69[[#This Row],[DEBE]]-Tabla69[[#This Row],[HABER]]</f>
        <v>818660697.71000004</v>
      </c>
      <c r="K243" s="156" t="s">
        <v>871</v>
      </c>
      <c r="L243" s="157" t="s">
        <v>1507</v>
      </c>
      <c r="M243" s="157"/>
    </row>
    <row r="244" spans="2:13" x14ac:dyDescent="0.35">
      <c r="B244" s="165">
        <v>46037</v>
      </c>
      <c r="C244" s="166">
        <v>46037</v>
      </c>
      <c r="D244" s="167" t="s">
        <v>184</v>
      </c>
      <c r="E244" s="168">
        <v>128</v>
      </c>
      <c r="F244" s="167" t="s">
        <v>982</v>
      </c>
      <c r="G244" s="167" t="s">
        <v>247</v>
      </c>
      <c r="H244" s="169">
        <v>0</v>
      </c>
      <c r="I244" s="169">
        <v>125000</v>
      </c>
      <c r="J244" s="155">
        <f>+J243+Tabla69[[#This Row],[DEBE]]-Tabla69[[#This Row],[HABER]]</f>
        <v>818535697.71000004</v>
      </c>
      <c r="K244" s="156" t="s">
        <v>871</v>
      </c>
      <c r="L244" s="157" t="s">
        <v>1507</v>
      </c>
      <c r="M244" s="157"/>
    </row>
    <row r="245" spans="2:13" x14ac:dyDescent="0.35">
      <c r="B245" s="165">
        <v>46037</v>
      </c>
      <c r="C245" s="166">
        <v>46037</v>
      </c>
      <c r="D245" s="167" t="s">
        <v>184</v>
      </c>
      <c r="E245" s="168">
        <v>129</v>
      </c>
      <c r="F245" s="167" t="s">
        <v>983</v>
      </c>
      <c r="G245" s="167" t="s">
        <v>247</v>
      </c>
      <c r="H245" s="169">
        <v>0</v>
      </c>
      <c r="I245" s="169">
        <v>-62500</v>
      </c>
      <c r="J245" s="155">
        <f>+J244+Tabla69[[#This Row],[DEBE]]-Tabla69[[#This Row],[HABER]]</f>
        <v>818598197.71000004</v>
      </c>
      <c r="K245" s="156" t="s">
        <v>871</v>
      </c>
      <c r="L245" s="157" t="s">
        <v>649</v>
      </c>
      <c r="M245" s="157"/>
    </row>
    <row r="246" spans="2:13" x14ac:dyDescent="0.35">
      <c r="B246" s="165">
        <v>46037</v>
      </c>
      <c r="C246" s="166">
        <v>46037</v>
      </c>
      <c r="D246" s="167" t="s">
        <v>184</v>
      </c>
      <c r="E246" s="168">
        <v>129</v>
      </c>
      <c r="F246" s="167" t="s">
        <v>983</v>
      </c>
      <c r="G246" s="167" t="s">
        <v>247</v>
      </c>
      <c r="H246" s="169">
        <v>0</v>
      </c>
      <c r="I246" s="169">
        <v>62500</v>
      </c>
      <c r="J246" s="155">
        <f>+J245+Tabla69[[#This Row],[DEBE]]-Tabla69[[#This Row],[HABER]]</f>
        <v>818535697.71000004</v>
      </c>
      <c r="K246" s="156" t="s">
        <v>871</v>
      </c>
      <c r="L246" s="157" t="s">
        <v>649</v>
      </c>
      <c r="M246" s="157"/>
    </row>
    <row r="247" spans="2:13" x14ac:dyDescent="0.35">
      <c r="B247" s="165">
        <v>46037</v>
      </c>
      <c r="C247" s="166">
        <v>46037</v>
      </c>
      <c r="D247" s="167" t="s">
        <v>184</v>
      </c>
      <c r="E247" s="168">
        <v>130</v>
      </c>
      <c r="F247" s="167" t="s">
        <v>984</v>
      </c>
      <c r="G247" s="167" t="s">
        <v>87</v>
      </c>
      <c r="H247" s="169">
        <v>0</v>
      </c>
      <c r="I247" s="169">
        <v>-62500</v>
      </c>
      <c r="J247" s="155">
        <f>+J246+Tabla69[[#This Row],[DEBE]]-Tabla69[[#This Row],[HABER]]</f>
        <v>818598197.71000004</v>
      </c>
      <c r="K247" s="156" t="s">
        <v>871</v>
      </c>
      <c r="L247" s="157" t="s">
        <v>1507</v>
      </c>
      <c r="M247" s="157"/>
    </row>
    <row r="248" spans="2:13" x14ac:dyDescent="0.35">
      <c r="B248" s="165">
        <v>46037</v>
      </c>
      <c r="C248" s="166">
        <v>46037</v>
      </c>
      <c r="D248" s="167" t="s">
        <v>184</v>
      </c>
      <c r="E248" s="168">
        <v>130</v>
      </c>
      <c r="F248" s="167" t="s">
        <v>984</v>
      </c>
      <c r="G248" s="167" t="s">
        <v>87</v>
      </c>
      <c r="H248" s="169">
        <v>0</v>
      </c>
      <c r="I248" s="169">
        <v>62500</v>
      </c>
      <c r="J248" s="155">
        <f>+J247+Tabla69[[#This Row],[DEBE]]-Tabla69[[#This Row],[HABER]]</f>
        <v>818535697.71000004</v>
      </c>
      <c r="K248" s="156" t="s">
        <v>871</v>
      </c>
      <c r="L248" s="157" t="s">
        <v>1507</v>
      </c>
      <c r="M248" s="157"/>
    </row>
    <row r="249" spans="2:13" x14ac:dyDescent="0.35">
      <c r="B249" s="165">
        <v>46037</v>
      </c>
      <c r="C249" s="166">
        <v>46037</v>
      </c>
      <c r="D249" s="167" t="s">
        <v>184</v>
      </c>
      <c r="E249" s="168">
        <v>131</v>
      </c>
      <c r="F249" s="167" t="s">
        <v>985</v>
      </c>
      <c r="G249" s="167" t="s">
        <v>247</v>
      </c>
      <c r="H249" s="169">
        <v>0</v>
      </c>
      <c r="I249" s="169">
        <v>125000</v>
      </c>
      <c r="J249" s="155">
        <f>+J248+Tabla69[[#This Row],[DEBE]]-Tabla69[[#This Row],[HABER]]</f>
        <v>818410697.71000004</v>
      </c>
      <c r="K249" s="156" t="s">
        <v>871</v>
      </c>
      <c r="L249" s="157" t="s">
        <v>649</v>
      </c>
      <c r="M249" s="157"/>
    </row>
    <row r="250" spans="2:13" x14ac:dyDescent="0.35">
      <c r="B250" s="165">
        <v>46037</v>
      </c>
      <c r="C250" s="166">
        <v>46037</v>
      </c>
      <c r="D250" s="167" t="s">
        <v>184</v>
      </c>
      <c r="E250" s="168">
        <v>131</v>
      </c>
      <c r="F250" s="167" t="s">
        <v>985</v>
      </c>
      <c r="G250" s="167" t="s">
        <v>247</v>
      </c>
      <c r="H250" s="169">
        <v>0</v>
      </c>
      <c r="I250" s="169">
        <v>-125000</v>
      </c>
      <c r="J250" s="155">
        <f>+J249+Tabla69[[#This Row],[DEBE]]-Tabla69[[#This Row],[HABER]]</f>
        <v>818535697.71000004</v>
      </c>
      <c r="K250" s="156" t="s">
        <v>871</v>
      </c>
      <c r="L250" s="157" t="s">
        <v>649</v>
      </c>
      <c r="M250" s="157"/>
    </row>
    <row r="251" spans="2:13" x14ac:dyDescent="0.35">
      <c r="B251" s="165">
        <v>46037</v>
      </c>
      <c r="C251" s="166">
        <v>46037</v>
      </c>
      <c r="D251" s="167" t="s">
        <v>184</v>
      </c>
      <c r="E251" s="168">
        <v>132</v>
      </c>
      <c r="F251" s="167" t="s">
        <v>986</v>
      </c>
      <c r="G251" s="167" t="s">
        <v>247</v>
      </c>
      <c r="H251" s="169">
        <v>0</v>
      </c>
      <c r="I251" s="169">
        <v>-62500</v>
      </c>
      <c r="J251" s="155">
        <f>+J250+Tabla69[[#This Row],[DEBE]]-Tabla69[[#This Row],[HABER]]</f>
        <v>818598197.71000004</v>
      </c>
      <c r="K251" s="156" t="s">
        <v>871</v>
      </c>
      <c r="L251" s="157" t="s">
        <v>1507</v>
      </c>
      <c r="M251" s="157"/>
    </row>
    <row r="252" spans="2:13" x14ac:dyDescent="0.35">
      <c r="B252" s="165">
        <v>46037</v>
      </c>
      <c r="C252" s="166">
        <v>46037</v>
      </c>
      <c r="D252" s="167" t="s">
        <v>184</v>
      </c>
      <c r="E252" s="168">
        <v>132</v>
      </c>
      <c r="F252" s="167" t="s">
        <v>986</v>
      </c>
      <c r="G252" s="167" t="s">
        <v>247</v>
      </c>
      <c r="H252" s="169">
        <v>0</v>
      </c>
      <c r="I252" s="169">
        <v>62500</v>
      </c>
      <c r="J252" s="155">
        <f>+J251+Tabla69[[#This Row],[DEBE]]-Tabla69[[#This Row],[HABER]]</f>
        <v>818535697.71000004</v>
      </c>
      <c r="K252" s="156" t="s">
        <v>871</v>
      </c>
      <c r="L252" s="157" t="s">
        <v>1507</v>
      </c>
      <c r="M252" s="157"/>
    </row>
    <row r="253" spans="2:13" x14ac:dyDescent="0.35">
      <c r="B253" s="165">
        <v>46037</v>
      </c>
      <c r="C253" s="166">
        <v>46037</v>
      </c>
      <c r="D253" s="167" t="s">
        <v>184</v>
      </c>
      <c r="E253" s="168">
        <v>133</v>
      </c>
      <c r="F253" s="167" t="s">
        <v>987</v>
      </c>
      <c r="G253" s="167" t="s">
        <v>247</v>
      </c>
      <c r="H253" s="169">
        <v>0</v>
      </c>
      <c r="I253" s="169">
        <v>62500</v>
      </c>
      <c r="J253" s="155">
        <f>+J252+Tabla69[[#This Row],[DEBE]]-Tabla69[[#This Row],[HABER]]</f>
        <v>818473197.71000004</v>
      </c>
      <c r="K253" s="156" t="s">
        <v>871</v>
      </c>
      <c r="L253" s="157" t="s">
        <v>649</v>
      </c>
      <c r="M253" s="157"/>
    </row>
    <row r="254" spans="2:13" x14ac:dyDescent="0.35">
      <c r="B254" s="165">
        <v>46037</v>
      </c>
      <c r="C254" s="166">
        <v>46037</v>
      </c>
      <c r="D254" s="167" t="s">
        <v>184</v>
      </c>
      <c r="E254" s="168">
        <v>133</v>
      </c>
      <c r="F254" s="167" t="s">
        <v>987</v>
      </c>
      <c r="G254" s="167" t="s">
        <v>247</v>
      </c>
      <c r="H254" s="169">
        <v>0</v>
      </c>
      <c r="I254" s="169">
        <v>-62500</v>
      </c>
      <c r="J254" s="155">
        <f>+J253+Tabla69[[#This Row],[DEBE]]-Tabla69[[#This Row],[HABER]]</f>
        <v>818535697.71000004</v>
      </c>
      <c r="K254" s="156" t="s">
        <v>871</v>
      </c>
      <c r="L254" s="157" t="s">
        <v>649</v>
      </c>
      <c r="M254" s="157"/>
    </row>
    <row r="255" spans="2:13" x14ac:dyDescent="0.35">
      <c r="B255" s="165">
        <v>46037</v>
      </c>
      <c r="C255" s="166">
        <v>46037</v>
      </c>
      <c r="D255" s="167" t="s">
        <v>184</v>
      </c>
      <c r="E255" s="168">
        <v>134</v>
      </c>
      <c r="F255" s="167" t="s">
        <v>988</v>
      </c>
      <c r="G255" s="167" t="s">
        <v>250</v>
      </c>
      <c r="H255" s="169">
        <v>0</v>
      </c>
      <c r="I255" s="169">
        <v>250000</v>
      </c>
      <c r="J255" s="155">
        <f>+J254+Tabla69[[#This Row],[DEBE]]-Tabla69[[#This Row],[HABER]]</f>
        <v>818285697.71000004</v>
      </c>
      <c r="K255" s="156" t="s">
        <v>871</v>
      </c>
      <c r="L255" s="157" t="s">
        <v>1507</v>
      </c>
      <c r="M255" s="157"/>
    </row>
    <row r="256" spans="2:13" x14ac:dyDescent="0.35">
      <c r="B256" s="165">
        <v>46037</v>
      </c>
      <c r="C256" s="166">
        <v>46037</v>
      </c>
      <c r="D256" s="167" t="s">
        <v>184</v>
      </c>
      <c r="E256" s="168">
        <v>134</v>
      </c>
      <c r="F256" s="167" t="s">
        <v>988</v>
      </c>
      <c r="G256" s="167" t="s">
        <v>250</v>
      </c>
      <c r="H256" s="169">
        <v>0</v>
      </c>
      <c r="I256" s="169">
        <v>-250000</v>
      </c>
      <c r="J256" s="155">
        <f>+J255+Tabla69[[#This Row],[DEBE]]-Tabla69[[#This Row],[HABER]]</f>
        <v>818535697.71000004</v>
      </c>
      <c r="K256" s="156" t="s">
        <v>871</v>
      </c>
      <c r="L256" s="157" t="s">
        <v>1507</v>
      </c>
      <c r="M256" s="157"/>
    </row>
    <row r="257" spans="2:13" x14ac:dyDescent="0.35">
      <c r="B257" s="165">
        <v>46037</v>
      </c>
      <c r="C257" s="166">
        <v>46037</v>
      </c>
      <c r="D257" s="167" t="s">
        <v>184</v>
      </c>
      <c r="E257" s="168">
        <v>135</v>
      </c>
      <c r="F257" s="167" t="s">
        <v>989</v>
      </c>
      <c r="G257" s="167" t="s">
        <v>247</v>
      </c>
      <c r="H257" s="169">
        <v>0</v>
      </c>
      <c r="I257" s="169">
        <v>250000</v>
      </c>
      <c r="J257" s="155">
        <f>+J256+Tabla69[[#This Row],[DEBE]]-Tabla69[[#This Row],[HABER]]</f>
        <v>818285697.71000004</v>
      </c>
      <c r="K257" s="156" t="s">
        <v>871</v>
      </c>
      <c r="L257" s="157" t="s">
        <v>649</v>
      </c>
      <c r="M257" s="157"/>
    </row>
    <row r="258" spans="2:13" x14ac:dyDescent="0.35">
      <c r="B258" s="165">
        <v>46037</v>
      </c>
      <c r="C258" s="166">
        <v>46037</v>
      </c>
      <c r="D258" s="167" t="s">
        <v>184</v>
      </c>
      <c r="E258" s="168">
        <v>135</v>
      </c>
      <c r="F258" s="167" t="s">
        <v>989</v>
      </c>
      <c r="G258" s="167" t="s">
        <v>247</v>
      </c>
      <c r="H258" s="169">
        <v>0</v>
      </c>
      <c r="I258" s="169">
        <v>-250000</v>
      </c>
      <c r="J258" s="155">
        <f>+J257+Tabla69[[#This Row],[DEBE]]-Tabla69[[#This Row],[HABER]]</f>
        <v>818535697.71000004</v>
      </c>
      <c r="K258" s="156" t="s">
        <v>871</v>
      </c>
      <c r="L258" s="157" t="s">
        <v>649</v>
      </c>
      <c r="M258" s="157"/>
    </row>
    <row r="259" spans="2:13" x14ac:dyDescent="0.35">
      <c r="B259" s="165">
        <v>46037</v>
      </c>
      <c r="C259" s="166">
        <v>46037</v>
      </c>
      <c r="D259" s="167" t="s">
        <v>184</v>
      </c>
      <c r="E259" s="168">
        <v>136</v>
      </c>
      <c r="F259" s="167" t="s">
        <v>990</v>
      </c>
      <c r="G259" s="167" t="s">
        <v>247</v>
      </c>
      <c r="H259" s="169">
        <v>0</v>
      </c>
      <c r="I259" s="169">
        <v>-125000</v>
      </c>
      <c r="J259" s="155">
        <f>+J258+Tabla69[[#This Row],[DEBE]]-Tabla69[[#This Row],[HABER]]</f>
        <v>818660697.71000004</v>
      </c>
      <c r="K259" s="156" t="s">
        <v>871</v>
      </c>
      <c r="L259" s="157" t="s">
        <v>649</v>
      </c>
      <c r="M259" s="157"/>
    </row>
    <row r="260" spans="2:13" x14ac:dyDescent="0.35">
      <c r="B260" s="165">
        <v>46037</v>
      </c>
      <c r="C260" s="166">
        <v>46037</v>
      </c>
      <c r="D260" s="167" t="s">
        <v>184</v>
      </c>
      <c r="E260" s="168">
        <v>136</v>
      </c>
      <c r="F260" s="167" t="s">
        <v>990</v>
      </c>
      <c r="G260" s="167" t="s">
        <v>247</v>
      </c>
      <c r="H260" s="169">
        <v>0</v>
      </c>
      <c r="I260" s="169">
        <v>125000</v>
      </c>
      <c r="J260" s="155">
        <f>+J259+Tabla69[[#This Row],[DEBE]]-Tabla69[[#This Row],[HABER]]</f>
        <v>818535697.71000004</v>
      </c>
      <c r="K260" s="156" t="s">
        <v>871</v>
      </c>
      <c r="L260" s="157" t="s">
        <v>649</v>
      </c>
      <c r="M260" s="157"/>
    </row>
    <row r="261" spans="2:13" x14ac:dyDescent="0.35">
      <c r="B261" s="165">
        <v>46037</v>
      </c>
      <c r="C261" s="166">
        <v>46037</v>
      </c>
      <c r="D261" s="167" t="s">
        <v>184</v>
      </c>
      <c r="E261" s="168">
        <v>137</v>
      </c>
      <c r="F261" s="167" t="s">
        <v>991</v>
      </c>
      <c r="G261" s="167" t="s">
        <v>248</v>
      </c>
      <c r="H261" s="169">
        <v>0</v>
      </c>
      <c r="I261" s="169">
        <v>125000</v>
      </c>
      <c r="J261" s="155">
        <f>+J260+Tabla69[[#This Row],[DEBE]]-Tabla69[[#This Row],[HABER]]</f>
        <v>818410697.71000004</v>
      </c>
      <c r="K261" s="156" t="s">
        <v>871</v>
      </c>
      <c r="L261" s="157" t="s">
        <v>649</v>
      </c>
      <c r="M261" s="157"/>
    </row>
    <row r="262" spans="2:13" x14ac:dyDescent="0.35">
      <c r="B262" s="165">
        <v>46037</v>
      </c>
      <c r="C262" s="166">
        <v>46037</v>
      </c>
      <c r="D262" s="167" t="s">
        <v>184</v>
      </c>
      <c r="E262" s="168">
        <v>137</v>
      </c>
      <c r="F262" s="167" t="s">
        <v>991</v>
      </c>
      <c r="G262" s="167" t="s">
        <v>248</v>
      </c>
      <c r="H262" s="169">
        <v>0</v>
      </c>
      <c r="I262" s="169">
        <v>-125000</v>
      </c>
      <c r="J262" s="155">
        <f>+J261+Tabla69[[#This Row],[DEBE]]-Tabla69[[#This Row],[HABER]]</f>
        <v>818535697.71000004</v>
      </c>
      <c r="K262" s="156" t="s">
        <v>871</v>
      </c>
      <c r="L262" s="157" t="s">
        <v>649</v>
      </c>
      <c r="M262" s="157"/>
    </row>
    <row r="263" spans="2:13" x14ac:dyDescent="0.35">
      <c r="B263" s="165">
        <v>46037</v>
      </c>
      <c r="C263" s="166">
        <v>46037</v>
      </c>
      <c r="D263" s="167" t="s">
        <v>184</v>
      </c>
      <c r="E263" s="168">
        <v>138</v>
      </c>
      <c r="F263" s="167" t="s">
        <v>992</v>
      </c>
      <c r="G263" s="167" t="s">
        <v>248</v>
      </c>
      <c r="H263" s="169">
        <v>0</v>
      </c>
      <c r="I263" s="169">
        <v>-125000</v>
      </c>
      <c r="J263" s="155">
        <f>+J262+Tabla69[[#This Row],[DEBE]]-Tabla69[[#This Row],[HABER]]</f>
        <v>818660697.71000004</v>
      </c>
      <c r="K263" s="156" t="s">
        <v>871</v>
      </c>
      <c r="L263" s="157" t="s">
        <v>649</v>
      </c>
      <c r="M263" s="157"/>
    </row>
    <row r="264" spans="2:13" x14ac:dyDescent="0.35">
      <c r="B264" s="165">
        <v>46037</v>
      </c>
      <c r="C264" s="166">
        <v>46037</v>
      </c>
      <c r="D264" s="167" t="s">
        <v>184</v>
      </c>
      <c r="E264" s="168">
        <v>138</v>
      </c>
      <c r="F264" s="167" t="s">
        <v>992</v>
      </c>
      <c r="G264" s="167" t="s">
        <v>248</v>
      </c>
      <c r="H264" s="169">
        <v>0</v>
      </c>
      <c r="I264" s="169">
        <v>125000</v>
      </c>
      <c r="J264" s="155">
        <f>+J263+Tabla69[[#This Row],[DEBE]]-Tabla69[[#This Row],[HABER]]</f>
        <v>818535697.71000004</v>
      </c>
      <c r="K264" s="156" t="s">
        <v>871</v>
      </c>
      <c r="L264" s="157" t="s">
        <v>649</v>
      </c>
      <c r="M264" s="157"/>
    </row>
    <row r="265" spans="2:13" x14ac:dyDescent="0.35">
      <c r="B265" s="165">
        <v>46037</v>
      </c>
      <c r="C265" s="166">
        <v>46037</v>
      </c>
      <c r="D265" s="167" t="s">
        <v>184</v>
      </c>
      <c r="E265" s="168">
        <v>139</v>
      </c>
      <c r="F265" s="167" t="s">
        <v>993</v>
      </c>
      <c r="G265" s="167" t="s">
        <v>251</v>
      </c>
      <c r="H265" s="169">
        <v>0</v>
      </c>
      <c r="I265" s="169">
        <v>-250000</v>
      </c>
      <c r="J265" s="155">
        <f>+J264+Tabla69[[#This Row],[DEBE]]-Tabla69[[#This Row],[HABER]]</f>
        <v>818785697.71000004</v>
      </c>
      <c r="K265" s="156" t="s">
        <v>871</v>
      </c>
      <c r="L265" s="157" t="s">
        <v>649</v>
      </c>
      <c r="M265" s="157"/>
    </row>
    <row r="266" spans="2:13" x14ac:dyDescent="0.35">
      <c r="B266" s="165">
        <v>46037</v>
      </c>
      <c r="C266" s="166">
        <v>46037</v>
      </c>
      <c r="D266" s="167" t="s">
        <v>184</v>
      </c>
      <c r="E266" s="168">
        <v>139</v>
      </c>
      <c r="F266" s="167" t="s">
        <v>993</v>
      </c>
      <c r="G266" s="167" t="s">
        <v>251</v>
      </c>
      <c r="H266" s="169">
        <v>0</v>
      </c>
      <c r="I266" s="169">
        <v>250000</v>
      </c>
      <c r="J266" s="155">
        <f>+J265+Tabla69[[#This Row],[DEBE]]-Tabla69[[#This Row],[HABER]]</f>
        <v>818535697.71000004</v>
      </c>
      <c r="K266" s="156" t="s">
        <v>871</v>
      </c>
      <c r="L266" s="157" t="s">
        <v>649</v>
      </c>
      <c r="M266" s="157"/>
    </row>
    <row r="267" spans="2:13" x14ac:dyDescent="0.35">
      <c r="B267" s="165">
        <v>46037</v>
      </c>
      <c r="C267" s="166">
        <v>46037</v>
      </c>
      <c r="D267" s="167" t="s">
        <v>184</v>
      </c>
      <c r="E267" s="168">
        <v>140</v>
      </c>
      <c r="F267" s="167" t="s">
        <v>994</v>
      </c>
      <c r="G267" s="167" t="s">
        <v>248</v>
      </c>
      <c r="H267" s="169">
        <v>0</v>
      </c>
      <c r="I267" s="169">
        <v>62500</v>
      </c>
      <c r="J267" s="155">
        <f>+J266+Tabla69[[#This Row],[DEBE]]-Tabla69[[#This Row],[HABER]]</f>
        <v>818473197.71000004</v>
      </c>
      <c r="K267" s="156" t="s">
        <v>871</v>
      </c>
      <c r="L267" s="157" t="s">
        <v>649</v>
      </c>
      <c r="M267" s="157"/>
    </row>
    <row r="268" spans="2:13" x14ac:dyDescent="0.35">
      <c r="B268" s="165">
        <v>46037</v>
      </c>
      <c r="C268" s="166">
        <v>46037</v>
      </c>
      <c r="D268" s="167" t="s">
        <v>184</v>
      </c>
      <c r="E268" s="168">
        <v>140</v>
      </c>
      <c r="F268" s="167" t="s">
        <v>994</v>
      </c>
      <c r="G268" s="167" t="s">
        <v>248</v>
      </c>
      <c r="H268" s="169">
        <v>0</v>
      </c>
      <c r="I268" s="169">
        <v>-62500</v>
      </c>
      <c r="J268" s="155">
        <f>+J267+Tabla69[[#This Row],[DEBE]]-Tabla69[[#This Row],[HABER]]</f>
        <v>818535697.71000004</v>
      </c>
      <c r="K268" s="156" t="s">
        <v>871</v>
      </c>
      <c r="L268" s="157" t="s">
        <v>649</v>
      </c>
      <c r="M268" s="157"/>
    </row>
    <row r="269" spans="2:13" x14ac:dyDescent="0.35">
      <c r="B269" s="165">
        <v>46037</v>
      </c>
      <c r="C269" s="166">
        <v>46037</v>
      </c>
      <c r="D269" s="167" t="s">
        <v>184</v>
      </c>
      <c r="E269" s="168">
        <v>141</v>
      </c>
      <c r="F269" s="167" t="s">
        <v>995</v>
      </c>
      <c r="G269" s="167" t="s">
        <v>248</v>
      </c>
      <c r="H269" s="169">
        <v>0</v>
      </c>
      <c r="I269" s="169">
        <v>250000</v>
      </c>
      <c r="J269" s="155">
        <f>+J268+Tabla69[[#This Row],[DEBE]]-Tabla69[[#This Row],[HABER]]</f>
        <v>818285697.71000004</v>
      </c>
      <c r="K269" s="156" t="s">
        <v>871</v>
      </c>
      <c r="L269" s="157" t="s">
        <v>649</v>
      </c>
      <c r="M269" s="157"/>
    </row>
    <row r="270" spans="2:13" x14ac:dyDescent="0.35">
      <c r="B270" s="165">
        <v>46037</v>
      </c>
      <c r="C270" s="166">
        <v>46037</v>
      </c>
      <c r="D270" s="167" t="s">
        <v>184</v>
      </c>
      <c r="E270" s="168">
        <v>141</v>
      </c>
      <c r="F270" s="167" t="s">
        <v>995</v>
      </c>
      <c r="G270" s="167" t="s">
        <v>248</v>
      </c>
      <c r="H270" s="169">
        <v>0</v>
      </c>
      <c r="I270" s="169">
        <v>-250000</v>
      </c>
      <c r="J270" s="155">
        <f>+J269+Tabla69[[#This Row],[DEBE]]-Tabla69[[#This Row],[HABER]]</f>
        <v>818535697.71000004</v>
      </c>
      <c r="K270" s="156" t="s">
        <v>871</v>
      </c>
      <c r="L270" s="157" t="s">
        <v>649</v>
      </c>
      <c r="M270" s="157"/>
    </row>
    <row r="271" spans="2:13" x14ac:dyDescent="0.35">
      <c r="B271" s="165">
        <v>46037</v>
      </c>
      <c r="C271" s="166">
        <v>46037</v>
      </c>
      <c r="D271" s="167" t="s">
        <v>184</v>
      </c>
      <c r="E271" s="168">
        <v>142</v>
      </c>
      <c r="F271" s="167" t="s">
        <v>996</v>
      </c>
      <c r="G271" s="167" t="s">
        <v>248</v>
      </c>
      <c r="H271" s="169">
        <v>0</v>
      </c>
      <c r="I271" s="169">
        <v>-250000</v>
      </c>
      <c r="J271" s="155">
        <f>+J270+Tabla69[[#This Row],[DEBE]]-Tabla69[[#This Row],[HABER]]</f>
        <v>818785697.71000004</v>
      </c>
      <c r="K271" s="156" t="s">
        <v>871</v>
      </c>
      <c r="L271" s="157" t="s">
        <v>649</v>
      </c>
      <c r="M271" s="157"/>
    </row>
    <row r="272" spans="2:13" x14ac:dyDescent="0.35">
      <c r="B272" s="165">
        <v>46037</v>
      </c>
      <c r="C272" s="166">
        <v>46037</v>
      </c>
      <c r="D272" s="167" t="s">
        <v>184</v>
      </c>
      <c r="E272" s="168">
        <v>142</v>
      </c>
      <c r="F272" s="167" t="s">
        <v>996</v>
      </c>
      <c r="G272" s="167" t="s">
        <v>248</v>
      </c>
      <c r="H272" s="169">
        <v>0</v>
      </c>
      <c r="I272" s="169">
        <v>250000</v>
      </c>
      <c r="J272" s="155">
        <f>+J271+Tabla69[[#This Row],[DEBE]]-Tabla69[[#This Row],[HABER]]</f>
        <v>818535697.71000004</v>
      </c>
      <c r="K272" s="156" t="s">
        <v>871</v>
      </c>
      <c r="L272" s="157" t="s">
        <v>649</v>
      </c>
      <c r="M272" s="157"/>
    </row>
    <row r="273" spans="2:13" x14ac:dyDescent="0.35">
      <c r="B273" s="165">
        <v>46037</v>
      </c>
      <c r="C273" s="166">
        <v>46037</v>
      </c>
      <c r="D273" s="167" t="s">
        <v>184</v>
      </c>
      <c r="E273" s="168">
        <v>143</v>
      </c>
      <c r="F273" s="167" t="s">
        <v>997</v>
      </c>
      <c r="G273" s="167" t="s">
        <v>247</v>
      </c>
      <c r="H273" s="169">
        <v>0</v>
      </c>
      <c r="I273" s="169">
        <v>-125000</v>
      </c>
      <c r="J273" s="155">
        <f>+J272+Tabla69[[#This Row],[DEBE]]-Tabla69[[#This Row],[HABER]]</f>
        <v>818660697.71000004</v>
      </c>
      <c r="K273" s="156" t="s">
        <v>871</v>
      </c>
      <c r="L273" s="157" t="s">
        <v>649</v>
      </c>
      <c r="M273" s="157"/>
    </row>
    <row r="274" spans="2:13" x14ac:dyDescent="0.35">
      <c r="B274" s="165">
        <v>46037</v>
      </c>
      <c r="C274" s="166">
        <v>46037</v>
      </c>
      <c r="D274" s="167" t="s">
        <v>184</v>
      </c>
      <c r="E274" s="168">
        <v>143</v>
      </c>
      <c r="F274" s="167" t="s">
        <v>997</v>
      </c>
      <c r="G274" s="167" t="s">
        <v>247</v>
      </c>
      <c r="H274" s="169">
        <v>0</v>
      </c>
      <c r="I274" s="169">
        <v>125000</v>
      </c>
      <c r="J274" s="155">
        <f>+J273+Tabla69[[#This Row],[DEBE]]-Tabla69[[#This Row],[HABER]]</f>
        <v>818535697.71000004</v>
      </c>
      <c r="K274" s="156" t="s">
        <v>871</v>
      </c>
      <c r="L274" s="157" t="s">
        <v>649</v>
      </c>
      <c r="M274" s="157"/>
    </row>
    <row r="275" spans="2:13" x14ac:dyDescent="0.35">
      <c r="B275" s="165">
        <v>46037</v>
      </c>
      <c r="C275" s="166">
        <v>46037</v>
      </c>
      <c r="D275" s="167" t="s">
        <v>184</v>
      </c>
      <c r="E275" s="168">
        <v>144</v>
      </c>
      <c r="F275" s="167" t="s">
        <v>998</v>
      </c>
      <c r="G275" s="167" t="s">
        <v>247</v>
      </c>
      <c r="H275" s="169">
        <v>0</v>
      </c>
      <c r="I275" s="169">
        <v>-125000</v>
      </c>
      <c r="J275" s="155">
        <f>+J274+Tabla69[[#This Row],[DEBE]]-Tabla69[[#This Row],[HABER]]</f>
        <v>818660697.71000004</v>
      </c>
      <c r="K275" s="156" t="s">
        <v>871</v>
      </c>
      <c r="L275" s="157" t="s">
        <v>649</v>
      </c>
      <c r="M275" s="157"/>
    </row>
    <row r="276" spans="2:13" x14ac:dyDescent="0.35">
      <c r="B276" s="165">
        <v>46037</v>
      </c>
      <c r="C276" s="166">
        <v>46037</v>
      </c>
      <c r="D276" s="167" t="s">
        <v>184</v>
      </c>
      <c r="E276" s="168">
        <v>144</v>
      </c>
      <c r="F276" s="167" t="s">
        <v>998</v>
      </c>
      <c r="G276" s="167" t="s">
        <v>247</v>
      </c>
      <c r="H276" s="169">
        <v>0</v>
      </c>
      <c r="I276" s="169">
        <v>125000</v>
      </c>
      <c r="J276" s="155">
        <f>+J275+Tabla69[[#This Row],[DEBE]]-Tabla69[[#This Row],[HABER]]</f>
        <v>818535697.71000004</v>
      </c>
      <c r="K276" s="156" t="s">
        <v>871</v>
      </c>
      <c r="L276" s="157" t="s">
        <v>649</v>
      </c>
      <c r="M276" s="157"/>
    </row>
    <row r="277" spans="2:13" x14ac:dyDescent="0.35">
      <c r="B277" s="165">
        <v>46037</v>
      </c>
      <c r="C277" s="166">
        <v>46037</v>
      </c>
      <c r="D277" s="167" t="s">
        <v>184</v>
      </c>
      <c r="E277" s="168">
        <v>145</v>
      </c>
      <c r="F277" s="167" t="s">
        <v>999</v>
      </c>
      <c r="G277" s="167" t="s">
        <v>247</v>
      </c>
      <c r="H277" s="169">
        <v>0</v>
      </c>
      <c r="I277" s="169">
        <v>-250000</v>
      </c>
      <c r="J277" s="155">
        <f>+J276+Tabla69[[#This Row],[DEBE]]-Tabla69[[#This Row],[HABER]]</f>
        <v>818785697.71000004</v>
      </c>
      <c r="K277" s="156" t="s">
        <v>871</v>
      </c>
      <c r="L277" s="157" t="s">
        <v>649</v>
      </c>
      <c r="M277" s="157"/>
    </row>
    <row r="278" spans="2:13" x14ac:dyDescent="0.35">
      <c r="B278" s="165">
        <v>46037</v>
      </c>
      <c r="C278" s="166">
        <v>46037</v>
      </c>
      <c r="D278" s="167" t="s">
        <v>184</v>
      </c>
      <c r="E278" s="168">
        <v>145</v>
      </c>
      <c r="F278" s="167" t="s">
        <v>999</v>
      </c>
      <c r="G278" s="167" t="s">
        <v>247</v>
      </c>
      <c r="H278" s="169">
        <v>0</v>
      </c>
      <c r="I278" s="169">
        <v>250000</v>
      </c>
      <c r="J278" s="155">
        <f>+J277+Tabla69[[#This Row],[DEBE]]-Tabla69[[#This Row],[HABER]]</f>
        <v>818535697.71000004</v>
      </c>
      <c r="K278" s="156" t="s">
        <v>871</v>
      </c>
      <c r="L278" s="157" t="s">
        <v>649</v>
      </c>
      <c r="M278" s="157"/>
    </row>
    <row r="279" spans="2:13" x14ac:dyDescent="0.35">
      <c r="B279" s="165">
        <v>46037</v>
      </c>
      <c r="C279" s="166">
        <v>46037</v>
      </c>
      <c r="D279" s="167" t="s">
        <v>184</v>
      </c>
      <c r="E279" s="168">
        <v>146</v>
      </c>
      <c r="F279" s="167" t="s">
        <v>1000</v>
      </c>
      <c r="G279" s="167" t="s">
        <v>248</v>
      </c>
      <c r="H279" s="169">
        <v>0</v>
      </c>
      <c r="I279" s="169">
        <v>-125000</v>
      </c>
      <c r="J279" s="155">
        <f>+J278+Tabla69[[#This Row],[DEBE]]-Tabla69[[#This Row],[HABER]]</f>
        <v>818660697.71000004</v>
      </c>
      <c r="K279" s="156" t="s">
        <v>871</v>
      </c>
      <c r="L279" s="157" t="s">
        <v>649</v>
      </c>
      <c r="M279" s="157"/>
    </row>
    <row r="280" spans="2:13" x14ac:dyDescent="0.35">
      <c r="B280" s="165">
        <v>46037</v>
      </c>
      <c r="C280" s="166">
        <v>46037</v>
      </c>
      <c r="D280" s="167" t="s">
        <v>184</v>
      </c>
      <c r="E280" s="168">
        <v>146</v>
      </c>
      <c r="F280" s="167" t="s">
        <v>1000</v>
      </c>
      <c r="G280" s="167" t="s">
        <v>248</v>
      </c>
      <c r="H280" s="169">
        <v>0</v>
      </c>
      <c r="I280" s="169">
        <v>125000</v>
      </c>
      <c r="J280" s="155">
        <f>+J279+Tabla69[[#This Row],[DEBE]]-Tabla69[[#This Row],[HABER]]</f>
        <v>818535697.71000004</v>
      </c>
      <c r="K280" s="156" t="s">
        <v>871</v>
      </c>
      <c r="L280" s="157" t="s">
        <v>649</v>
      </c>
      <c r="M280" s="157"/>
    </row>
    <row r="281" spans="2:13" x14ac:dyDescent="0.35">
      <c r="B281" s="165">
        <v>46037</v>
      </c>
      <c r="C281" s="166">
        <v>46037</v>
      </c>
      <c r="D281" s="167" t="s">
        <v>184</v>
      </c>
      <c r="E281" s="168">
        <v>147</v>
      </c>
      <c r="F281" s="167" t="s">
        <v>1001</v>
      </c>
      <c r="G281" s="167" t="s">
        <v>250</v>
      </c>
      <c r="H281" s="169">
        <v>0</v>
      </c>
      <c r="I281" s="169">
        <v>-250000</v>
      </c>
      <c r="J281" s="155">
        <f>+J280+Tabla69[[#This Row],[DEBE]]-Tabla69[[#This Row],[HABER]]</f>
        <v>818785697.71000004</v>
      </c>
      <c r="K281" s="156" t="s">
        <v>871</v>
      </c>
      <c r="L281" s="157" t="s">
        <v>1507</v>
      </c>
      <c r="M281" s="157"/>
    </row>
    <row r="282" spans="2:13" x14ac:dyDescent="0.35">
      <c r="B282" s="165">
        <v>46037</v>
      </c>
      <c r="C282" s="166">
        <v>46037</v>
      </c>
      <c r="D282" s="167" t="s">
        <v>184</v>
      </c>
      <c r="E282" s="168">
        <v>147</v>
      </c>
      <c r="F282" s="167" t="s">
        <v>1001</v>
      </c>
      <c r="G282" s="167" t="s">
        <v>250</v>
      </c>
      <c r="H282" s="169">
        <v>0</v>
      </c>
      <c r="I282" s="169">
        <v>250000</v>
      </c>
      <c r="J282" s="155">
        <f>+J281+Tabla69[[#This Row],[DEBE]]-Tabla69[[#This Row],[HABER]]</f>
        <v>818535697.71000004</v>
      </c>
      <c r="K282" s="156" t="s">
        <v>871</v>
      </c>
      <c r="L282" s="157" t="s">
        <v>1507</v>
      </c>
      <c r="M282" s="157"/>
    </row>
    <row r="283" spans="2:13" x14ac:dyDescent="0.35">
      <c r="B283" s="165">
        <v>46037</v>
      </c>
      <c r="C283" s="166">
        <v>46037</v>
      </c>
      <c r="D283" s="167" t="s">
        <v>184</v>
      </c>
      <c r="E283" s="168">
        <v>148</v>
      </c>
      <c r="F283" s="167" t="s">
        <v>1002</v>
      </c>
      <c r="G283" s="167" t="s">
        <v>248</v>
      </c>
      <c r="H283" s="169">
        <v>0</v>
      </c>
      <c r="I283" s="169">
        <v>-250000</v>
      </c>
      <c r="J283" s="155">
        <f>+J282+Tabla69[[#This Row],[DEBE]]-Tabla69[[#This Row],[HABER]]</f>
        <v>818785697.71000004</v>
      </c>
      <c r="K283" s="156" t="s">
        <v>871</v>
      </c>
      <c r="L283" s="157" t="s">
        <v>649</v>
      </c>
      <c r="M283" s="157"/>
    </row>
    <row r="284" spans="2:13" x14ac:dyDescent="0.35">
      <c r="B284" s="165">
        <v>46037</v>
      </c>
      <c r="C284" s="166">
        <v>46037</v>
      </c>
      <c r="D284" s="167" t="s">
        <v>184</v>
      </c>
      <c r="E284" s="168">
        <v>148</v>
      </c>
      <c r="F284" s="167" t="s">
        <v>1002</v>
      </c>
      <c r="G284" s="167" t="s">
        <v>248</v>
      </c>
      <c r="H284" s="169">
        <v>0</v>
      </c>
      <c r="I284" s="169">
        <v>250000</v>
      </c>
      <c r="J284" s="155">
        <f>+J283+Tabla69[[#This Row],[DEBE]]-Tabla69[[#This Row],[HABER]]</f>
        <v>818535697.71000004</v>
      </c>
      <c r="K284" s="156" t="s">
        <v>871</v>
      </c>
      <c r="L284" s="157" t="s">
        <v>649</v>
      </c>
      <c r="M284" s="157"/>
    </row>
    <row r="285" spans="2:13" x14ac:dyDescent="0.35">
      <c r="B285" s="165">
        <v>46037</v>
      </c>
      <c r="C285" s="166">
        <v>46037</v>
      </c>
      <c r="D285" s="167" t="s">
        <v>184</v>
      </c>
      <c r="E285" s="168">
        <v>149</v>
      </c>
      <c r="F285" s="167" t="s">
        <v>1003</v>
      </c>
      <c r="G285" s="167" t="s">
        <v>247</v>
      </c>
      <c r="H285" s="169">
        <v>0</v>
      </c>
      <c r="I285" s="169">
        <v>125000</v>
      </c>
      <c r="J285" s="155">
        <f>+J284+Tabla69[[#This Row],[DEBE]]-Tabla69[[#This Row],[HABER]]</f>
        <v>818410697.71000004</v>
      </c>
      <c r="K285" s="156" t="s">
        <v>871</v>
      </c>
      <c r="L285" s="157" t="s">
        <v>649</v>
      </c>
      <c r="M285" s="157"/>
    </row>
    <row r="286" spans="2:13" x14ac:dyDescent="0.35">
      <c r="B286" s="165">
        <v>46037</v>
      </c>
      <c r="C286" s="166">
        <v>46037</v>
      </c>
      <c r="D286" s="167" t="s">
        <v>184</v>
      </c>
      <c r="E286" s="168">
        <v>149</v>
      </c>
      <c r="F286" s="167" t="s">
        <v>1003</v>
      </c>
      <c r="G286" s="167" t="s">
        <v>247</v>
      </c>
      <c r="H286" s="169">
        <v>0</v>
      </c>
      <c r="I286" s="169">
        <v>-125000</v>
      </c>
      <c r="J286" s="155">
        <f>+J285+Tabla69[[#This Row],[DEBE]]-Tabla69[[#This Row],[HABER]]</f>
        <v>818535697.71000004</v>
      </c>
      <c r="K286" s="156" t="s">
        <v>871</v>
      </c>
      <c r="L286" s="157" t="s">
        <v>649</v>
      </c>
      <c r="M286" s="157"/>
    </row>
    <row r="287" spans="2:13" x14ac:dyDescent="0.35">
      <c r="B287" s="165">
        <v>46037</v>
      </c>
      <c r="C287" s="166">
        <v>46037</v>
      </c>
      <c r="D287" s="167" t="s">
        <v>184</v>
      </c>
      <c r="E287" s="168">
        <v>150</v>
      </c>
      <c r="F287" s="167" t="s">
        <v>1004</v>
      </c>
      <c r="G287" s="167" t="s">
        <v>248</v>
      </c>
      <c r="H287" s="169">
        <v>0</v>
      </c>
      <c r="I287" s="169">
        <v>125000</v>
      </c>
      <c r="J287" s="155">
        <f>+J286+Tabla69[[#This Row],[DEBE]]-Tabla69[[#This Row],[HABER]]</f>
        <v>818410697.71000004</v>
      </c>
      <c r="K287" s="156" t="s">
        <v>871</v>
      </c>
      <c r="L287" s="157" t="s">
        <v>649</v>
      </c>
      <c r="M287" s="157"/>
    </row>
    <row r="288" spans="2:13" x14ac:dyDescent="0.35">
      <c r="B288" s="165">
        <v>46037</v>
      </c>
      <c r="C288" s="166">
        <v>46037</v>
      </c>
      <c r="D288" s="167" t="s">
        <v>184</v>
      </c>
      <c r="E288" s="168">
        <v>150</v>
      </c>
      <c r="F288" s="167" t="s">
        <v>1004</v>
      </c>
      <c r="G288" s="167" t="s">
        <v>248</v>
      </c>
      <c r="H288" s="169">
        <v>0</v>
      </c>
      <c r="I288" s="169">
        <v>-125000</v>
      </c>
      <c r="J288" s="155">
        <f>+J287+Tabla69[[#This Row],[DEBE]]-Tabla69[[#This Row],[HABER]]</f>
        <v>818535697.71000004</v>
      </c>
      <c r="K288" s="156" t="s">
        <v>871</v>
      </c>
      <c r="L288" s="157" t="s">
        <v>649</v>
      </c>
      <c r="M288" s="157"/>
    </row>
    <row r="289" spans="2:13" x14ac:dyDescent="0.35">
      <c r="B289" s="165">
        <v>46037</v>
      </c>
      <c r="C289" s="166">
        <v>46037</v>
      </c>
      <c r="D289" s="167" t="s">
        <v>184</v>
      </c>
      <c r="E289" s="168">
        <v>151</v>
      </c>
      <c r="F289" s="167" t="s">
        <v>1005</v>
      </c>
      <c r="G289" s="167" t="s">
        <v>247</v>
      </c>
      <c r="H289" s="169">
        <v>0</v>
      </c>
      <c r="I289" s="169">
        <v>-250000</v>
      </c>
      <c r="J289" s="155">
        <f>+J288+Tabla69[[#This Row],[DEBE]]-Tabla69[[#This Row],[HABER]]</f>
        <v>818785697.71000004</v>
      </c>
      <c r="K289" s="156" t="s">
        <v>871</v>
      </c>
      <c r="L289" s="157" t="s">
        <v>1507</v>
      </c>
      <c r="M289" s="157"/>
    </row>
    <row r="290" spans="2:13" x14ac:dyDescent="0.35">
      <c r="B290" s="165">
        <v>46037</v>
      </c>
      <c r="C290" s="166">
        <v>46037</v>
      </c>
      <c r="D290" s="167" t="s">
        <v>184</v>
      </c>
      <c r="E290" s="168">
        <v>151</v>
      </c>
      <c r="F290" s="167" t="s">
        <v>1005</v>
      </c>
      <c r="G290" s="167" t="s">
        <v>247</v>
      </c>
      <c r="H290" s="169">
        <v>0</v>
      </c>
      <c r="I290" s="169">
        <v>250000</v>
      </c>
      <c r="J290" s="155">
        <f>+J289+Tabla69[[#This Row],[DEBE]]-Tabla69[[#This Row],[HABER]]</f>
        <v>818535697.71000004</v>
      </c>
      <c r="K290" s="156" t="s">
        <v>871</v>
      </c>
      <c r="L290" s="157" t="s">
        <v>1507</v>
      </c>
      <c r="M290" s="157"/>
    </row>
    <row r="291" spans="2:13" x14ac:dyDescent="0.35">
      <c r="B291" s="165">
        <v>46037</v>
      </c>
      <c r="C291" s="166">
        <v>46037</v>
      </c>
      <c r="D291" s="167" t="s">
        <v>184</v>
      </c>
      <c r="E291" s="168">
        <v>152</v>
      </c>
      <c r="F291" s="167" t="s">
        <v>1006</v>
      </c>
      <c r="G291" s="167" t="s">
        <v>248</v>
      </c>
      <c r="H291" s="169">
        <v>0</v>
      </c>
      <c r="I291" s="169">
        <v>250000</v>
      </c>
      <c r="J291" s="155">
        <f>+J290+Tabla69[[#This Row],[DEBE]]-Tabla69[[#This Row],[HABER]]</f>
        <v>818285697.71000004</v>
      </c>
      <c r="K291" s="156" t="s">
        <v>871</v>
      </c>
      <c r="L291" s="157" t="s">
        <v>649</v>
      </c>
      <c r="M291" s="157"/>
    </row>
    <row r="292" spans="2:13" x14ac:dyDescent="0.35">
      <c r="B292" s="165">
        <v>46037</v>
      </c>
      <c r="C292" s="166">
        <v>46037</v>
      </c>
      <c r="D292" s="167" t="s">
        <v>184</v>
      </c>
      <c r="E292" s="168">
        <v>152</v>
      </c>
      <c r="F292" s="167" t="s">
        <v>1006</v>
      </c>
      <c r="G292" s="167" t="s">
        <v>248</v>
      </c>
      <c r="H292" s="169">
        <v>0</v>
      </c>
      <c r="I292" s="169">
        <v>-250000</v>
      </c>
      <c r="J292" s="155">
        <f>+J291+Tabla69[[#This Row],[DEBE]]-Tabla69[[#This Row],[HABER]]</f>
        <v>818535697.71000004</v>
      </c>
      <c r="K292" s="156" t="s">
        <v>871</v>
      </c>
      <c r="L292" s="157" t="s">
        <v>649</v>
      </c>
      <c r="M292" s="157"/>
    </row>
    <row r="293" spans="2:13" x14ac:dyDescent="0.35">
      <c r="B293" s="165">
        <v>46037</v>
      </c>
      <c r="C293" s="166">
        <v>46037</v>
      </c>
      <c r="D293" s="167" t="s">
        <v>184</v>
      </c>
      <c r="E293" s="168">
        <v>153</v>
      </c>
      <c r="F293" s="167" t="s">
        <v>1007</v>
      </c>
      <c r="G293" s="167" t="s">
        <v>248</v>
      </c>
      <c r="H293" s="169">
        <v>0</v>
      </c>
      <c r="I293" s="169">
        <v>-125000</v>
      </c>
      <c r="J293" s="155">
        <f>+J292+Tabla69[[#This Row],[DEBE]]-Tabla69[[#This Row],[HABER]]</f>
        <v>818660697.71000004</v>
      </c>
      <c r="K293" s="156" t="s">
        <v>871</v>
      </c>
      <c r="L293" s="157" t="s">
        <v>649</v>
      </c>
      <c r="M293" s="157"/>
    </row>
    <row r="294" spans="2:13" x14ac:dyDescent="0.35">
      <c r="B294" s="165">
        <v>46037</v>
      </c>
      <c r="C294" s="166">
        <v>46037</v>
      </c>
      <c r="D294" s="167" t="s">
        <v>184</v>
      </c>
      <c r="E294" s="168">
        <v>153</v>
      </c>
      <c r="F294" s="167" t="s">
        <v>1007</v>
      </c>
      <c r="G294" s="167" t="s">
        <v>248</v>
      </c>
      <c r="H294" s="169">
        <v>0</v>
      </c>
      <c r="I294" s="169">
        <v>125000</v>
      </c>
      <c r="J294" s="155">
        <f>+J293+Tabla69[[#This Row],[DEBE]]-Tabla69[[#This Row],[HABER]]</f>
        <v>818535697.71000004</v>
      </c>
      <c r="K294" s="156" t="s">
        <v>871</v>
      </c>
      <c r="L294" s="157" t="s">
        <v>649</v>
      </c>
      <c r="M294" s="157"/>
    </row>
    <row r="295" spans="2:13" x14ac:dyDescent="0.35">
      <c r="B295" s="165">
        <v>46037</v>
      </c>
      <c r="C295" s="166">
        <v>46037</v>
      </c>
      <c r="D295" s="167" t="s">
        <v>184</v>
      </c>
      <c r="E295" s="168">
        <v>154</v>
      </c>
      <c r="F295" s="167" t="s">
        <v>1008</v>
      </c>
      <c r="G295" s="167" t="s">
        <v>247</v>
      </c>
      <c r="H295" s="169">
        <v>0</v>
      </c>
      <c r="I295" s="169">
        <v>125000</v>
      </c>
      <c r="J295" s="155">
        <f>+J294+Tabla69[[#This Row],[DEBE]]-Tabla69[[#This Row],[HABER]]</f>
        <v>818410697.71000004</v>
      </c>
      <c r="K295" s="156" t="s">
        <v>871</v>
      </c>
      <c r="L295" s="157" t="s">
        <v>649</v>
      </c>
      <c r="M295" s="157"/>
    </row>
    <row r="296" spans="2:13" x14ac:dyDescent="0.35">
      <c r="B296" s="165">
        <v>46037</v>
      </c>
      <c r="C296" s="166">
        <v>46037</v>
      </c>
      <c r="D296" s="167" t="s">
        <v>184</v>
      </c>
      <c r="E296" s="168">
        <v>154</v>
      </c>
      <c r="F296" s="167" t="s">
        <v>1008</v>
      </c>
      <c r="G296" s="167" t="s">
        <v>247</v>
      </c>
      <c r="H296" s="169">
        <v>0</v>
      </c>
      <c r="I296" s="169">
        <v>-125000</v>
      </c>
      <c r="J296" s="155">
        <f>+J295+Tabla69[[#This Row],[DEBE]]-Tabla69[[#This Row],[HABER]]</f>
        <v>818535697.71000004</v>
      </c>
      <c r="K296" s="156" t="s">
        <v>871</v>
      </c>
      <c r="L296" s="157" t="s">
        <v>649</v>
      </c>
      <c r="M296" s="157"/>
    </row>
    <row r="297" spans="2:13" x14ac:dyDescent="0.35">
      <c r="B297" s="165">
        <v>46037</v>
      </c>
      <c r="C297" s="166">
        <v>46037</v>
      </c>
      <c r="D297" s="167" t="s">
        <v>184</v>
      </c>
      <c r="E297" s="168">
        <v>155</v>
      </c>
      <c r="F297" s="167" t="s">
        <v>1009</v>
      </c>
      <c r="G297" s="167" t="s">
        <v>247</v>
      </c>
      <c r="H297" s="169">
        <v>0</v>
      </c>
      <c r="I297" s="169">
        <v>62500</v>
      </c>
      <c r="J297" s="155">
        <f>+J296+Tabla69[[#This Row],[DEBE]]-Tabla69[[#This Row],[HABER]]</f>
        <v>818473197.71000004</v>
      </c>
      <c r="K297" s="156" t="s">
        <v>871</v>
      </c>
      <c r="L297" s="157" t="s">
        <v>649</v>
      </c>
      <c r="M297" s="157"/>
    </row>
    <row r="298" spans="2:13" x14ac:dyDescent="0.35">
      <c r="B298" s="165">
        <v>46037</v>
      </c>
      <c r="C298" s="166">
        <v>46037</v>
      </c>
      <c r="D298" s="167" t="s">
        <v>184</v>
      </c>
      <c r="E298" s="168">
        <v>155</v>
      </c>
      <c r="F298" s="167" t="s">
        <v>1009</v>
      </c>
      <c r="G298" s="167" t="s">
        <v>247</v>
      </c>
      <c r="H298" s="169">
        <v>0</v>
      </c>
      <c r="I298" s="169">
        <v>-62500</v>
      </c>
      <c r="J298" s="155">
        <f>+J297+Tabla69[[#This Row],[DEBE]]-Tabla69[[#This Row],[HABER]]</f>
        <v>818535697.71000004</v>
      </c>
      <c r="K298" s="156" t="s">
        <v>871</v>
      </c>
      <c r="L298" s="157" t="s">
        <v>649</v>
      </c>
      <c r="M298" s="157"/>
    </row>
    <row r="299" spans="2:13" x14ac:dyDescent="0.35">
      <c r="B299" s="165">
        <v>46037</v>
      </c>
      <c r="C299" s="166">
        <v>46037</v>
      </c>
      <c r="D299" s="167" t="s">
        <v>184</v>
      </c>
      <c r="E299" s="168">
        <v>156</v>
      </c>
      <c r="F299" s="167" t="s">
        <v>1010</v>
      </c>
      <c r="G299" s="167" t="s">
        <v>247</v>
      </c>
      <c r="H299" s="169">
        <v>0</v>
      </c>
      <c r="I299" s="169">
        <v>-125000</v>
      </c>
      <c r="J299" s="155">
        <f>+J298+Tabla69[[#This Row],[DEBE]]-Tabla69[[#This Row],[HABER]]</f>
        <v>818660697.71000004</v>
      </c>
      <c r="K299" s="156" t="s">
        <v>871</v>
      </c>
      <c r="L299" s="157" t="s">
        <v>1507</v>
      </c>
      <c r="M299" s="157"/>
    </row>
    <row r="300" spans="2:13" x14ac:dyDescent="0.35">
      <c r="B300" s="165">
        <v>46037</v>
      </c>
      <c r="C300" s="166">
        <v>46037</v>
      </c>
      <c r="D300" s="167" t="s">
        <v>184</v>
      </c>
      <c r="E300" s="168">
        <v>156</v>
      </c>
      <c r="F300" s="167" t="s">
        <v>1010</v>
      </c>
      <c r="G300" s="167" t="s">
        <v>247</v>
      </c>
      <c r="H300" s="169">
        <v>0</v>
      </c>
      <c r="I300" s="169">
        <v>125000</v>
      </c>
      <c r="J300" s="155">
        <f>+J299+Tabla69[[#This Row],[DEBE]]-Tabla69[[#This Row],[HABER]]</f>
        <v>818535697.71000004</v>
      </c>
      <c r="K300" s="156" t="s">
        <v>871</v>
      </c>
      <c r="L300" s="157" t="s">
        <v>1507</v>
      </c>
      <c r="M300" s="157"/>
    </row>
    <row r="301" spans="2:13" x14ac:dyDescent="0.35">
      <c r="B301" s="165">
        <v>46037</v>
      </c>
      <c r="C301" s="166">
        <v>46037</v>
      </c>
      <c r="D301" s="167" t="s">
        <v>184</v>
      </c>
      <c r="E301" s="168">
        <v>157</v>
      </c>
      <c r="F301" s="167" t="s">
        <v>1011</v>
      </c>
      <c r="G301" s="167" t="s">
        <v>87</v>
      </c>
      <c r="H301" s="169">
        <v>0</v>
      </c>
      <c r="I301" s="169">
        <v>-250000</v>
      </c>
      <c r="J301" s="155">
        <f>+J300+Tabla69[[#This Row],[DEBE]]-Tabla69[[#This Row],[HABER]]</f>
        <v>818785697.71000004</v>
      </c>
      <c r="K301" s="156" t="s">
        <v>871</v>
      </c>
      <c r="L301" s="157" t="s">
        <v>1507</v>
      </c>
      <c r="M301" s="157"/>
    </row>
    <row r="302" spans="2:13" x14ac:dyDescent="0.35">
      <c r="B302" s="165">
        <v>46037</v>
      </c>
      <c r="C302" s="166">
        <v>46037</v>
      </c>
      <c r="D302" s="167" t="s">
        <v>184</v>
      </c>
      <c r="E302" s="168">
        <v>157</v>
      </c>
      <c r="F302" s="167" t="s">
        <v>1011</v>
      </c>
      <c r="G302" s="167" t="s">
        <v>87</v>
      </c>
      <c r="H302" s="169">
        <v>0</v>
      </c>
      <c r="I302" s="169">
        <v>250000</v>
      </c>
      <c r="J302" s="155">
        <f>+J301+Tabla69[[#This Row],[DEBE]]-Tabla69[[#This Row],[HABER]]</f>
        <v>818535697.71000004</v>
      </c>
      <c r="K302" s="156" t="s">
        <v>871</v>
      </c>
      <c r="L302" s="157" t="s">
        <v>1507</v>
      </c>
      <c r="M302" s="157"/>
    </row>
    <row r="303" spans="2:13" x14ac:dyDescent="0.35">
      <c r="B303" s="165">
        <v>46037</v>
      </c>
      <c r="C303" s="166">
        <v>46037</v>
      </c>
      <c r="D303" s="167" t="s">
        <v>184</v>
      </c>
      <c r="E303" s="168">
        <v>158</v>
      </c>
      <c r="F303" s="167" t="s">
        <v>1012</v>
      </c>
      <c r="G303" s="167" t="s">
        <v>248</v>
      </c>
      <c r="H303" s="169">
        <v>0</v>
      </c>
      <c r="I303" s="169">
        <v>125000</v>
      </c>
      <c r="J303" s="155">
        <f>+J302+Tabla69[[#This Row],[DEBE]]-Tabla69[[#This Row],[HABER]]</f>
        <v>818410697.71000004</v>
      </c>
      <c r="K303" s="156" t="s">
        <v>871</v>
      </c>
      <c r="L303" s="157" t="s">
        <v>649</v>
      </c>
      <c r="M303" s="157"/>
    </row>
    <row r="304" spans="2:13" x14ac:dyDescent="0.35">
      <c r="B304" s="165">
        <v>46037</v>
      </c>
      <c r="C304" s="166">
        <v>46037</v>
      </c>
      <c r="D304" s="167" t="s">
        <v>184</v>
      </c>
      <c r="E304" s="168">
        <v>158</v>
      </c>
      <c r="F304" s="167" t="s">
        <v>1012</v>
      </c>
      <c r="G304" s="167" t="s">
        <v>248</v>
      </c>
      <c r="H304" s="169">
        <v>0</v>
      </c>
      <c r="I304" s="169">
        <v>-125000</v>
      </c>
      <c r="J304" s="155">
        <f>+J303+Tabla69[[#This Row],[DEBE]]-Tabla69[[#This Row],[HABER]]</f>
        <v>818535697.71000004</v>
      </c>
      <c r="K304" s="156" t="s">
        <v>871</v>
      </c>
      <c r="L304" s="157" t="s">
        <v>649</v>
      </c>
      <c r="M304" s="157"/>
    </row>
    <row r="305" spans="2:13" x14ac:dyDescent="0.35">
      <c r="B305" s="165">
        <v>46037</v>
      </c>
      <c r="C305" s="166">
        <v>46037</v>
      </c>
      <c r="D305" s="167" t="s">
        <v>184</v>
      </c>
      <c r="E305" s="168">
        <v>159</v>
      </c>
      <c r="F305" s="167" t="s">
        <v>1013</v>
      </c>
      <c r="G305" s="167" t="s">
        <v>247</v>
      </c>
      <c r="H305" s="169">
        <v>0</v>
      </c>
      <c r="I305" s="169">
        <v>250000</v>
      </c>
      <c r="J305" s="155">
        <f>+J304+Tabla69[[#This Row],[DEBE]]-Tabla69[[#This Row],[HABER]]</f>
        <v>818285697.71000004</v>
      </c>
      <c r="K305" s="156" t="s">
        <v>871</v>
      </c>
      <c r="L305" s="157" t="s">
        <v>649</v>
      </c>
      <c r="M305" s="157"/>
    </row>
    <row r="306" spans="2:13" x14ac:dyDescent="0.35">
      <c r="B306" s="165">
        <v>46037</v>
      </c>
      <c r="C306" s="166">
        <v>46037</v>
      </c>
      <c r="D306" s="167" t="s">
        <v>184</v>
      </c>
      <c r="E306" s="168">
        <v>159</v>
      </c>
      <c r="F306" s="167" t="s">
        <v>1013</v>
      </c>
      <c r="G306" s="167" t="s">
        <v>247</v>
      </c>
      <c r="H306" s="169">
        <v>0</v>
      </c>
      <c r="I306" s="169">
        <v>-250000</v>
      </c>
      <c r="J306" s="155">
        <f>+J305+Tabla69[[#This Row],[DEBE]]-Tabla69[[#This Row],[HABER]]</f>
        <v>818535697.71000004</v>
      </c>
      <c r="K306" s="156" t="s">
        <v>871</v>
      </c>
      <c r="L306" s="157" t="s">
        <v>649</v>
      </c>
      <c r="M306" s="157"/>
    </row>
    <row r="307" spans="2:13" x14ac:dyDescent="0.35">
      <c r="B307" s="165">
        <v>46037</v>
      </c>
      <c r="C307" s="166">
        <v>46037</v>
      </c>
      <c r="D307" s="167" t="s">
        <v>184</v>
      </c>
      <c r="E307" s="168">
        <v>160</v>
      </c>
      <c r="F307" s="167" t="s">
        <v>1014</v>
      </c>
      <c r="G307" s="167" t="s">
        <v>248</v>
      </c>
      <c r="H307" s="169">
        <v>0</v>
      </c>
      <c r="I307" s="169">
        <v>125000</v>
      </c>
      <c r="J307" s="155">
        <f>+J306+Tabla69[[#This Row],[DEBE]]-Tabla69[[#This Row],[HABER]]</f>
        <v>818410697.71000004</v>
      </c>
      <c r="K307" s="156" t="s">
        <v>871</v>
      </c>
      <c r="L307" s="157" t="s">
        <v>649</v>
      </c>
      <c r="M307" s="157"/>
    </row>
    <row r="308" spans="2:13" x14ac:dyDescent="0.35">
      <c r="B308" s="165">
        <v>46037</v>
      </c>
      <c r="C308" s="166">
        <v>46037</v>
      </c>
      <c r="D308" s="167" t="s">
        <v>184</v>
      </c>
      <c r="E308" s="168">
        <v>160</v>
      </c>
      <c r="F308" s="167" t="s">
        <v>1014</v>
      </c>
      <c r="G308" s="167" t="s">
        <v>248</v>
      </c>
      <c r="H308" s="169">
        <v>0</v>
      </c>
      <c r="I308" s="169">
        <v>-125000</v>
      </c>
      <c r="J308" s="155">
        <f>+J307+Tabla69[[#This Row],[DEBE]]-Tabla69[[#This Row],[HABER]]</f>
        <v>818535697.71000004</v>
      </c>
      <c r="K308" s="156" t="s">
        <v>871</v>
      </c>
      <c r="L308" s="157" t="s">
        <v>649</v>
      </c>
      <c r="M308" s="157"/>
    </row>
    <row r="309" spans="2:13" x14ac:dyDescent="0.35">
      <c r="B309" s="165">
        <v>46037</v>
      </c>
      <c r="C309" s="166">
        <v>46037</v>
      </c>
      <c r="D309" s="167" t="s">
        <v>184</v>
      </c>
      <c r="E309" s="168">
        <v>161</v>
      </c>
      <c r="F309" s="167" t="s">
        <v>1015</v>
      </c>
      <c r="G309" s="167" t="s">
        <v>247</v>
      </c>
      <c r="H309" s="169">
        <v>0</v>
      </c>
      <c r="I309" s="169">
        <v>125000</v>
      </c>
      <c r="J309" s="155">
        <f>+J308+Tabla69[[#This Row],[DEBE]]-Tabla69[[#This Row],[HABER]]</f>
        <v>818410697.71000004</v>
      </c>
      <c r="K309" s="156" t="s">
        <v>871</v>
      </c>
      <c r="L309" s="157" t="s">
        <v>649</v>
      </c>
      <c r="M309" s="157"/>
    </row>
    <row r="310" spans="2:13" x14ac:dyDescent="0.35">
      <c r="B310" s="165">
        <v>46037</v>
      </c>
      <c r="C310" s="166">
        <v>46037</v>
      </c>
      <c r="D310" s="167" t="s">
        <v>184</v>
      </c>
      <c r="E310" s="168">
        <v>161</v>
      </c>
      <c r="F310" s="167" t="s">
        <v>1015</v>
      </c>
      <c r="G310" s="167" t="s">
        <v>247</v>
      </c>
      <c r="H310" s="169">
        <v>0</v>
      </c>
      <c r="I310" s="169">
        <v>-125000</v>
      </c>
      <c r="J310" s="155">
        <f>+J309+Tabla69[[#This Row],[DEBE]]-Tabla69[[#This Row],[HABER]]</f>
        <v>818535697.71000004</v>
      </c>
      <c r="K310" s="156" t="s">
        <v>871</v>
      </c>
      <c r="L310" s="157" t="s">
        <v>649</v>
      </c>
      <c r="M310" s="157"/>
    </row>
    <row r="311" spans="2:13" x14ac:dyDescent="0.35">
      <c r="B311" s="165">
        <v>46037</v>
      </c>
      <c r="C311" s="166">
        <v>46037</v>
      </c>
      <c r="D311" s="167" t="s">
        <v>184</v>
      </c>
      <c r="E311" s="168">
        <v>162</v>
      </c>
      <c r="F311" s="167" t="s">
        <v>980</v>
      </c>
      <c r="G311" s="167" t="s">
        <v>248</v>
      </c>
      <c r="H311" s="169">
        <v>0</v>
      </c>
      <c r="I311" s="169">
        <v>125000</v>
      </c>
      <c r="J311" s="155">
        <f>+J310+Tabla69[[#This Row],[DEBE]]-Tabla69[[#This Row],[HABER]]</f>
        <v>818410697.71000004</v>
      </c>
      <c r="K311" s="156" t="s">
        <v>871</v>
      </c>
      <c r="L311" s="157" t="s">
        <v>649</v>
      </c>
      <c r="M311" s="157"/>
    </row>
    <row r="312" spans="2:13" x14ac:dyDescent="0.35">
      <c r="B312" s="165">
        <v>46037</v>
      </c>
      <c r="C312" s="166">
        <v>46037</v>
      </c>
      <c r="D312" s="167" t="s">
        <v>184</v>
      </c>
      <c r="E312" s="168">
        <v>162</v>
      </c>
      <c r="F312" s="167" t="s">
        <v>980</v>
      </c>
      <c r="G312" s="167" t="s">
        <v>248</v>
      </c>
      <c r="H312" s="169">
        <v>0</v>
      </c>
      <c r="I312" s="169">
        <v>-125000</v>
      </c>
      <c r="J312" s="155">
        <f>+J311+Tabla69[[#This Row],[DEBE]]-Tabla69[[#This Row],[HABER]]</f>
        <v>818535697.71000004</v>
      </c>
      <c r="K312" s="156" t="s">
        <v>871</v>
      </c>
      <c r="L312" s="157" t="s">
        <v>649</v>
      </c>
      <c r="M312" s="157"/>
    </row>
    <row r="313" spans="2:13" x14ac:dyDescent="0.35">
      <c r="B313" s="165">
        <v>46037</v>
      </c>
      <c r="C313" s="166">
        <v>46037</v>
      </c>
      <c r="D313" s="167" t="s">
        <v>184</v>
      </c>
      <c r="E313" s="168">
        <v>163</v>
      </c>
      <c r="F313" s="167" t="s">
        <v>973</v>
      </c>
      <c r="G313" s="167" t="s">
        <v>247</v>
      </c>
      <c r="H313" s="169">
        <v>0</v>
      </c>
      <c r="I313" s="169">
        <v>-125000</v>
      </c>
      <c r="J313" s="155">
        <f>+J312+Tabla69[[#This Row],[DEBE]]-Tabla69[[#This Row],[HABER]]</f>
        <v>818660697.71000004</v>
      </c>
      <c r="K313" s="156" t="s">
        <v>871</v>
      </c>
      <c r="L313" s="157" t="s">
        <v>649</v>
      </c>
      <c r="M313" s="157"/>
    </row>
    <row r="314" spans="2:13" x14ac:dyDescent="0.35">
      <c r="B314" s="165">
        <v>46037</v>
      </c>
      <c r="C314" s="166">
        <v>46037</v>
      </c>
      <c r="D314" s="167" t="s">
        <v>184</v>
      </c>
      <c r="E314" s="168">
        <v>163</v>
      </c>
      <c r="F314" s="167" t="s">
        <v>973</v>
      </c>
      <c r="G314" s="167" t="s">
        <v>247</v>
      </c>
      <c r="H314" s="169">
        <v>0</v>
      </c>
      <c r="I314" s="169">
        <v>125000</v>
      </c>
      <c r="J314" s="155">
        <f>+J313+Tabla69[[#This Row],[DEBE]]-Tabla69[[#This Row],[HABER]]</f>
        <v>818535697.71000004</v>
      </c>
      <c r="K314" s="156" t="s">
        <v>871</v>
      </c>
      <c r="L314" s="157" t="s">
        <v>649</v>
      </c>
      <c r="M314" s="157"/>
    </row>
    <row r="315" spans="2:13" x14ac:dyDescent="0.35">
      <c r="B315" s="165">
        <v>46037</v>
      </c>
      <c r="C315" s="166">
        <v>46037</v>
      </c>
      <c r="D315" s="167" t="s">
        <v>184</v>
      </c>
      <c r="E315" s="168">
        <v>164</v>
      </c>
      <c r="F315" s="167" t="s">
        <v>972</v>
      </c>
      <c r="G315" s="167"/>
      <c r="H315" s="169">
        <v>0</v>
      </c>
      <c r="I315" s="169">
        <v>250000</v>
      </c>
      <c r="J315" s="155">
        <f>+J314+Tabla69[[#This Row],[DEBE]]-Tabla69[[#This Row],[HABER]]</f>
        <v>818285697.71000004</v>
      </c>
      <c r="K315" s="156" t="s">
        <v>871</v>
      </c>
      <c r="L315" s="157" t="s">
        <v>1507</v>
      </c>
      <c r="M315" s="157"/>
    </row>
    <row r="316" spans="2:13" x14ac:dyDescent="0.35">
      <c r="B316" s="165">
        <v>46037</v>
      </c>
      <c r="C316" s="166">
        <v>46037</v>
      </c>
      <c r="D316" s="167" t="s">
        <v>184</v>
      </c>
      <c r="E316" s="168">
        <v>164</v>
      </c>
      <c r="F316" s="167" t="s">
        <v>972</v>
      </c>
      <c r="G316" s="167"/>
      <c r="H316" s="169">
        <v>0</v>
      </c>
      <c r="I316" s="169">
        <v>-250000</v>
      </c>
      <c r="J316" s="155">
        <f>+J315+Tabla69[[#This Row],[DEBE]]-Tabla69[[#This Row],[HABER]]</f>
        <v>818535697.71000004</v>
      </c>
      <c r="K316" s="156" t="s">
        <v>871</v>
      </c>
      <c r="L316" s="157" t="s">
        <v>1507</v>
      </c>
      <c r="M316" s="157"/>
    </row>
    <row r="317" spans="2:13" x14ac:dyDescent="0.35">
      <c r="B317" s="165">
        <v>46037</v>
      </c>
      <c r="C317" s="166">
        <v>46037</v>
      </c>
      <c r="D317" s="167" t="s">
        <v>184</v>
      </c>
      <c r="E317" s="168">
        <v>165</v>
      </c>
      <c r="F317" s="167" t="s">
        <v>968</v>
      </c>
      <c r="G317" s="167" t="s">
        <v>87</v>
      </c>
      <c r="H317" s="169">
        <v>0</v>
      </c>
      <c r="I317" s="169">
        <v>-125000</v>
      </c>
      <c r="J317" s="155">
        <f>+J316+Tabla69[[#This Row],[DEBE]]-Tabla69[[#This Row],[HABER]]</f>
        <v>818660697.71000004</v>
      </c>
      <c r="K317" s="156" t="s">
        <v>871</v>
      </c>
      <c r="L317" s="157" t="s">
        <v>1507</v>
      </c>
      <c r="M317" s="157"/>
    </row>
    <row r="318" spans="2:13" x14ac:dyDescent="0.35">
      <c r="B318" s="165">
        <v>46037</v>
      </c>
      <c r="C318" s="166">
        <v>46037</v>
      </c>
      <c r="D318" s="167" t="s">
        <v>184</v>
      </c>
      <c r="E318" s="168">
        <v>165</v>
      </c>
      <c r="F318" s="167" t="s">
        <v>968</v>
      </c>
      <c r="G318" s="167" t="s">
        <v>87</v>
      </c>
      <c r="H318" s="169">
        <v>0</v>
      </c>
      <c r="I318" s="169">
        <v>125000</v>
      </c>
      <c r="J318" s="155">
        <f>+J317+Tabla69[[#This Row],[DEBE]]-Tabla69[[#This Row],[HABER]]</f>
        <v>818535697.71000004</v>
      </c>
      <c r="K318" s="156" t="s">
        <v>871</v>
      </c>
      <c r="L318" s="157" t="s">
        <v>1507</v>
      </c>
      <c r="M318" s="157"/>
    </row>
    <row r="319" spans="2:13" x14ac:dyDescent="0.35">
      <c r="B319" s="165">
        <v>46037</v>
      </c>
      <c r="C319" s="166">
        <v>46037</v>
      </c>
      <c r="D319" s="167" t="s">
        <v>184</v>
      </c>
      <c r="E319" s="168">
        <v>166</v>
      </c>
      <c r="F319" s="167" t="s">
        <v>956</v>
      </c>
      <c r="G319" s="167" t="s">
        <v>248</v>
      </c>
      <c r="H319" s="169">
        <v>0</v>
      </c>
      <c r="I319" s="169">
        <v>250000</v>
      </c>
      <c r="J319" s="155">
        <f>+J318+Tabla69[[#This Row],[DEBE]]-Tabla69[[#This Row],[HABER]]</f>
        <v>818285697.71000004</v>
      </c>
      <c r="K319" s="156" t="s">
        <v>871</v>
      </c>
      <c r="L319" s="157" t="s">
        <v>649</v>
      </c>
      <c r="M319" s="157"/>
    </row>
    <row r="320" spans="2:13" x14ac:dyDescent="0.35">
      <c r="B320" s="165">
        <v>46037</v>
      </c>
      <c r="C320" s="166">
        <v>46037</v>
      </c>
      <c r="D320" s="167" t="s">
        <v>184</v>
      </c>
      <c r="E320" s="168">
        <v>166</v>
      </c>
      <c r="F320" s="167" t="s">
        <v>956</v>
      </c>
      <c r="G320" s="167" t="s">
        <v>248</v>
      </c>
      <c r="H320" s="169">
        <v>0</v>
      </c>
      <c r="I320" s="169">
        <v>-250000</v>
      </c>
      <c r="J320" s="155">
        <f>+J319+Tabla69[[#This Row],[DEBE]]-Tabla69[[#This Row],[HABER]]</f>
        <v>818535697.71000004</v>
      </c>
      <c r="K320" s="156" t="s">
        <v>871</v>
      </c>
      <c r="L320" s="157" t="s">
        <v>649</v>
      </c>
      <c r="M320" s="157"/>
    </row>
    <row r="321" spans="2:13" x14ac:dyDescent="0.35">
      <c r="B321" s="165">
        <v>46037</v>
      </c>
      <c r="C321" s="166">
        <v>46037</v>
      </c>
      <c r="D321" s="167" t="s">
        <v>184</v>
      </c>
      <c r="E321" s="168">
        <v>167</v>
      </c>
      <c r="F321" s="167" t="s">
        <v>920</v>
      </c>
      <c r="G321" s="167" t="s">
        <v>248</v>
      </c>
      <c r="H321" s="169">
        <v>0</v>
      </c>
      <c r="I321" s="169">
        <v>62500</v>
      </c>
      <c r="J321" s="155">
        <f>+J320+Tabla69[[#This Row],[DEBE]]-Tabla69[[#This Row],[HABER]]</f>
        <v>818473197.71000004</v>
      </c>
      <c r="K321" s="156" t="s">
        <v>871</v>
      </c>
      <c r="L321" s="157" t="s">
        <v>649</v>
      </c>
      <c r="M321" s="157"/>
    </row>
    <row r="322" spans="2:13" x14ac:dyDescent="0.35">
      <c r="B322" s="165">
        <v>46037</v>
      </c>
      <c r="C322" s="166">
        <v>46037</v>
      </c>
      <c r="D322" s="167" t="s">
        <v>184</v>
      </c>
      <c r="E322" s="168">
        <v>167</v>
      </c>
      <c r="F322" s="167" t="s">
        <v>920</v>
      </c>
      <c r="G322" s="167" t="s">
        <v>248</v>
      </c>
      <c r="H322" s="169">
        <v>0</v>
      </c>
      <c r="I322" s="169">
        <v>-62500</v>
      </c>
      <c r="J322" s="155">
        <f>+J321+Tabla69[[#This Row],[DEBE]]-Tabla69[[#This Row],[HABER]]</f>
        <v>818535697.71000004</v>
      </c>
      <c r="K322" s="156" t="s">
        <v>871</v>
      </c>
      <c r="L322" s="157" t="s">
        <v>649</v>
      </c>
      <c r="M322" s="157"/>
    </row>
    <row r="323" spans="2:13" x14ac:dyDescent="0.35">
      <c r="B323" s="165">
        <v>46037</v>
      </c>
      <c r="C323" s="166">
        <v>46037</v>
      </c>
      <c r="D323" s="167" t="s">
        <v>184</v>
      </c>
      <c r="E323" s="168">
        <v>168</v>
      </c>
      <c r="F323" s="167" t="s">
        <v>992</v>
      </c>
      <c r="G323" s="167" t="s">
        <v>248</v>
      </c>
      <c r="H323" s="169">
        <v>0</v>
      </c>
      <c r="I323" s="169">
        <v>125000</v>
      </c>
      <c r="J323" s="155">
        <f>+J322+Tabla69[[#This Row],[DEBE]]-Tabla69[[#This Row],[HABER]]</f>
        <v>818410697.71000004</v>
      </c>
      <c r="K323" s="156" t="s">
        <v>871</v>
      </c>
      <c r="L323" s="157" t="s">
        <v>649</v>
      </c>
      <c r="M323" s="157"/>
    </row>
    <row r="324" spans="2:13" x14ac:dyDescent="0.35">
      <c r="B324" s="165">
        <v>46037</v>
      </c>
      <c r="C324" s="166">
        <v>46037</v>
      </c>
      <c r="D324" s="167" t="s">
        <v>184</v>
      </c>
      <c r="E324" s="168">
        <v>168</v>
      </c>
      <c r="F324" s="167" t="s">
        <v>992</v>
      </c>
      <c r="G324" s="167" t="s">
        <v>248</v>
      </c>
      <c r="H324" s="169">
        <v>0</v>
      </c>
      <c r="I324" s="169">
        <v>-125000</v>
      </c>
      <c r="J324" s="155">
        <f>+J323+Tabla69[[#This Row],[DEBE]]-Tabla69[[#This Row],[HABER]]</f>
        <v>818535697.71000004</v>
      </c>
      <c r="K324" s="156" t="s">
        <v>871</v>
      </c>
      <c r="L324" s="157" t="s">
        <v>649</v>
      </c>
      <c r="M324" s="157"/>
    </row>
    <row r="325" spans="2:13" x14ac:dyDescent="0.35">
      <c r="B325" s="165">
        <v>46037</v>
      </c>
      <c r="C325" s="166">
        <v>46037</v>
      </c>
      <c r="D325" s="167" t="s">
        <v>184</v>
      </c>
      <c r="E325" s="168">
        <v>169</v>
      </c>
      <c r="F325" s="167" t="s">
        <v>961</v>
      </c>
      <c r="G325" s="167" t="s">
        <v>87</v>
      </c>
      <c r="H325" s="169">
        <v>0</v>
      </c>
      <c r="I325" s="169">
        <v>125000</v>
      </c>
      <c r="J325" s="155">
        <f>+J324+Tabla69[[#This Row],[DEBE]]-Tabla69[[#This Row],[HABER]]</f>
        <v>818410697.71000004</v>
      </c>
      <c r="K325" s="156" t="s">
        <v>871</v>
      </c>
      <c r="L325" s="157" t="s">
        <v>1507</v>
      </c>
      <c r="M325" s="157"/>
    </row>
    <row r="326" spans="2:13" x14ac:dyDescent="0.35">
      <c r="B326" s="165">
        <v>46037</v>
      </c>
      <c r="C326" s="166">
        <v>46037</v>
      </c>
      <c r="D326" s="167" t="s">
        <v>184</v>
      </c>
      <c r="E326" s="168">
        <v>169</v>
      </c>
      <c r="F326" s="167" t="s">
        <v>961</v>
      </c>
      <c r="G326" s="167" t="s">
        <v>87</v>
      </c>
      <c r="H326" s="169">
        <v>0</v>
      </c>
      <c r="I326" s="169">
        <v>-125000</v>
      </c>
      <c r="J326" s="155">
        <f>+J325+Tabla69[[#This Row],[DEBE]]-Tabla69[[#This Row],[HABER]]</f>
        <v>818535697.71000004</v>
      </c>
      <c r="K326" s="156" t="s">
        <v>871</v>
      </c>
      <c r="L326" s="157" t="s">
        <v>1507</v>
      </c>
      <c r="M326" s="157"/>
    </row>
    <row r="327" spans="2:13" x14ac:dyDescent="0.35">
      <c r="B327" s="165">
        <v>46037</v>
      </c>
      <c r="C327" s="166">
        <v>46037</v>
      </c>
      <c r="D327" s="167" t="s">
        <v>184</v>
      </c>
      <c r="E327" s="168">
        <v>170</v>
      </c>
      <c r="F327" s="167" t="s">
        <v>957</v>
      </c>
      <c r="G327" s="167" t="s">
        <v>247</v>
      </c>
      <c r="H327" s="169">
        <v>0</v>
      </c>
      <c r="I327" s="169">
        <v>62500</v>
      </c>
      <c r="J327" s="155">
        <f>+J326+Tabla69[[#This Row],[DEBE]]-Tabla69[[#This Row],[HABER]]</f>
        <v>818473197.71000004</v>
      </c>
      <c r="K327" s="156" t="s">
        <v>871</v>
      </c>
      <c r="L327" s="157" t="s">
        <v>1507</v>
      </c>
      <c r="M327" s="157"/>
    </row>
    <row r="328" spans="2:13" x14ac:dyDescent="0.35">
      <c r="B328" s="165">
        <v>46037</v>
      </c>
      <c r="C328" s="166">
        <v>46037</v>
      </c>
      <c r="D328" s="167" t="s">
        <v>184</v>
      </c>
      <c r="E328" s="168">
        <v>170</v>
      </c>
      <c r="F328" s="167" t="s">
        <v>957</v>
      </c>
      <c r="G328" s="167" t="s">
        <v>247</v>
      </c>
      <c r="H328" s="169">
        <v>0</v>
      </c>
      <c r="I328" s="169">
        <v>-62500</v>
      </c>
      <c r="J328" s="155">
        <f>+J327+Tabla69[[#This Row],[DEBE]]-Tabla69[[#This Row],[HABER]]</f>
        <v>818535697.71000004</v>
      </c>
      <c r="K328" s="156" t="s">
        <v>871</v>
      </c>
      <c r="L328" s="157" t="s">
        <v>1507</v>
      </c>
      <c r="M328" s="157"/>
    </row>
    <row r="329" spans="2:13" x14ac:dyDescent="0.35">
      <c r="B329" s="145">
        <v>46037</v>
      </c>
      <c r="C329" s="146">
        <v>46037</v>
      </c>
      <c r="D329" s="147" t="s">
        <v>184</v>
      </c>
      <c r="E329" s="148">
        <v>171</v>
      </c>
      <c r="F329" s="147" t="s">
        <v>1015</v>
      </c>
      <c r="G329" s="138" t="s">
        <v>87</v>
      </c>
      <c r="H329" s="149">
        <v>0</v>
      </c>
      <c r="I329" s="149">
        <v>125000</v>
      </c>
      <c r="J329" s="141">
        <f>+J328+Tabla69[[#This Row],[DEBE]]-Tabla69[[#This Row],[HABER]]</f>
        <v>818410697.71000004</v>
      </c>
      <c r="K329" s="142" t="s">
        <v>872</v>
      </c>
      <c r="L329" s="143" t="s">
        <v>649</v>
      </c>
      <c r="M329" s="143" t="s">
        <v>87</v>
      </c>
    </row>
    <row r="330" spans="2:13" x14ac:dyDescent="0.35">
      <c r="B330" s="145">
        <v>46037</v>
      </c>
      <c r="C330" s="146">
        <v>46037</v>
      </c>
      <c r="D330" s="147" t="s">
        <v>184</v>
      </c>
      <c r="E330" s="148">
        <v>172</v>
      </c>
      <c r="F330" s="147" t="s">
        <v>1014</v>
      </c>
      <c r="G330" s="138" t="s">
        <v>87</v>
      </c>
      <c r="H330" s="149">
        <v>0</v>
      </c>
      <c r="I330" s="149">
        <v>125000</v>
      </c>
      <c r="J330" s="141">
        <f>+J329+Tabla69[[#This Row],[DEBE]]-Tabla69[[#This Row],[HABER]]</f>
        <v>818285697.71000004</v>
      </c>
      <c r="K330" s="142" t="s">
        <v>872</v>
      </c>
      <c r="L330" s="143" t="s">
        <v>649</v>
      </c>
      <c r="M330" s="143" t="s">
        <v>87</v>
      </c>
    </row>
    <row r="331" spans="2:13" x14ac:dyDescent="0.35">
      <c r="B331" s="145">
        <v>46037</v>
      </c>
      <c r="C331" s="146">
        <v>46037</v>
      </c>
      <c r="D331" s="147" t="s">
        <v>184</v>
      </c>
      <c r="E331" s="148">
        <v>173</v>
      </c>
      <c r="F331" s="147" t="s">
        <v>1013</v>
      </c>
      <c r="G331" s="138" t="s">
        <v>87</v>
      </c>
      <c r="H331" s="149">
        <v>0</v>
      </c>
      <c r="I331" s="149">
        <v>250000</v>
      </c>
      <c r="J331" s="141">
        <f>+J330+Tabla69[[#This Row],[DEBE]]-Tabla69[[#This Row],[HABER]]</f>
        <v>818035697.71000004</v>
      </c>
      <c r="K331" s="142" t="s">
        <v>872</v>
      </c>
      <c r="L331" s="143" t="s">
        <v>649</v>
      </c>
      <c r="M331" s="143" t="s">
        <v>87</v>
      </c>
    </row>
    <row r="332" spans="2:13" x14ac:dyDescent="0.35">
      <c r="B332" s="145">
        <v>46037</v>
      </c>
      <c r="C332" s="146">
        <v>46037</v>
      </c>
      <c r="D332" s="147" t="s">
        <v>184</v>
      </c>
      <c r="E332" s="148">
        <v>174</v>
      </c>
      <c r="F332" s="147" t="s">
        <v>1012</v>
      </c>
      <c r="G332" s="138" t="s">
        <v>87</v>
      </c>
      <c r="H332" s="149">
        <v>0</v>
      </c>
      <c r="I332" s="149">
        <v>125000</v>
      </c>
      <c r="J332" s="141">
        <f>+J331+Tabla69[[#This Row],[DEBE]]-Tabla69[[#This Row],[HABER]]</f>
        <v>817910697.71000004</v>
      </c>
      <c r="K332" s="142" t="s">
        <v>872</v>
      </c>
      <c r="L332" s="143" t="s">
        <v>649</v>
      </c>
      <c r="M332" s="143" t="s">
        <v>87</v>
      </c>
    </row>
    <row r="333" spans="2:13" x14ac:dyDescent="0.35">
      <c r="B333" s="145">
        <v>46037</v>
      </c>
      <c r="C333" s="146">
        <v>46037</v>
      </c>
      <c r="D333" s="147" t="s">
        <v>184</v>
      </c>
      <c r="E333" s="148">
        <v>175</v>
      </c>
      <c r="F333" s="147" t="s">
        <v>1011</v>
      </c>
      <c r="G333" s="138" t="s">
        <v>87</v>
      </c>
      <c r="H333" s="149">
        <v>0</v>
      </c>
      <c r="I333" s="149">
        <v>250000</v>
      </c>
      <c r="J333" s="141">
        <f>+J332+Tabla69[[#This Row],[DEBE]]-Tabla69[[#This Row],[HABER]]</f>
        <v>817660697.71000004</v>
      </c>
      <c r="K333" s="142" t="s">
        <v>872</v>
      </c>
      <c r="L333" s="143" t="s">
        <v>649</v>
      </c>
      <c r="M333" s="143" t="s">
        <v>87</v>
      </c>
    </row>
    <row r="334" spans="2:13" x14ac:dyDescent="0.35">
      <c r="B334" s="145">
        <v>46037</v>
      </c>
      <c r="C334" s="146">
        <v>46037</v>
      </c>
      <c r="D334" s="147" t="s">
        <v>184</v>
      </c>
      <c r="E334" s="148">
        <v>176</v>
      </c>
      <c r="F334" s="147" t="s">
        <v>1010</v>
      </c>
      <c r="G334" s="138" t="s">
        <v>87</v>
      </c>
      <c r="H334" s="149">
        <v>0</v>
      </c>
      <c r="I334" s="149">
        <v>125000</v>
      </c>
      <c r="J334" s="141">
        <f>+J333+Tabla69[[#This Row],[DEBE]]-Tabla69[[#This Row],[HABER]]</f>
        <v>817535697.71000004</v>
      </c>
      <c r="K334" s="142" t="s">
        <v>872</v>
      </c>
      <c r="L334" s="143" t="s">
        <v>649</v>
      </c>
      <c r="M334" s="143" t="s">
        <v>87</v>
      </c>
    </row>
    <row r="335" spans="2:13" x14ac:dyDescent="0.35">
      <c r="B335" s="145">
        <v>46037</v>
      </c>
      <c r="C335" s="146">
        <v>46037</v>
      </c>
      <c r="D335" s="147" t="s">
        <v>184</v>
      </c>
      <c r="E335" s="148">
        <v>177</v>
      </c>
      <c r="F335" s="147" t="s">
        <v>1009</v>
      </c>
      <c r="G335" s="138" t="s">
        <v>87</v>
      </c>
      <c r="H335" s="149">
        <v>0</v>
      </c>
      <c r="I335" s="149">
        <v>62500</v>
      </c>
      <c r="J335" s="141">
        <f>+J334+Tabla69[[#This Row],[DEBE]]-Tabla69[[#This Row],[HABER]]</f>
        <v>817473197.71000004</v>
      </c>
      <c r="K335" s="142" t="s">
        <v>872</v>
      </c>
      <c r="L335" s="143" t="s">
        <v>649</v>
      </c>
      <c r="M335" s="143" t="s">
        <v>87</v>
      </c>
    </row>
    <row r="336" spans="2:13" x14ac:dyDescent="0.35">
      <c r="B336" s="145">
        <v>46037</v>
      </c>
      <c r="C336" s="146">
        <v>46037</v>
      </c>
      <c r="D336" s="147" t="s">
        <v>184</v>
      </c>
      <c r="E336" s="148">
        <v>178</v>
      </c>
      <c r="F336" s="147" t="s">
        <v>1008</v>
      </c>
      <c r="G336" s="138" t="s">
        <v>87</v>
      </c>
      <c r="H336" s="149">
        <v>0</v>
      </c>
      <c r="I336" s="149">
        <v>125000</v>
      </c>
      <c r="J336" s="141">
        <f>+J335+Tabla69[[#This Row],[DEBE]]-Tabla69[[#This Row],[HABER]]</f>
        <v>817348197.71000004</v>
      </c>
      <c r="K336" s="142" t="s">
        <v>872</v>
      </c>
      <c r="L336" s="143" t="s">
        <v>649</v>
      </c>
      <c r="M336" s="143" t="s">
        <v>87</v>
      </c>
    </row>
    <row r="337" spans="2:13" x14ac:dyDescent="0.35">
      <c r="B337" s="145">
        <v>46037</v>
      </c>
      <c r="C337" s="146">
        <v>46037</v>
      </c>
      <c r="D337" s="147" t="s">
        <v>184</v>
      </c>
      <c r="E337" s="148">
        <v>179</v>
      </c>
      <c r="F337" s="147" t="s">
        <v>1007</v>
      </c>
      <c r="G337" s="138" t="s">
        <v>87</v>
      </c>
      <c r="H337" s="149">
        <v>0</v>
      </c>
      <c r="I337" s="149">
        <v>125000</v>
      </c>
      <c r="J337" s="141">
        <f>+J336+Tabla69[[#This Row],[DEBE]]-Tabla69[[#This Row],[HABER]]</f>
        <v>817223197.71000004</v>
      </c>
      <c r="K337" s="142" t="s">
        <v>872</v>
      </c>
      <c r="L337" s="143" t="s">
        <v>649</v>
      </c>
      <c r="M337" s="143" t="s">
        <v>87</v>
      </c>
    </row>
    <row r="338" spans="2:13" x14ac:dyDescent="0.35">
      <c r="B338" s="145">
        <v>46037</v>
      </c>
      <c r="C338" s="146">
        <v>46037</v>
      </c>
      <c r="D338" s="147" t="s">
        <v>184</v>
      </c>
      <c r="E338" s="148">
        <v>180</v>
      </c>
      <c r="F338" s="147" t="s">
        <v>1006</v>
      </c>
      <c r="G338" s="138" t="s">
        <v>87</v>
      </c>
      <c r="H338" s="149">
        <v>0</v>
      </c>
      <c r="I338" s="149">
        <v>250000</v>
      </c>
      <c r="J338" s="141">
        <f>+J337+Tabla69[[#This Row],[DEBE]]-Tabla69[[#This Row],[HABER]]</f>
        <v>816973197.71000004</v>
      </c>
      <c r="K338" s="142" t="s">
        <v>872</v>
      </c>
      <c r="L338" s="143" t="s">
        <v>649</v>
      </c>
      <c r="M338" s="143" t="s">
        <v>87</v>
      </c>
    </row>
    <row r="339" spans="2:13" x14ac:dyDescent="0.35">
      <c r="B339" s="165">
        <v>46037</v>
      </c>
      <c r="C339" s="166">
        <v>46037</v>
      </c>
      <c r="D339" s="167" t="s">
        <v>184</v>
      </c>
      <c r="E339" s="168">
        <v>181</v>
      </c>
      <c r="F339" s="167" t="s">
        <v>1005</v>
      </c>
      <c r="G339" s="167" t="s">
        <v>247</v>
      </c>
      <c r="H339" s="169">
        <v>0</v>
      </c>
      <c r="I339" s="169">
        <v>250000</v>
      </c>
      <c r="J339" s="155">
        <f>+J338+Tabla69[[#This Row],[DEBE]]-Tabla69[[#This Row],[HABER]]</f>
        <v>816723197.71000004</v>
      </c>
      <c r="K339" s="156" t="s">
        <v>871</v>
      </c>
      <c r="L339" s="157" t="s">
        <v>1507</v>
      </c>
      <c r="M339" s="157"/>
    </row>
    <row r="340" spans="2:13" x14ac:dyDescent="0.35">
      <c r="B340" s="165">
        <v>46037</v>
      </c>
      <c r="C340" s="166">
        <v>46037</v>
      </c>
      <c r="D340" s="167" t="s">
        <v>184</v>
      </c>
      <c r="E340" s="168">
        <v>181</v>
      </c>
      <c r="F340" s="167" t="s">
        <v>1005</v>
      </c>
      <c r="G340" s="167" t="s">
        <v>247</v>
      </c>
      <c r="H340" s="169">
        <v>0</v>
      </c>
      <c r="I340" s="169">
        <v>-250000</v>
      </c>
      <c r="J340" s="155">
        <f>+J339+Tabla69[[#This Row],[DEBE]]-Tabla69[[#This Row],[HABER]]</f>
        <v>816973197.71000004</v>
      </c>
      <c r="K340" s="156" t="s">
        <v>871</v>
      </c>
      <c r="L340" s="157" t="s">
        <v>1507</v>
      </c>
      <c r="M340" s="157"/>
    </row>
    <row r="341" spans="2:13" x14ac:dyDescent="0.35">
      <c r="B341" s="145">
        <v>46037</v>
      </c>
      <c r="C341" s="146">
        <v>46037</v>
      </c>
      <c r="D341" s="147" t="s">
        <v>184</v>
      </c>
      <c r="E341" s="148">
        <v>182</v>
      </c>
      <c r="F341" s="147" t="s">
        <v>1004</v>
      </c>
      <c r="G341" s="138" t="s">
        <v>87</v>
      </c>
      <c r="H341" s="149">
        <v>0</v>
      </c>
      <c r="I341" s="149">
        <v>125000</v>
      </c>
      <c r="J341" s="141">
        <f>+J340+Tabla69[[#This Row],[DEBE]]-Tabla69[[#This Row],[HABER]]</f>
        <v>816848197.71000004</v>
      </c>
      <c r="K341" s="142" t="s">
        <v>872</v>
      </c>
      <c r="L341" s="143" t="s">
        <v>649</v>
      </c>
      <c r="M341" s="143" t="s">
        <v>87</v>
      </c>
    </row>
    <row r="342" spans="2:13" x14ac:dyDescent="0.35">
      <c r="B342" s="145">
        <v>46037</v>
      </c>
      <c r="C342" s="146">
        <v>46037</v>
      </c>
      <c r="D342" s="147" t="s">
        <v>184</v>
      </c>
      <c r="E342" s="148">
        <v>183</v>
      </c>
      <c r="F342" s="147" t="s">
        <v>1003</v>
      </c>
      <c r="G342" s="138" t="s">
        <v>87</v>
      </c>
      <c r="H342" s="149">
        <v>0</v>
      </c>
      <c r="I342" s="149">
        <v>125000</v>
      </c>
      <c r="J342" s="141">
        <f>+J341+Tabla69[[#This Row],[DEBE]]-Tabla69[[#This Row],[HABER]]</f>
        <v>816723197.71000004</v>
      </c>
      <c r="K342" s="142" t="s">
        <v>872</v>
      </c>
      <c r="L342" s="143" t="s">
        <v>649</v>
      </c>
      <c r="M342" s="143" t="s">
        <v>87</v>
      </c>
    </row>
    <row r="343" spans="2:13" x14ac:dyDescent="0.35">
      <c r="B343" s="145">
        <v>46037</v>
      </c>
      <c r="C343" s="146">
        <v>46037</v>
      </c>
      <c r="D343" s="147" t="s">
        <v>184</v>
      </c>
      <c r="E343" s="148">
        <v>184</v>
      </c>
      <c r="F343" s="147" t="s">
        <v>1002</v>
      </c>
      <c r="G343" s="138" t="s">
        <v>87</v>
      </c>
      <c r="H343" s="149">
        <v>0</v>
      </c>
      <c r="I343" s="149">
        <v>250000</v>
      </c>
      <c r="J343" s="141">
        <f>+J342+Tabla69[[#This Row],[DEBE]]-Tabla69[[#This Row],[HABER]]</f>
        <v>816473197.71000004</v>
      </c>
      <c r="K343" s="142" t="s">
        <v>872</v>
      </c>
      <c r="L343" s="143" t="s">
        <v>649</v>
      </c>
      <c r="M343" s="143" t="s">
        <v>87</v>
      </c>
    </row>
    <row r="344" spans="2:13" x14ac:dyDescent="0.35">
      <c r="B344" s="145">
        <v>46037</v>
      </c>
      <c r="C344" s="146">
        <v>46037</v>
      </c>
      <c r="D344" s="147" t="s">
        <v>184</v>
      </c>
      <c r="E344" s="148">
        <v>185</v>
      </c>
      <c r="F344" s="147" t="s">
        <v>1001</v>
      </c>
      <c r="G344" s="138" t="s">
        <v>87</v>
      </c>
      <c r="H344" s="149">
        <v>0</v>
      </c>
      <c r="I344" s="149">
        <v>250000</v>
      </c>
      <c r="J344" s="141">
        <f>+J343+Tabla69[[#This Row],[DEBE]]-Tabla69[[#This Row],[HABER]]</f>
        <v>816223197.71000004</v>
      </c>
      <c r="K344" s="142" t="s">
        <v>872</v>
      </c>
      <c r="L344" s="143" t="s">
        <v>649</v>
      </c>
      <c r="M344" s="143" t="s">
        <v>87</v>
      </c>
    </row>
    <row r="345" spans="2:13" x14ac:dyDescent="0.35">
      <c r="B345" s="165">
        <v>46037</v>
      </c>
      <c r="C345" s="166">
        <v>46037</v>
      </c>
      <c r="D345" s="167" t="s">
        <v>184</v>
      </c>
      <c r="E345" s="168">
        <v>186</v>
      </c>
      <c r="F345" s="167" t="s">
        <v>1000</v>
      </c>
      <c r="G345" s="167" t="s">
        <v>248</v>
      </c>
      <c r="H345" s="169">
        <v>0</v>
      </c>
      <c r="I345" s="169">
        <v>125000</v>
      </c>
      <c r="J345" s="155">
        <f>+J344+Tabla69[[#This Row],[DEBE]]-Tabla69[[#This Row],[HABER]]</f>
        <v>816098197.71000004</v>
      </c>
      <c r="K345" s="156" t="s">
        <v>871</v>
      </c>
      <c r="L345" s="157" t="s">
        <v>649</v>
      </c>
      <c r="M345" s="157"/>
    </row>
    <row r="346" spans="2:13" x14ac:dyDescent="0.35">
      <c r="B346" s="165">
        <v>46037</v>
      </c>
      <c r="C346" s="166">
        <v>46037</v>
      </c>
      <c r="D346" s="167" t="s">
        <v>184</v>
      </c>
      <c r="E346" s="168">
        <v>186</v>
      </c>
      <c r="F346" s="167" t="s">
        <v>1000</v>
      </c>
      <c r="G346" s="167" t="s">
        <v>248</v>
      </c>
      <c r="H346" s="169">
        <v>0</v>
      </c>
      <c r="I346" s="169">
        <v>-125000</v>
      </c>
      <c r="J346" s="155">
        <f>+J345+Tabla69[[#This Row],[DEBE]]-Tabla69[[#This Row],[HABER]]</f>
        <v>816223197.71000004</v>
      </c>
      <c r="K346" s="156" t="s">
        <v>871</v>
      </c>
      <c r="L346" s="157" t="s">
        <v>649</v>
      </c>
      <c r="M346" s="157"/>
    </row>
    <row r="347" spans="2:13" x14ac:dyDescent="0.35">
      <c r="B347" s="145">
        <v>46037</v>
      </c>
      <c r="C347" s="146">
        <v>46037</v>
      </c>
      <c r="D347" s="147" t="s">
        <v>184</v>
      </c>
      <c r="E347" s="148">
        <v>187</v>
      </c>
      <c r="F347" s="147" t="s">
        <v>999</v>
      </c>
      <c r="G347" s="138" t="s">
        <v>87</v>
      </c>
      <c r="H347" s="149">
        <v>0</v>
      </c>
      <c r="I347" s="149">
        <v>250000</v>
      </c>
      <c r="J347" s="141">
        <f>+J346+Tabla69[[#This Row],[DEBE]]-Tabla69[[#This Row],[HABER]]</f>
        <v>815973197.71000004</v>
      </c>
      <c r="K347" s="142" t="s">
        <v>872</v>
      </c>
      <c r="L347" s="143" t="s">
        <v>649</v>
      </c>
      <c r="M347" s="143" t="s">
        <v>87</v>
      </c>
    </row>
    <row r="348" spans="2:13" x14ac:dyDescent="0.35">
      <c r="B348" s="145">
        <v>46037</v>
      </c>
      <c r="C348" s="146">
        <v>46037</v>
      </c>
      <c r="D348" s="147" t="s">
        <v>184</v>
      </c>
      <c r="E348" s="148">
        <v>188</v>
      </c>
      <c r="F348" s="147" t="s">
        <v>998</v>
      </c>
      <c r="G348" s="138" t="s">
        <v>87</v>
      </c>
      <c r="H348" s="149">
        <v>0</v>
      </c>
      <c r="I348" s="149">
        <v>125000</v>
      </c>
      <c r="J348" s="141">
        <f>+J347+Tabla69[[#This Row],[DEBE]]-Tabla69[[#This Row],[HABER]]</f>
        <v>815848197.71000004</v>
      </c>
      <c r="K348" s="142" t="s">
        <v>872</v>
      </c>
      <c r="L348" s="143" t="s">
        <v>649</v>
      </c>
      <c r="M348" s="143" t="s">
        <v>87</v>
      </c>
    </row>
    <row r="349" spans="2:13" x14ac:dyDescent="0.35">
      <c r="B349" s="145">
        <v>46037</v>
      </c>
      <c r="C349" s="146">
        <v>46037</v>
      </c>
      <c r="D349" s="147" t="s">
        <v>184</v>
      </c>
      <c r="E349" s="148">
        <v>189</v>
      </c>
      <c r="F349" s="147" t="s">
        <v>997</v>
      </c>
      <c r="G349" s="138" t="s">
        <v>87</v>
      </c>
      <c r="H349" s="149">
        <v>0</v>
      </c>
      <c r="I349" s="149">
        <v>125000</v>
      </c>
      <c r="J349" s="141">
        <f>+J348+Tabla69[[#This Row],[DEBE]]-Tabla69[[#This Row],[HABER]]</f>
        <v>815723197.71000004</v>
      </c>
      <c r="K349" s="142" t="s">
        <v>872</v>
      </c>
      <c r="L349" s="143" t="s">
        <v>649</v>
      </c>
      <c r="M349" s="143" t="s">
        <v>87</v>
      </c>
    </row>
    <row r="350" spans="2:13" x14ac:dyDescent="0.35">
      <c r="B350" s="165">
        <v>46037</v>
      </c>
      <c r="C350" s="166">
        <v>46037</v>
      </c>
      <c r="D350" s="167" t="s">
        <v>184</v>
      </c>
      <c r="E350" s="168">
        <v>190</v>
      </c>
      <c r="F350" s="167" t="s">
        <v>996</v>
      </c>
      <c r="G350" s="167" t="s">
        <v>248</v>
      </c>
      <c r="H350" s="169">
        <v>0</v>
      </c>
      <c r="I350" s="169">
        <v>250000</v>
      </c>
      <c r="J350" s="155">
        <f>+J349+Tabla69[[#This Row],[DEBE]]-Tabla69[[#This Row],[HABER]]</f>
        <v>815473197.71000004</v>
      </c>
      <c r="K350" s="156" t="s">
        <v>871</v>
      </c>
      <c r="L350" s="157" t="s">
        <v>649</v>
      </c>
      <c r="M350" s="157"/>
    </row>
    <row r="351" spans="2:13" x14ac:dyDescent="0.35">
      <c r="B351" s="165">
        <v>46037</v>
      </c>
      <c r="C351" s="166">
        <v>46037</v>
      </c>
      <c r="D351" s="167" t="s">
        <v>184</v>
      </c>
      <c r="E351" s="168">
        <v>190</v>
      </c>
      <c r="F351" s="167" t="s">
        <v>996</v>
      </c>
      <c r="G351" s="167" t="s">
        <v>248</v>
      </c>
      <c r="H351" s="169">
        <v>0</v>
      </c>
      <c r="I351" s="169">
        <v>-250000</v>
      </c>
      <c r="J351" s="155">
        <f>+J350+Tabla69[[#This Row],[DEBE]]-Tabla69[[#This Row],[HABER]]</f>
        <v>815723197.71000004</v>
      </c>
      <c r="K351" s="156" t="s">
        <v>871</v>
      </c>
      <c r="L351" s="157" t="s">
        <v>649</v>
      </c>
      <c r="M351" s="157"/>
    </row>
    <row r="352" spans="2:13" x14ac:dyDescent="0.35">
      <c r="B352" s="145">
        <v>46037</v>
      </c>
      <c r="C352" s="146">
        <v>46037</v>
      </c>
      <c r="D352" s="147" t="s">
        <v>184</v>
      </c>
      <c r="E352" s="148">
        <v>191</v>
      </c>
      <c r="F352" s="147" t="s">
        <v>995</v>
      </c>
      <c r="G352" s="138" t="s">
        <v>87</v>
      </c>
      <c r="H352" s="149">
        <v>0</v>
      </c>
      <c r="I352" s="149">
        <v>250000</v>
      </c>
      <c r="J352" s="141">
        <f>+J351+Tabla69[[#This Row],[DEBE]]-Tabla69[[#This Row],[HABER]]</f>
        <v>815473197.71000004</v>
      </c>
      <c r="K352" s="142" t="s">
        <v>872</v>
      </c>
      <c r="L352" s="143" t="s">
        <v>649</v>
      </c>
      <c r="M352" s="143" t="s">
        <v>87</v>
      </c>
    </row>
    <row r="353" spans="2:13" x14ac:dyDescent="0.35">
      <c r="B353" s="145">
        <v>46037</v>
      </c>
      <c r="C353" s="146">
        <v>46037</v>
      </c>
      <c r="D353" s="147" t="s">
        <v>184</v>
      </c>
      <c r="E353" s="148">
        <v>192</v>
      </c>
      <c r="F353" s="147" t="s">
        <v>994</v>
      </c>
      <c r="G353" s="138" t="s">
        <v>87</v>
      </c>
      <c r="H353" s="149">
        <v>0</v>
      </c>
      <c r="I353" s="149">
        <v>62500</v>
      </c>
      <c r="J353" s="141">
        <f>+J352+Tabla69[[#This Row],[DEBE]]-Tabla69[[#This Row],[HABER]]</f>
        <v>815410697.71000004</v>
      </c>
      <c r="K353" s="142" t="s">
        <v>872</v>
      </c>
      <c r="L353" s="143" t="s">
        <v>649</v>
      </c>
      <c r="M353" s="143" t="s">
        <v>87</v>
      </c>
    </row>
    <row r="354" spans="2:13" x14ac:dyDescent="0.35">
      <c r="B354" s="145">
        <v>46037</v>
      </c>
      <c r="C354" s="146">
        <v>46037</v>
      </c>
      <c r="D354" s="147" t="s">
        <v>184</v>
      </c>
      <c r="E354" s="148">
        <v>193</v>
      </c>
      <c r="F354" s="147" t="s">
        <v>993</v>
      </c>
      <c r="G354" s="138" t="s">
        <v>87</v>
      </c>
      <c r="H354" s="149">
        <v>0</v>
      </c>
      <c r="I354" s="149">
        <v>250000</v>
      </c>
      <c r="J354" s="141">
        <f>+J353+Tabla69[[#This Row],[DEBE]]-Tabla69[[#This Row],[HABER]]</f>
        <v>815160697.71000004</v>
      </c>
      <c r="K354" s="142" t="s">
        <v>872</v>
      </c>
      <c r="L354" s="143" t="s">
        <v>649</v>
      </c>
      <c r="M354" s="143" t="s">
        <v>87</v>
      </c>
    </row>
    <row r="355" spans="2:13" x14ac:dyDescent="0.35">
      <c r="B355" s="145">
        <v>46037</v>
      </c>
      <c r="C355" s="146">
        <v>46037</v>
      </c>
      <c r="D355" s="147" t="s">
        <v>184</v>
      </c>
      <c r="E355" s="148">
        <v>194</v>
      </c>
      <c r="F355" s="147" t="s">
        <v>992</v>
      </c>
      <c r="G355" s="138" t="s">
        <v>87</v>
      </c>
      <c r="H355" s="149">
        <v>0</v>
      </c>
      <c r="I355" s="149">
        <v>125000</v>
      </c>
      <c r="J355" s="141">
        <f>+J354+Tabla69[[#This Row],[DEBE]]-Tabla69[[#This Row],[HABER]]</f>
        <v>815035697.71000004</v>
      </c>
      <c r="K355" s="142" t="s">
        <v>872</v>
      </c>
      <c r="L355" s="143" t="s">
        <v>649</v>
      </c>
      <c r="M355" s="143" t="s">
        <v>87</v>
      </c>
    </row>
    <row r="356" spans="2:13" x14ac:dyDescent="0.35">
      <c r="B356" s="145">
        <v>46037</v>
      </c>
      <c r="C356" s="146">
        <v>46037</v>
      </c>
      <c r="D356" s="147" t="s">
        <v>184</v>
      </c>
      <c r="E356" s="148">
        <v>195</v>
      </c>
      <c r="F356" s="147" t="s">
        <v>991</v>
      </c>
      <c r="G356" s="138" t="s">
        <v>87</v>
      </c>
      <c r="H356" s="149">
        <v>0</v>
      </c>
      <c r="I356" s="149">
        <v>125000</v>
      </c>
      <c r="J356" s="141">
        <f>+J355+Tabla69[[#This Row],[DEBE]]-Tabla69[[#This Row],[HABER]]</f>
        <v>814910697.71000004</v>
      </c>
      <c r="K356" s="142" t="s">
        <v>872</v>
      </c>
      <c r="L356" s="143" t="s">
        <v>649</v>
      </c>
      <c r="M356" s="143" t="s">
        <v>87</v>
      </c>
    </row>
    <row r="357" spans="2:13" x14ac:dyDescent="0.35">
      <c r="B357" s="145">
        <v>46037</v>
      </c>
      <c r="C357" s="146">
        <v>46037</v>
      </c>
      <c r="D357" s="147" t="s">
        <v>184</v>
      </c>
      <c r="E357" s="148">
        <v>196</v>
      </c>
      <c r="F357" s="147" t="s">
        <v>990</v>
      </c>
      <c r="G357" s="138" t="s">
        <v>87</v>
      </c>
      <c r="H357" s="149">
        <v>0</v>
      </c>
      <c r="I357" s="149">
        <v>125000</v>
      </c>
      <c r="J357" s="141">
        <f>+J356+Tabla69[[#This Row],[DEBE]]-Tabla69[[#This Row],[HABER]]</f>
        <v>814785697.71000004</v>
      </c>
      <c r="K357" s="142" t="s">
        <v>872</v>
      </c>
      <c r="L357" s="143" t="s">
        <v>649</v>
      </c>
      <c r="M357" s="143" t="s">
        <v>87</v>
      </c>
    </row>
    <row r="358" spans="2:13" x14ac:dyDescent="0.35">
      <c r="B358" s="145">
        <v>46037</v>
      </c>
      <c r="C358" s="146">
        <v>46037</v>
      </c>
      <c r="D358" s="147" t="s">
        <v>184</v>
      </c>
      <c r="E358" s="148">
        <v>197</v>
      </c>
      <c r="F358" s="147" t="s">
        <v>989</v>
      </c>
      <c r="G358" s="138" t="s">
        <v>87</v>
      </c>
      <c r="H358" s="149">
        <v>0</v>
      </c>
      <c r="I358" s="149">
        <v>250000</v>
      </c>
      <c r="J358" s="141">
        <f>+J357+Tabla69[[#This Row],[DEBE]]-Tabla69[[#This Row],[HABER]]</f>
        <v>814535697.71000004</v>
      </c>
      <c r="K358" s="142" t="s">
        <v>872</v>
      </c>
      <c r="L358" s="143" t="s">
        <v>649</v>
      </c>
      <c r="M358" s="143" t="s">
        <v>87</v>
      </c>
    </row>
    <row r="359" spans="2:13" x14ac:dyDescent="0.35">
      <c r="B359" s="145">
        <v>46037</v>
      </c>
      <c r="C359" s="146">
        <v>46037</v>
      </c>
      <c r="D359" s="147" t="s">
        <v>184</v>
      </c>
      <c r="E359" s="148">
        <v>198</v>
      </c>
      <c r="F359" s="147" t="s">
        <v>988</v>
      </c>
      <c r="G359" s="138" t="s">
        <v>87</v>
      </c>
      <c r="H359" s="149">
        <v>0</v>
      </c>
      <c r="I359" s="149">
        <v>250000</v>
      </c>
      <c r="J359" s="141">
        <f>+J358+Tabla69[[#This Row],[DEBE]]-Tabla69[[#This Row],[HABER]]</f>
        <v>814285697.71000004</v>
      </c>
      <c r="K359" s="142" t="s">
        <v>872</v>
      </c>
      <c r="L359" s="143" t="s">
        <v>649</v>
      </c>
      <c r="M359" s="143" t="s">
        <v>87</v>
      </c>
    </row>
    <row r="360" spans="2:13" x14ac:dyDescent="0.35">
      <c r="B360" s="145">
        <v>46037</v>
      </c>
      <c r="C360" s="146">
        <v>46037</v>
      </c>
      <c r="D360" s="147" t="s">
        <v>184</v>
      </c>
      <c r="E360" s="148">
        <v>199</v>
      </c>
      <c r="F360" s="147" t="s">
        <v>987</v>
      </c>
      <c r="G360" s="138" t="s">
        <v>87</v>
      </c>
      <c r="H360" s="149">
        <v>0</v>
      </c>
      <c r="I360" s="149">
        <v>62500</v>
      </c>
      <c r="J360" s="141">
        <f>+J359+Tabla69[[#This Row],[DEBE]]-Tabla69[[#This Row],[HABER]]</f>
        <v>814223197.71000004</v>
      </c>
      <c r="K360" s="142" t="s">
        <v>872</v>
      </c>
      <c r="L360" s="143" t="s">
        <v>649</v>
      </c>
      <c r="M360" s="143" t="s">
        <v>87</v>
      </c>
    </row>
    <row r="361" spans="2:13" x14ac:dyDescent="0.35">
      <c r="B361" s="145">
        <v>46037</v>
      </c>
      <c r="C361" s="146">
        <v>46037</v>
      </c>
      <c r="D361" s="147" t="s">
        <v>184</v>
      </c>
      <c r="E361" s="148">
        <v>200</v>
      </c>
      <c r="F361" s="147" t="s">
        <v>986</v>
      </c>
      <c r="G361" s="138" t="s">
        <v>87</v>
      </c>
      <c r="H361" s="149">
        <v>0</v>
      </c>
      <c r="I361" s="149">
        <v>62500</v>
      </c>
      <c r="J361" s="141">
        <f>+J360+Tabla69[[#This Row],[DEBE]]-Tabla69[[#This Row],[HABER]]</f>
        <v>814160697.71000004</v>
      </c>
      <c r="K361" s="142" t="s">
        <v>872</v>
      </c>
      <c r="L361" s="143" t="s">
        <v>649</v>
      </c>
      <c r="M361" s="143" t="s">
        <v>87</v>
      </c>
    </row>
    <row r="362" spans="2:13" x14ac:dyDescent="0.35">
      <c r="B362" s="145">
        <v>46037</v>
      </c>
      <c r="C362" s="146">
        <v>46037</v>
      </c>
      <c r="D362" s="147" t="s">
        <v>184</v>
      </c>
      <c r="E362" s="148">
        <v>201</v>
      </c>
      <c r="F362" s="147" t="s">
        <v>985</v>
      </c>
      <c r="G362" s="138" t="s">
        <v>87</v>
      </c>
      <c r="H362" s="149">
        <v>0</v>
      </c>
      <c r="I362" s="149">
        <v>125000</v>
      </c>
      <c r="J362" s="141">
        <f>+J361+Tabla69[[#This Row],[DEBE]]-Tabla69[[#This Row],[HABER]]</f>
        <v>814035697.71000004</v>
      </c>
      <c r="K362" s="142" t="s">
        <v>872</v>
      </c>
      <c r="L362" s="143" t="s">
        <v>649</v>
      </c>
      <c r="M362" s="143" t="s">
        <v>87</v>
      </c>
    </row>
    <row r="363" spans="2:13" x14ac:dyDescent="0.35">
      <c r="B363" s="145">
        <v>46037</v>
      </c>
      <c r="C363" s="146">
        <v>46037</v>
      </c>
      <c r="D363" s="147" t="s">
        <v>184</v>
      </c>
      <c r="E363" s="148">
        <v>202</v>
      </c>
      <c r="F363" s="147" t="s">
        <v>984</v>
      </c>
      <c r="G363" s="138" t="s">
        <v>87</v>
      </c>
      <c r="H363" s="149">
        <v>0</v>
      </c>
      <c r="I363" s="149">
        <v>62500</v>
      </c>
      <c r="J363" s="141">
        <f>+J362+Tabla69[[#This Row],[DEBE]]-Tabla69[[#This Row],[HABER]]</f>
        <v>813973197.71000004</v>
      </c>
      <c r="K363" s="142" t="s">
        <v>872</v>
      </c>
      <c r="L363" s="143" t="s">
        <v>649</v>
      </c>
      <c r="M363" s="143" t="s">
        <v>87</v>
      </c>
    </row>
    <row r="364" spans="2:13" x14ac:dyDescent="0.35">
      <c r="B364" s="145">
        <v>46037</v>
      </c>
      <c r="C364" s="146">
        <v>46037</v>
      </c>
      <c r="D364" s="147" t="s">
        <v>184</v>
      </c>
      <c r="E364" s="148">
        <v>203</v>
      </c>
      <c r="F364" s="147" t="s">
        <v>983</v>
      </c>
      <c r="G364" s="138" t="s">
        <v>87</v>
      </c>
      <c r="H364" s="149">
        <v>0</v>
      </c>
      <c r="I364" s="149">
        <v>62500</v>
      </c>
      <c r="J364" s="141">
        <f>+J363+Tabla69[[#This Row],[DEBE]]-Tabla69[[#This Row],[HABER]]</f>
        <v>813910697.71000004</v>
      </c>
      <c r="K364" s="142" t="s">
        <v>872</v>
      </c>
      <c r="L364" s="143" t="s">
        <v>649</v>
      </c>
      <c r="M364" s="143" t="s">
        <v>87</v>
      </c>
    </row>
    <row r="365" spans="2:13" x14ac:dyDescent="0.35">
      <c r="B365" s="145">
        <v>46037</v>
      </c>
      <c r="C365" s="146">
        <v>46037</v>
      </c>
      <c r="D365" s="147" t="s">
        <v>184</v>
      </c>
      <c r="E365" s="148">
        <v>204</v>
      </c>
      <c r="F365" s="147" t="s">
        <v>982</v>
      </c>
      <c r="G365" s="138" t="s">
        <v>87</v>
      </c>
      <c r="H365" s="149">
        <v>0</v>
      </c>
      <c r="I365" s="149">
        <v>125000</v>
      </c>
      <c r="J365" s="141">
        <f>+J364+Tabla69[[#This Row],[DEBE]]-Tabla69[[#This Row],[HABER]]</f>
        <v>813785697.71000004</v>
      </c>
      <c r="K365" s="142" t="s">
        <v>872</v>
      </c>
      <c r="L365" s="143" t="s">
        <v>649</v>
      </c>
      <c r="M365" s="143" t="s">
        <v>87</v>
      </c>
    </row>
    <row r="366" spans="2:13" x14ac:dyDescent="0.35">
      <c r="B366" s="145">
        <v>46037</v>
      </c>
      <c r="C366" s="146">
        <v>46037</v>
      </c>
      <c r="D366" s="147" t="s">
        <v>184</v>
      </c>
      <c r="E366" s="148">
        <v>205</v>
      </c>
      <c r="F366" s="147" t="s">
        <v>981</v>
      </c>
      <c r="G366" s="138" t="s">
        <v>87</v>
      </c>
      <c r="H366" s="149">
        <v>0</v>
      </c>
      <c r="I366" s="149">
        <v>250000</v>
      </c>
      <c r="J366" s="141">
        <f>+J365+Tabla69[[#This Row],[DEBE]]-Tabla69[[#This Row],[HABER]]</f>
        <v>813535697.71000004</v>
      </c>
      <c r="K366" s="142" t="s">
        <v>872</v>
      </c>
      <c r="L366" s="143" t="s">
        <v>649</v>
      </c>
      <c r="M366" s="143" t="s">
        <v>87</v>
      </c>
    </row>
    <row r="367" spans="2:13" x14ac:dyDescent="0.35">
      <c r="B367" s="165">
        <v>46037</v>
      </c>
      <c r="C367" s="166">
        <v>46037</v>
      </c>
      <c r="D367" s="167" t="s">
        <v>184</v>
      </c>
      <c r="E367" s="168">
        <v>206</v>
      </c>
      <c r="F367" s="167" t="s">
        <v>980</v>
      </c>
      <c r="G367" s="167" t="s">
        <v>248</v>
      </c>
      <c r="H367" s="169">
        <v>0</v>
      </c>
      <c r="I367" s="169">
        <v>-125000</v>
      </c>
      <c r="J367" s="155">
        <f>+J366+Tabla69[[#This Row],[DEBE]]-Tabla69[[#This Row],[HABER]]</f>
        <v>813660697.71000004</v>
      </c>
      <c r="K367" s="156" t="s">
        <v>871</v>
      </c>
      <c r="L367" s="157" t="s">
        <v>649</v>
      </c>
      <c r="M367" s="157"/>
    </row>
    <row r="368" spans="2:13" x14ac:dyDescent="0.35">
      <c r="B368" s="165">
        <v>46037</v>
      </c>
      <c r="C368" s="166">
        <v>46037</v>
      </c>
      <c r="D368" s="167" t="s">
        <v>184</v>
      </c>
      <c r="E368" s="168">
        <v>206</v>
      </c>
      <c r="F368" s="167" t="s">
        <v>980</v>
      </c>
      <c r="G368" s="167" t="s">
        <v>248</v>
      </c>
      <c r="H368" s="169">
        <v>0</v>
      </c>
      <c r="I368" s="169">
        <v>125000</v>
      </c>
      <c r="J368" s="155">
        <f>+J367+Tabla69[[#This Row],[DEBE]]-Tabla69[[#This Row],[HABER]]</f>
        <v>813535697.71000004</v>
      </c>
      <c r="K368" s="156" t="s">
        <v>871</v>
      </c>
      <c r="L368" s="157" t="s">
        <v>649</v>
      </c>
      <c r="M368" s="157"/>
    </row>
    <row r="369" spans="2:13" x14ac:dyDescent="0.35">
      <c r="B369" s="145">
        <v>46037</v>
      </c>
      <c r="C369" s="146">
        <v>46037</v>
      </c>
      <c r="D369" s="147" t="s">
        <v>184</v>
      </c>
      <c r="E369" s="148">
        <v>207</v>
      </c>
      <c r="F369" s="147" t="s">
        <v>979</v>
      </c>
      <c r="G369" s="138" t="s">
        <v>87</v>
      </c>
      <c r="H369" s="149">
        <v>0</v>
      </c>
      <c r="I369" s="149">
        <v>125000</v>
      </c>
      <c r="J369" s="141">
        <f>+J368+Tabla69[[#This Row],[DEBE]]-Tabla69[[#This Row],[HABER]]</f>
        <v>813410697.71000004</v>
      </c>
      <c r="K369" s="142" t="s">
        <v>872</v>
      </c>
      <c r="L369" s="143" t="s">
        <v>649</v>
      </c>
      <c r="M369" s="143" t="s">
        <v>87</v>
      </c>
    </row>
    <row r="370" spans="2:13" x14ac:dyDescent="0.35">
      <c r="B370" s="145">
        <v>46037</v>
      </c>
      <c r="C370" s="146">
        <v>46037</v>
      </c>
      <c r="D370" s="147" t="s">
        <v>184</v>
      </c>
      <c r="E370" s="148">
        <v>208</v>
      </c>
      <c r="F370" s="147" t="s">
        <v>978</v>
      </c>
      <c r="G370" s="138" t="s">
        <v>87</v>
      </c>
      <c r="H370" s="149">
        <v>0</v>
      </c>
      <c r="I370" s="149">
        <v>250000</v>
      </c>
      <c r="J370" s="141">
        <f>+J369+Tabla69[[#This Row],[DEBE]]-Tabla69[[#This Row],[HABER]]</f>
        <v>813160697.71000004</v>
      </c>
      <c r="K370" s="142" t="s">
        <v>872</v>
      </c>
      <c r="L370" s="143" t="s">
        <v>649</v>
      </c>
      <c r="M370" s="143" t="s">
        <v>87</v>
      </c>
    </row>
    <row r="371" spans="2:13" x14ac:dyDescent="0.35">
      <c r="B371" s="145">
        <v>46037</v>
      </c>
      <c r="C371" s="146">
        <v>46037</v>
      </c>
      <c r="D371" s="147" t="s">
        <v>184</v>
      </c>
      <c r="E371" s="148">
        <v>209</v>
      </c>
      <c r="F371" s="147" t="s">
        <v>977</v>
      </c>
      <c r="G371" s="138" t="s">
        <v>87</v>
      </c>
      <c r="H371" s="149">
        <v>0</v>
      </c>
      <c r="I371" s="149">
        <v>250000</v>
      </c>
      <c r="J371" s="141">
        <f>+J370+Tabla69[[#This Row],[DEBE]]-Tabla69[[#This Row],[HABER]]</f>
        <v>812910697.71000004</v>
      </c>
      <c r="K371" s="142" t="s">
        <v>872</v>
      </c>
      <c r="L371" s="143" t="s">
        <v>649</v>
      </c>
      <c r="M371" s="143" t="s">
        <v>87</v>
      </c>
    </row>
    <row r="372" spans="2:13" x14ac:dyDescent="0.35">
      <c r="B372" s="145">
        <v>46037</v>
      </c>
      <c r="C372" s="146">
        <v>46037</v>
      </c>
      <c r="D372" s="147" t="s">
        <v>184</v>
      </c>
      <c r="E372" s="148">
        <v>210</v>
      </c>
      <c r="F372" s="147" t="s">
        <v>976</v>
      </c>
      <c r="G372" s="138" t="s">
        <v>87</v>
      </c>
      <c r="H372" s="149">
        <v>0</v>
      </c>
      <c r="I372" s="149">
        <v>125000</v>
      </c>
      <c r="J372" s="141">
        <f>+J371+Tabla69[[#This Row],[DEBE]]-Tabla69[[#This Row],[HABER]]</f>
        <v>812785697.71000004</v>
      </c>
      <c r="K372" s="142" t="s">
        <v>872</v>
      </c>
      <c r="L372" s="143" t="s">
        <v>649</v>
      </c>
      <c r="M372" s="143" t="s">
        <v>87</v>
      </c>
    </row>
    <row r="373" spans="2:13" x14ac:dyDescent="0.35">
      <c r="B373" s="145">
        <v>46037</v>
      </c>
      <c r="C373" s="146">
        <v>46037</v>
      </c>
      <c r="D373" s="147" t="s">
        <v>184</v>
      </c>
      <c r="E373" s="148">
        <v>211</v>
      </c>
      <c r="F373" s="147" t="s">
        <v>975</v>
      </c>
      <c r="G373" s="138" t="s">
        <v>87</v>
      </c>
      <c r="H373" s="149">
        <v>0</v>
      </c>
      <c r="I373" s="149">
        <v>250000</v>
      </c>
      <c r="J373" s="141">
        <f>+J372+Tabla69[[#This Row],[DEBE]]-Tabla69[[#This Row],[HABER]]</f>
        <v>812535697.71000004</v>
      </c>
      <c r="K373" s="142" t="s">
        <v>872</v>
      </c>
      <c r="L373" s="143" t="s">
        <v>649</v>
      </c>
      <c r="M373" s="143" t="s">
        <v>87</v>
      </c>
    </row>
    <row r="374" spans="2:13" x14ac:dyDescent="0.35">
      <c r="B374" s="145">
        <v>46037</v>
      </c>
      <c r="C374" s="146">
        <v>46037</v>
      </c>
      <c r="D374" s="147" t="s">
        <v>184</v>
      </c>
      <c r="E374" s="148">
        <v>212</v>
      </c>
      <c r="F374" s="147" t="s">
        <v>974</v>
      </c>
      <c r="G374" s="138" t="s">
        <v>87</v>
      </c>
      <c r="H374" s="149">
        <v>0</v>
      </c>
      <c r="I374" s="149">
        <v>125000</v>
      </c>
      <c r="J374" s="141">
        <f>+J373+Tabla69[[#This Row],[DEBE]]-Tabla69[[#This Row],[HABER]]</f>
        <v>812410697.71000004</v>
      </c>
      <c r="K374" s="142" t="s">
        <v>872</v>
      </c>
      <c r="L374" s="143" t="s">
        <v>649</v>
      </c>
      <c r="M374" s="143" t="s">
        <v>87</v>
      </c>
    </row>
    <row r="375" spans="2:13" x14ac:dyDescent="0.35">
      <c r="B375" s="165">
        <v>46037</v>
      </c>
      <c r="C375" s="166">
        <v>46037</v>
      </c>
      <c r="D375" s="167" t="s">
        <v>184</v>
      </c>
      <c r="E375" s="168">
        <v>213</v>
      </c>
      <c r="F375" s="167" t="s">
        <v>973</v>
      </c>
      <c r="G375" s="167" t="s">
        <v>247</v>
      </c>
      <c r="H375" s="169">
        <v>0</v>
      </c>
      <c r="I375" s="169">
        <v>125000</v>
      </c>
      <c r="J375" s="155">
        <f>+J374+Tabla69[[#This Row],[DEBE]]-Tabla69[[#This Row],[HABER]]</f>
        <v>812285697.71000004</v>
      </c>
      <c r="K375" s="156" t="s">
        <v>871</v>
      </c>
      <c r="L375" s="157" t="s">
        <v>649</v>
      </c>
      <c r="M375" s="157"/>
    </row>
    <row r="376" spans="2:13" x14ac:dyDescent="0.35">
      <c r="B376" s="165">
        <v>46037</v>
      </c>
      <c r="C376" s="166">
        <v>46037</v>
      </c>
      <c r="D376" s="167" t="s">
        <v>184</v>
      </c>
      <c r="E376" s="168">
        <v>213</v>
      </c>
      <c r="F376" s="167" t="s">
        <v>973</v>
      </c>
      <c r="G376" s="167" t="s">
        <v>247</v>
      </c>
      <c r="H376" s="169">
        <v>0</v>
      </c>
      <c r="I376" s="169">
        <v>-125000</v>
      </c>
      <c r="J376" s="155">
        <f>+J375+Tabla69[[#This Row],[DEBE]]-Tabla69[[#This Row],[HABER]]</f>
        <v>812410697.71000004</v>
      </c>
      <c r="K376" s="156" t="s">
        <v>871</v>
      </c>
      <c r="L376" s="157" t="s">
        <v>649</v>
      </c>
      <c r="M376" s="157"/>
    </row>
    <row r="377" spans="2:13" x14ac:dyDescent="0.35">
      <c r="B377" s="165">
        <v>46037</v>
      </c>
      <c r="C377" s="166">
        <v>46037</v>
      </c>
      <c r="D377" s="167" t="s">
        <v>184</v>
      </c>
      <c r="E377" s="168">
        <v>214</v>
      </c>
      <c r="F377" s="167" t="s">
        <v>972</v>
      </c>
      <c r="G377" s="167"/>
      <c r="H377" s="169">
        <v>0</v>
      </c>
      <c r="I377" s="169">
        <v>-250000</v>
      </c>
      <c r="J377" s="155">
        <f>+J376+Tabla69[[#This Row],[DEBE]]-Tabla69[[#This Row],[HABER]]</f>
        <v>812660697.71000004</v>
      </c>
      <c r="K377" s="156" t="s">
        <v>871</v>
      </c>
      <c r="L377" s="157" t="s">
        <v>1507</v>
      </c>
      <c r="M377" s="157"/>
    </row>
    <row r="378" spans="2:13" x14ac:dyDescent="0.35">
      <c r="B378" s="165">
        <v>46037</v>
      </c>
      <c r="C378" s="166">
        <v>46037</v>
      </c>
      <c r="D378" s="167" t="s">
        <v>184</v>
      </c>
      <c r="E378" s="168">
        <v>214</v>
      </c>
      <c r="F378" s="167" t="s">
        <v>972</v>
      </c>
      <c r="G378" s="167"/>
      <c r="H378" s="169">
        <v>0</v>
      </c>
      <c r="I378" s="169">
        <v>250000</v>
      </c>
      <c r="J378" s="155">
        <f>+J377+Tabla69[[#This Row],[DEBE]]-Tabla69[[#This Row],[HABER]]</f>
        <v>812410697.71000004</v>
      </c>
      <c r="K378" s="156" t="s">
        <v>871</v>
      </c>
      <c r="L378" s="157" t="s">
        <v>1507</v>
      </c>
      <c r="M378" s="157"/>
    </row>
    <row r="379" spans="2:13" x14ac:dyDescent="0.35">
      <c r="B379" s="145">
        <v>46037</v>
      </c>
      <c r="C379" s="146">
        <v>46037</v>
      </c>
      <c r="D379" s="147" t="s">
        <v>184</v>
      </c>
      <c r="E379" s="148">
        <v>215</v>
      </c>
      <c r="F379" s="147" t="s">
        <v>971</v>
      </c>
      <c r="G379" s="138" t="s">
        <v>87</v>
      </c>
      <c r="H379" s="149">
        <v>0</v>
      </c>
      <c r="I379" s="149">
        <v>125000</v>
      </c>
      <c r="J379" s="141">
        <f>+J378+Tabla69[[#This Row],[DEBE]]-Tabla69[[#This Row],[HABER]]</f>
        <v>812285697.71000004</v>
      </c>
      <c r="K379" s="142" t="s">
        <v>872</v>
      </c>
      <c r="L379" s="143" t="s">
        <v>649</v>
      </c>
      <c r="M379" s="143" t="s">
        <v>87</v>
      </c>
    </row>
    <row r="380" spans="2:13" x14ac:dyDescent="0.35">
      <c r="B380" s="145">
        <v>46037</v>
      </c>
      <c r="C380" s="146">
        <v>46037</v>
      </c>
      <c r="D380" s="147" t="s">
        <v>184</v>
      </c>
      <c r="E380" s="148">
        <v>216</v>
      </c>
      <c r="F380" s="147" t="s">
        <v>970</v>
      </c>
      <c r="G380" s="138" t="s">
        <v>87</v>
      </c>
      <c r="H380" s="149">
        <v>0</v>
      </c>
      <c r="I380" s="149">
        <v>250000</v>
      </c>
      <c r="J380" s="141">
        <f>+J379+Tabla69[[#This Row],[DEBE]]-Tabla69[[#This Row],[HABER]]</f>
        <v>812035697.71000004</v>
      </c>
      <c r="K380" s="142" t="s">
        <v>872</v>
      </c>
      <c r="L380" s="143" t="s">
        <v>649</v>
      </c>
      <c r="M380" s="143" t="s">
        <v>87</v>
      </c>
    </row>
    <row r="381" spans="2:13" x14ac:dyDescent="0.35">
      <c r="B381" s="145">
        <v>46037</v>
      </c>
      <c r="C381" s="146">
        <v>46037</v>
      </c>
      <c r="D381" s="147" t="s">
        <v>184</v>
      </c>
      <c r="E381" s="148">
        <v>217</v>
      </c>
      <c r="F381" s="147" t="s">
        <v>969</v>
      </c>
      <c r="G381" s="138" t="s">
        <v>87</v>
      </c>
      <c r="H381" s="149">
        <v>0</v>
      </c>
      <c r="I381" s="149">
        <v>250000</v>
      </c>
      <c r="J381" s="141">
        <f>+J380+Tabla69[[#This Row],[DEBE]]-Tabla69[[#This Row],[HABER]]</f>
        <v>811785697.71000004</v>
      </c>
      <c r="K381" s="142" t="s">
        <v>872</v>
      </c>
      <c r="L381" s="143" t="s">
        <v>649</v>
      </c>
      <c r="M381" s="143" t="s">
        <v>87</v>
      </c>
    </row>
    <row r="382" spans="2:13" x14ac:dyDescent="0.35">
      <c r="B382" s="165">
        <v>46037</v>
      </c>
      <c r="C382" s="166">
        <v>46037</v>
      </c>
      <c r="D382" s="167" t="s">
        <v>184</v>
      </c>
      <c r="E382" s="168">
        <v>218</v>
      </c>
      <c r="F382" s="167" t="s">
        <v>968</v>
      </c>
      <c r="G382" s="167" t="s">
        <v>87</v>
      </c>
      <c r="H382" s="169">
        <v>0</v>
      </c>
      <c r="I382" s="169">
        <v>125000</v>
      </c>
      <c r="J382" s="155">
        <f>+J381+Tabla69[[#This Row],[DEBE]]-Tabla69[[#This Row],[HABER]]</f>
        <v>811660697.71000004</v>
      </c>
      <c r="K382" s="156" t="s">
        <v>871</v>
      </c>
      <c r="L382" s="157" t="s">
        <v>1507</v>
      </c>
      <c r="M382" s="157"/>
    </row>
    <row r="383" spans="2:13" x14ac:dyDescent="0.35">
      <c r="B383" s="165">
        <v>46037</v>
      </c>
      <c r="C383" s="166">
        <v>46037</v>
      </c>
      <c r="D383" s="167" t="s">
        <v>184</v>
      </c>
      <c r="E383" s="168">
        <v>218</v>
      </c>
      <c r="F383" s="167" t="s">
        <v>968</v>
      </c>
      <c r="G383" s="167" t="s">
        <v>87</v>
      </c>
      <c r="H383" s="169">
        <v>0</v>
      </c>
      <c r="I383" s="169">
        <v>-125000</v>
      </c>
      <c r="J383" s="155">
        <f>+J382+Tabla69[[#This Row],[DEBE]]-Tabla69[[#This Row],[HABER]]</f>
        <v>811785697.71000004</v>
      </c>
      <c r="K383" s="156" t="s">
        <v>871</v>
      </c>
      <c r="L383" s="157" t="s">
        <v>1507</v>
      </c>
      <c r="M383" s="157"/>
    </row>
    <row r="384" spans="2:13" x14ac:dyDescent="0.35">
      <c r="B384" s="145">
        <v>46037</v>
      </c>
      <c r="C384" s="146">
        <v>46037</v>
      </c>
      <c r="D384" s="147" t="s">
        <v>184</v>
      </c>
      <c r="E384" s="148">
        <v>219</v>
      </c>
      <c r="F384" s="147" t="s">
        <v>967</v>
      </c>
      <c r="G384" s="138" t="s">
        <v>87</v>
      </c>
      <c r="H384" s="149">
        <v>0</v>
      </c>
      <c r="I384" s="149">
        <v>250000</v>
      </c>
      <c r="J384" s="141">
        <f>+J383+Tabla69[[#This Row],[DEBE]]-Tabla69[[#This Row],[HABER]]</f>
        <v>811535697.71000004</v>
      </c>
      <c r="K384" s="142" t="s">
        <v>872</v>
      </c>
      <c r="L384" s="143" t="s">
        <v>649</v>
      </c>
      <c r="M384" s="143" t="s">
        <v>87</v>
      </c>
    </row>
    <row r="385" spans="2:13" x14ac:dyDescent="0.35">
      <c r="B385" s="145">
        <v>46037</v>
      </c>
      <c r="C385" s="146">
        <v>46037</v>
      </c>
      <c r="D385" s="147" t="s">
        <v>184</v>
      </c>
      <c r="E385" s="148">
        <v>220</v>
      </c>
      <c r="F385" s="147" t="s">
        <v>966</v>
      </c>
      <c r="G385" s="138" t="s">
        <v>87</v>
      </c>
      <c r="H385" s="149">
        <v>0</v>
      </c>
      <c r="I385" s="149">
        <v>250000</v>
      </c>
      <c r="J385" s="141">
        <f>+J384+Tabla69[[#This Row],[DEBE]]-Tabla69[[#This Row],[HABER]]</f>
        <v>811285697.71000004</v>
      </c>
      <c r="K385" s="142" t="s">
        <v>872</v>
      </c>
      <c r="L385" s="143" t="s">
        <v>649</v>
      </c>
      <c r="M385" s="143" t="s">
        <v>87</v>
      </c>
    </row>
    <row r="386" spans="2:13" x14ac:dyDescent="0.35">
      <c r="B386" s="145">
        <v>46037</v>
      </c>
      <c r="C386" s="146">
        <v>46037</v>
      </c>
      <c r="D386" s="147" t="s">
        <v>184</v>
      </c>
      <c r="E386" s="148">
        <v>221</v>
      </c>
      <c r="F386" s="147" t="s">
        <v>965</v>
      </c>
      <c r="G386" s="138" t="s">
        <v>87</v>
      </c>
      <c r="H386" s="149">
        <v>0</v>
      </c>
      <c r="I386" s="149">
        <v>125000</v>
      </c>
      <c r="J386" s="141">
        <f>+J385+Tabla69[[#This Row],[DEBE]]-Tabla69[[#This Row],[HABER]]</f>
        <v>811160697.71000004</v>
      </c>
      <c r="K386" s="142" t="s">
        <v>872</v>
      </c>
      <c r="L386" s="143" t="s">
        <v>649</v>
      </c>
      <c r="M386" s="143" t="s">
        <v>87</v>
      </c>
    </row>
    <row r="387" spans="2:13" x14ac:dyDescent="0.35">
      <c r="B387" s="145">
        <v>46037</v>
      </c>
      <c r="C387" s="146">
        <v>46037</v>
      </c>
      <c r="D387" s="147" t="s">
        <v>184</v>
      </c>
      <c r="E387" s="148">
        <v>222</v>
      </c>
      <c r="F387" s="147" t="s">
        <v>964</v>
      </c>
      <c r="G387" s="138" t="s">
        <v>87</v>
      </c>
      <c r="H387" s="149">
        <v>0</v>
      </c>
      <c r="I387" s="149">
        <v>125000</v>
      </c>
      <c r="J387" s="141">
        <f>+J386+Tabla69[[#This Row],[DEBE]]-Tabla69[[#This Row],[HABER]]</f>
        <v>811035697.71000004</v>
      </c>
      <c r="K387" s="142" t="s">
        <v>872</v>
      </c>
      <c r="L387" s="143" t="s">
        <v>649</v>
      </c>
      <c r="M387" s="143" t="s">
        <v>87</v>
      </c>
    </row>
    <row r="388" spans="2:13" x14ac:dyDescent="0.35">
      <c r="B388" s="145">
        <v>46037</v>
      </c>
      <c r="C388" s="146">
        <v>46037</v>
      </c>
      <c r="D388" s="147" t="s">
        <v>184</v>
      </c>
      <c r="E388" s="148">
        <v>223</v>
      </c>
      <c r="F388" s="147" t="s">
        <v>963</v>
      </c>
      <c r="G388" s="138" t="s">
        <v>87</v>
      </c>
      <c r="H388" s="149">
        <v>0</v>
      </c>
      <c r="I388" s="149">
        <v>125000</v>
      </c>
      <c r="J388" s="141">
        <f>+J387+Tabla69[[#This Row],[DEBE]]-Tabla69[[#This Row],[HABER]]</f>
        <v>810910697.71000004</v>
      </c>
      <c r="K388" s="142" t="s">
        <v>872</v>
      </c>
      <c r="L388" s="143" t="s">
        <v>649</v>
      </c>
      <c r="M388" s="143" t="s">
        <v>87</v>
      </c>
    </row>
    <row r="389" spans="2:13" x14ac:dyDescent="0.35">
      <c r="B389" s="145">
        <v>46037</v>
      </c>
      <c r="C389" s="146">
        <v>46037</v>
      </c>
      <c r="D389" s="147" t="s">
        <v>184</v>
      </c>
      <c r="E389" s="148">
        <v>224</v>
      </c>
      <c r="F389" s="147" t="s">
        <v>962</v>
      </c>
      <c r="G389" s="138" t="s">
        <v>87</v>
      </c>
      <c r="H389" s="149">
        <v>0</v>
      </c>
      <c r="I389" s="149">
        <v>125000</v>
      </c>
      <c r="J389" s="141">
        <f>+J388+Tabla69[[#This Row],[DEBE]]-Tabla69[[#This Row],[HABER]]</f>
        <v>810785697.71000004</v>
      </c>
      <c r="K389" s="142" t="s">
        <v>872</v>
      </c>
      <c r="L389" s="143" t="s">
        <v>649</v>
      </c>
      <c r="M389" s="143" t="s">
        <v>87</v>
      </c>
    </row>
    <row r="390" spans="2:13" x14ac:dyDescent="0.35">
      <c r="B390" s="145">
        <v>46037</v>
      </c>
      <c r="C390" s="146">
        <v>46037</v>
      </c>
      <c r="D390" s="147" t="s">
        <v>184</v>
      </c>
      <c r="E390" s="148">
        <v>225</v>
      </c>
      <c r="F390" s="147" t="s">
        <v>961</v>
      </c>
      <c r="G390" s="138" t="s">
        <v>87</v>
      </c>
      <c r="H390" s="149">
        <v>0</v>
      </c>
      <c r="I390" s="149">
        <v>125000</v>
      </c>
      <c r="J390" s="141">
        <f>+J389+Tabla69[[#This Row],[DEBE]]-Tabla69[[#This Row],[HABER]]</f>
        <v>810660697.71000004</v>
      </c>
      <c r="K390" s="142" t="s">
        <v>872</v>
      </c>
      <c r="L390" s="143" t="s">
        <v>649</v>
      </c>
      <c r="M390" s="143" t="s">
        <v>87</v>
      </c>
    </row>
    <row r="391" spans="2:13" x14ac:dyDescent="0.35">
      <c r="B391" s="145">
        <v>46037</v>
      </c>
      <c r="C391" s="146">
        <v>46037</v>
      </c>
      <c r="D391" s="147" t="s">
        <v>184</v>
      </c>
      <c r="E391" s="148">
        <v>226</v>
      </c>
      <c r="F391" s="147" t="s">
        <v>960</v>
      </c>
      <c r="G391" s="138" t="s">
        <v>87</v>
      </c>
      <c r="H391" s="149">
        <v>0</v>
      </c>
      <c r="I391" s="149">
        <v>250000</v>
      </c>
      <c r="J391" s="141">
        <f>+J390+Tabla69[[#This Row],[DEBE]]-Tabla69[[#This Row],[HABER]]</f>
        <v>810410697.71000004</v>
      </c>
      <c r="K391" s="142" t="s">
        <v>872</v>
      </c>
      <c r="L391" s="143" t="s">
        <v>649</v>
      </c>
      <c r="M391" s="143" t="s">
        <v>87</v>
      </c>
    </row>
    <row r="392" spans="2:13" x14ac:dyDescent="0.35">
      <c r="B392" s="145">
        <v>46037</v>
      </c>
      <c r="C392" s="146">
        <v>46037</v>
      </c>
      <c r="D392" s="147" t="s">
        <v>184</v>
      </c>
      <c r="E392" s="148">
        <v>227</v>
      </c>
      <c r="F392" s="147" t="s">
        <v>959</v>
      </c>
      <c r="G392" s="138" t="s">
        <v>87</v>
      </c>
      <c r="H392" s="149">
        <v>0</v>
      </c>
      <c r="I392" s="149">
        <v>125000</v>
      </c>
      <c r="J392" s="141">
        <f>+J391+Tabla69[[#This Row],[DEBE]]-Tabla69[[#This Row],[HABER]]</f>
        <v>810285697.71000004</v>
      </c>
      <c r="K392" s="142" t="s">
        <v>872</v>
      </c>
      <c r="L392" s="143" t="s">
        <v>649</v>
      </c>
      <c r="M392" s="143" t="s">
        <v>87</v>
      </c>
    </row>
    <row r="393" spans="2:13" x14ac:dyDescent="0.35">
      <c r="B393" s="145">
        <v>46037</v>
      </c>
      <c r="C393" s="146">
        <v>46037</v>
      </c>
      <c r="D393" s="147" t="s">
        <v>184</v>
      </c>
      <c r="E393" s="148">
        <v>228</v>
      </c>
      <c r="F393" s="147" t="s">
        <v>958</v>
      </c>
      <c r="G393" s="138" t="s">
        <v>87</v>
      </c>
      <c r="H393" s="149">
        <v>0</v>
      </c>
      <c r="I393" s="149">
        <v>125000</v>
      </c>
      <c r="J393" s="141">
        <f>+J392+Tabla69[[#This Row],[DEBE]]-Tabla69[[#This Row],[HABER]]</f>
        <v>810160697.71000004</v>
      </c>
      <c r="K393" s="142" t="s">
        <v>872</v>
      </c>
      <c r="L393" s="143" t="s">
        <v>649</v>
      </c>
      <c r="M393" s="143" t="s">
        <v>87</v>
      </c>
    </row>
    <row r="394" spans="2:13" x14ac:dyDescent="0.35">
      <c r="B394" s="145">
        <v>46037</v>
      </c>
      <c r="C394" s="146">
        <v>46037</v>
      </c>
      <c r="D394" s="147" t="s">
        <v>184</v>
      </c>
      <c r="E394" s="148">
        <v>229</v>
      </c>
      <c r="F394" s="147" t="s">
        <v>957</v>
      </c>
      <c r="G394" s="138" t="s">
        <v>87</v>
      </c>
      <c r="H394" s="149">
        <v>0</v>
      </c>
      <c r="I394" s="149">
        <v>62500</v>
      </c>
      <c r="J394" s="141">
        <f>+J393+Tabla69[[#This Row],[DEBE]]-Tabla69[[#This Row],[HABER]]</f>
        <v>810098197.71000004</v>
      </c>
      <c r="K394" s="142" t="s">
        <v>872</v>
      </c>
      <c r="L394" s="143" t="s">
        <v>649</v>
      </c>
      <c r="M394" s="143" t="s">
        <v>87</v>
      </c>
    </row>
    <row r="395" spans="2:13" x14ac:dyDescent="0.35">
      <c r="B395" s="165">
        <v>46037</v>
      </c>
      <c r="C395" s="166">
        <v>46037</v>
      </c>
      <c r="D395" s="167" t="s">
        <v>184</v>
      </c>
      <c r="E395" s="168">
        <v>230</v>
      </c>
      <c r="F395" s="167" t="s">
        <v>956</v>
      </c>
      <c r="G395" s="167" t="s">
        <v>248</v>
      </c>
      <c r="H395" s="169">
        <v>0</v>
      </c>
      <c r="I395" s="169">
        <v>250000</v>
      </c>
      <c r="J395" s="155">
        <f>+J394+Tabla69[[#This Row],[DEBE]]-Tabla69[[#This Row],[HABER]]</f>
        <v>809848197.71000004</v>
      </c>
      <c r="K395" s="156" t="s">
        <v>871</v>
      </c>
      <c r="L395" s="157" t="s">
        <v>649</v>
      </c>
      <c r="M395" s="157"/>
    </row>
    <row r="396" spans="2:13" x14ac:dyDescent="0.35">
      <c r="B396" s="165">
        <v>46037</v>
      </c>
      <c r="C396" s="166">
        <v>46037</v>
      </c>
      <c r="D396" s="167" t="s">
        <v>184</v>
      </c>
      <c r="E396" s="168">
        <v>230</v>
      </c>
      <c r="F396" s="167" t="s">
        <v>956</v>
      </c>
      <c r="G396" s="167" t="s">
        <v>248</v>
      </c>
      <c r="H396" s="169">
        <v>0</v>
      </c>
      <c r="I396" s="169">
        <v>-250000</v>
      </c>
      <c r="J396" s="155">
        <f>+J395+Tabla69[[#This Row],[DEBE]]-Tabla69[[#This Row],[HABER]]</f>
        <v>810098197.71000004</v>
      </c>
      <c r="K396" s="156" t="s">
        <v>871</v>
      </c>
      <c r="L396" s="157" t="s">
        <v>649</v>
      </c>
      <c r="M396" s="157"/>
    </row>
    <row r="397" spans="2:13" x14ac:dyDescent="0.35">
      <c r="B397" s="145">
        <v>46037</v>
      </c>
      <c r="C397" s="146">
        <v>46037</v>
      </c>
      <c r="D397" s="147" t="s">
        <v>184</v>
      </c>
      <c r="E397" s="148">
        <v>231</v>
      </c>
      <c r="F397" s="147" t="s">
        <v>955</v>
      </c>
      <c r="G397" s="138" t="s">
        <v>87</v>
      </c>
      <c r="H397" s="149">
        <v>0</v>
      </c>
      <c r="I397" s="149">
        <v>250000</v>
      </c>
      <c r="J397" s="141">
        <f>+J396+Tabla69[[#This Row],[DEBE]]-Tabla69[[#This Row],[HABER]]</f>
        <v>809848197.71000004</v>
      </c>
      <c r="K397" s="142" t="s">
        <v>872</v>
      </c>
      <c r="L397" s="143" t="s">
        <v>649</v>
      </c>
      <c r="M397" s="143" t="s">
        <v>87</v>
      </c>
    </row>
    <row r="398" spans="2:13" x14ac:dyDescent="0.35">
      <c r="B398" s="165">
        <v>46037</v>
      </c>
      <c r="C398" s="166">
        <v>46037</v>
      </c>
      <c r="D398" s="167" t="s">
        <v>184</v>
      </c>
      <c r="E398" s="168">
        <v>232</v>
      </c>
      <c r="F398" s="167" t="s">
        <v>954</v>
      </c>
      <c r="G398" s="167" t="s">
        <v>248</v>
      </c>
      <c r="H398" s="169">
        <v>0</v>
      </c>
      <c r="I398" s="169">
        <v>-62500</v>
      </c>
      <c r="J398" s="155">
        <f>+J397+Tabla69[[#This Row],[DEBE]]-Tabla69[[#This Row],[HABER]]</f>
        <v>809910697.71000004</v>
      </c>
      <c r="K398" s="156" t="s">
        <v>871</v>
      </c>
      <c r="L398" s="157" t="s">
        <v>649</v>
      </c>
      <c r="M398" s="157"/>
    </row>
    <row r="399" spans="2:13" x14ac:dyDescent="0.35">
      <c r="B399" s="165">
        <v>46037</v>
      </c>
      <c r="C399" s="166">
        <v>46037</v>
      </c>
      <c r="D399" s="167" t="s">
        <v>184</v>
      </c>
      <c r="E399" s="168">
        <v>232</v>
      </c>
      <c r="F399" s="167" t="s">
        <v>954</v>
      </c>
      <c r="G399" s="167" t="s">
        <v>248</v>
      </c>
      <c r="H399" s="169">
        <v>0</v>
      </c>
      <c r="I399" s="169">
        <v>62500</v>
      </c>
      <c r="J399" s="155">
        <f>+J398+Tabla69[[#This Row],[DEBE]]-Tabla69[[#This Row],[HABER]]</f>
        <v>809848197.71000004</v>
      </c>
      <c r="K399" s="156" t="s">
        <v>871</v>
      </c>
      <c r="L399" s="157" t="s">
        <v>649</v>
      </c>
      <c r="M399" s="157"/>
    </row>
    <row r="400" spans="2:13" x14ac:dyDescent="0.35">
      <c r="B400" s="145">
        <v>46037</v>
      </c>
      <c r="C400" s="146">
        <v>46037</v>
      </c>
      <c r="D400" s="147" t="s">
        <v>184</v>
      </c>
      <c r="E400" s="148">
        <v>233</v>
      </c>
      <c r="F400" s="147" t="s">
        <v>953</v>
      </c>
      <c r="G400" s="138" t="s">
        <v>87</v>
      </c>
      <c r="H400" s="149">
        <v>0</v>
      </c>
      <c r="I400" s="149">
        <v>62500</v>
      </c>
      <c r="J400" s="141">
        <f>+J399+Tabla69[[#This Row],[DEBE]]-Tabla69[[#This Row],[HABER]]</f>
        <v>809785697.71000004</v>
      </c>
      <c r="K400" s="142" t="s">
        <v>872</v>
      </c>
      <c r="L400" s="143" t="s">
        <v>649</v>
      </c>
      <c r="M400" s="143" t="s">
        <v>87</v>
      </c>
    </row>
    <row r="401" spans="2:13" x14ac:dyDescent="0.35">
      <c r="B401" s="145">
        <v>46037</v>
      </c>
      <c r="C401" s="146">
        <v>46037</v>
      </c>
      <c r="D401" s="147" t="s">
        <v>184</v>
      </c>
      <c r="E401" s="148">
        <v>234</v>
      </c>
      <c r="F401" s="147" t="s">
        <v>952</v>
      </c>
      <c r="G401" s="138" t="s">
        <v>87</v>
      </c>
      <c r="H401" s="149">
        <v>0</v>
      </c>
      <c r="I401" s="149">
        <v>250000</v>
      </c>
      <c r="J401" s="141">
        <f>+J400+Tabla69[[#This Row],[DEBE]]-Tabla69[[#This Row],[HABER]]</f>
        <v>809535697.71000004</v>
      </c>
      <c r="K401" s="142" t="s">
        <v>872</v>
      </c>
      <c r="L401" s="143" t="s">
        <v>649</v>
      </c>
      <c r="M401" s="143" t="s">
        <v>87</v>
      </c>
    </row>
    <row r="402" spans="2:13" x14ac:dyDescent="0.35">
      <c r="B402" s="145">
        <v>46037</v>
      </c>
      <c r="C402" s="146">
        <v>46037</v>
      </c>
      <c r="D402" s="147" t="s">
        <v>184</v>
      </c>
      <c r="E402" s="148">
        <v>235</v>
      </c>
      <c r="F402" s="147" t="s">
        <v>951</v>
      </c>
      <c r="G402" s="138" t="s">
        <v>87</v>
      </c>
      <c r="H402" s="149">
        <v>0</v>
      </c>
      <c r="I402" s="149">
        <v>62500</v>
      </c>
      <c r="J402" s="141">
        <f>+J401+Tabla69[[#This Row],[DEBE]]-Tabla69[[#This Row],[HABER]]</f>
        <v>809473197.71000004</v>
      </c>
      <c r="K402" s="142" t="s">
        <v>872</v>
      </c>
      <c r="L402" s="143" t="s">
        <v>649</v>
      </c>
      <c r="M402" s="143" t="s">
        <v>87</v>
      </c>
    </row>
    <row r="403" spans="2:13" x14ac:dyDescent="0.35">
      <c r="B403" s="145">
        <v>46037</v>
      </c>
      <c r="C403" s="146">
        <v>46037</v>
      </c>
      <c r="D403" s="147" t="s">
        <v>184</v>
      </c>
      <c r="E403" s="148">
        <v>236</v>
      </c>
      <c r="F403" s="147" t="s">
        <v>950</v>
      </c>
      <c r="G403" s="138" t="s">
        <v>87</v>
      </c>
      <c r="H403" s="149">
        <v>0</v>
      </c>
      <c r="I403" s="149">
        <v>62500</v>
      </c>
      <c r="J403" s="141">
        <f>+J402+Tabla69[[#This Row],[DEBE]]-Tabla69[[#This Row],[HABER]]</f>
        <v>809410697.71000004</v>
      </c>
      <c r="K403" s="142" t="s">
        <v>872</v>
      </c>
      <c r="L403" s="143" t="s">
        <v>649</v>
      </c>
      <c r="M403" s="143" t="s">
        <v>87</v>
      </c>
    </row>
    <row r="404" spans="2:13" x14ac:dyDescent="0.35">
      <c r="B404" s="145">
        <v>46037</v>
      </c>
      <c r="C404" s="146">
        <v>46037</v>
      </c>
      <c r="D404" s="147" t="s">
        <v>184</v>
      </c>
      <c r="E404" s="148">
        <v>237</v>
      </c>
      <c r="F404" s="147" t="s">
        <v>949</v>
      </c>
      <c r="G404" s="138" t="s">
        <v>87</v>
      </c>
      <c r="H404" s="149">
        <v>0</v>
      </c>
      <c r="I404" s="149">
        <v>250000</v>
      </c>
      <c r="J404" s="141">
        <f>+J403+Tabla69[[#This Row],[DEBE]]-Tabla69[[#This Row],[HABER]]</f>
        <v>809160697.71000004</v>
      </c>
      <c r="K404" s="142" t="s">
        <v>872</v>
      </c>
      <c r="L404" s="143" t="s">
        <v>649</v>
      </c>
      <c r="M404" s="143" t="s">
        <v>87</v>
      </c>
    </row>
    <row r="405" spans="2:13" x14ac:dyDescent="0.35">
      <c r="B405" s="165">
        <v>46037</v>
      </c>
      <c r="C405" s="166">
        <v>46037</v>
      </c>
      <c r="D405" s="167" t="s">
        <v>184</v>
      </c>
      <c r="E405" s="168">
        <v>238</v>
      </c>
      <c r="F405" s="167" t="s">
        <v>948</v>
      </c>
      <c r="G405" s="167" t="s">
        <v>248</v>
      </c>
      <c r="H405" s="169">
        <v>0</v>
      </c>
      <c r="I405" s="169">
        <v>-125000</v>
      </c>
      <c r="J405" s="155">
        <f>+J404+Tabla69[[#This Row],[DEBE]]-Tabla69[[#This Row],[HABER]]</f>
        <v>809285697.71000004</v>
      </c>
      <c r="K405" s="156" t="s">
        <v>871</v>
      </c>
      <c r="L405" s="157" t="s">
        <v>649</v>
      </c>
      <c r="M405" s="157"/>
    </row>
    <row r="406" spans="2:13" x14ac:dyDescent="0.35">
      <c r="B406" s="165">
        <v>46037</v>
      </c>
      <c r="C406" s="166">
        <v>46037</v>
      </c>
      <c r="D406" s="167" t="s">
        <v>184</v>
      </c>
      <c r="E406" s="168">
        <v>238</v>
      </c>
      <c r="F406" s="167" t="s">
        <v>948</v>
      </c>
      <c r="G406" s="167" t="s">
        <v>248</v>
      </c>
      <c r="H406" s="169">
        <v>0</v>
      </c>
      <c r="I406" s="169">
        <v>125000</v>
      </c>
      <c r="J406" s="155">
        <f>+J405+Tabla69[[#This Row],[DEBE]]-Tabla69[[#This Row],[HABER]]</f>
        <v>809160697.71000004</v>
      </c>
      <c r="K406" s="156" t="s">
        <v>871</v>
      </c>
      <c r="L406" s="157" t="s">
        <v>649</v>
      </c>
      <c r="M406" s="157"/>
    </row>
    <row r="407" spans="2:13" x14ac:dyDescent="0.35">
      <c r="B407" s="145">
        <v>46037</v>
      </c>
      <c r="C407" s="146">
        <v>46037</v>
      </c>
      <c r="D407" s="147" t="s">
        <v>184</v>
      </c>
      <c r="E407" s="148">
        <v>239</v>
      </c>
      <c r="F407" s="147" t="s">
        <v>947</v>
      </c>
      <c r="G407" s="138" t="s">
        <v>87</v>
      </c>
      <c r="H407" s="149">
        <v>0</v>
      </c>
      <c r="I407" s="149">
        <v>125000</v>
      </c>
      <c r="J407" s="141">
        <f>+J406+Tabla69[[#This Row],[DEBE]]-Tabla69[[#This Row],[HABER]]</f>
        <v>809035697.71000004</v>
      </c>
      <c r="K407" s="142" t="s">
        <v>872</v>
      </c>
      <c r="L407" s="143" t="s">
        <v>649</v>
      </c>
      <c r="M407" s="143" t="s">
        <v>87</v>
      </c>
    </row>
    <row r="408" spans="2:13" x14ac:dyDescent="0.35">
      <c r="B408" s="145">
        <v>46037</v>
      </c>
      <c r="C408" s="146">
        <v>46037</v>
      </c>
      <c r="D408" s="147" t="s">
        <v>184</v>
      </c>
      <c r="E408" s="148">
        <v>240</v>
      </c>
      <c r="F408" s="147" t="s">
        <v>946</v>
      </c>
      <c r="G408" s="138" t="s">
        <v>87</v>
      </c>
      <c r="H408" s="149">
        <v>0</v>
      </c>
      <c r="I408" s="149">
        <v>125000</v>
      </c>
      <c r="J408" s="141">
        <f>+J407+Tabla69[[#This Row],[DEBE]]-Tabla69[[#This Row],[HABER]]</f>
        <v>808910697.71000004</v>
      </c>
      <c r="K408" s="142" t="s">
        <v>872</v>
      </c>
      <c r="L408" s="143" t="s">
        <v>649</v>
      </c>
      <c r="M408" s="143" t="s">
        <v>87</v>
      </c>
    </row>
    <row r="409" spans="2:13" x14ac:dyDescent="0.35">
      <c r="B409" s="145">
        <v>46037</v>
      </c>
      <c r="C409" s="146">
        <v>46037</v>
      </c>
      <c r="D409" s="147" t="s">
        <v>184</v>
      </c>
      <c r="E409" s="148">
        <v>241</v>
      </c>
      <c r="F409" s="147" t="s">
        <v>945</v>
      </c>
      <c r="G409" s="138" t="s">
        <v>87</v>
      </c>
      <c r="H409" s="149">
        <v>0</v>
      </c>
      <c r="I409" s="149">
        <v>250000</v>
      </c>
      <c r="J409" s="141">
        <f>+J408+Tabla69[[#This Row],[DEBE]]-Tabla69[[#This Row],[HABER]]</f>
        <v>808660697.71000004</v>
      </c>
      <c r="K409" s="142" t="s">
        <v>872</v>
      </c>
      <c r="L409" s="143" t="s">
        <v>649</v>
      </c>
      <c r="M409" s="143" t="s">
        <v>87</v>
      </c>
    </row>
    <row r="410" spans="2:13" x14ac:dyDescent="0.35">
      <c r="B410" s="145">
        <v>46037</v>
      </c>
      <c r="C410" s="146">
        <v>46037</v>
      </c>
      <c r="D410" s="147" t="s">
        <v>184</v>
      </c>
      <c r="E410" s="148">
        <v>242</v>
      </c>
      <c r="F410" s="147" t="s">
        <v>944</v>
      </c>
      <c r="G410" s="138" t="s">
        <v>87</v>
      </c>
      <c r="H410" s="149">
        <v>0</v>
      </c>
      <c r="I410" s="149">
        <v>125000</v>
      </c>
      <c r="J410" s="141">
        <f>+J409+Tabla69[[#This Row],[DEBE]]-Tabla69[[#This Row],[HABER]]</f>
        <v>808535697.71000004</v>
      </c>
      <c r="K410" s="142" t="s">
        <v>872</v>
      </c>
      <c r="L410" s="143" t="s">
        <v>649</v>
      </c>
      <c r="M410" s="143" t="s">
        <v>87</v>
      </c>
    </row>
    <row r="411" spans="2:13" x14ac:dyDescent="0.35">
      <c r="B411" s="145">
        <v>46037</v>
      </c>
      <c r="C411" s="146">
        <v>46037</v>
      </c>
      <c r="D411" s="147" t="s">
        <v>184</v>
      </c>
      <c r="E411" s="148">
        <v>243</v>
      </c>
      <c r="F411" s="147" t="s">
        <v>943</v>
      </c>
      <c r="G411" s="138" t="s">
        <v>87</v>
      </c>
      <c r="H411" s="149">
        <v>0</v>
      </c>
      <c r="I411" s="149">
        <v>250000</v>
      </c>
      <c r="J411" s="141">
        <f>+J410+Tabla69[[#This Row],[DEBE]]-Tabla69[[#This Row],[HABER]]</f>
        <v>808285697.71000004</v>
      </c>
      <c r="K411" s="142" t="s">
        <v>872</v>
      </c>
      <c r="L411" s="143" t="s">
        <v>649</v>
      </c>
      <c r="M411" s="143" t="s">
        <v>87</v>
      </c>
    </row>
    <row r="412" spans="2:13" x14ac:dyDescent="0.35">
      <c r="B412" s="145">
        <v>46037</v>
      </c>
      <c r="C412" s="146">
        <v>46037</v>
      </c>
      <c r="D412" s="147" t="s">
        <v>184</v>
      </c>
      <c r="E412" s="148">
        <v>244</v>
      </c>
      <c r="F412" s="147" t="s">
        <v>942</v>
      </c>
      <c r="G412" s="138" t="s">
        <v>87</v>
      </c>
      <c r="H412" s="149">
        <v>0</v>
      </c>
      <c r="I412" s="149">
        <v>250000</v>
      </c>
      <c r="J412" s="141">
        <f>+J411+Tabla69[[#This Row],[DEBE]]-Tabla69[[#This Row],[HABER]]</f>
        <v>808035697.71000004</v>
      </c>
      <c r="K412" s="142" t="s">
        <v>872</v>
      </c>
      <c r="L412" s="143" t="s">
        <v>649</v>
      </c>
      <c r="M412" s="143" t="s">
        <v>87</v>
      </c>
    </row>
    <row r="413" spans="2:13" x14ac:dyDescent="0.35">
      <c r="B413" s="145">
        <v>46037</v>
      </c>
      <c r="C413" s="146">
        <v>46037</v>
      </c>
      <c r="D413" s="147" t="s">
        <v>184</v>
      </c>
      <c r="E413" s="148">
        <v>245</v>
      </c>
      <c r="F413" s="147" t="s">
        <v>941</v>
      </c>
      <c r="G413" s="138" t="s">
        <v>87</v>
      </c>
      <c r="H413" s="149">
        <v>0</v>
      </c>
      <c r="I413" s="149">
        <v>62500</v>
      </c>
      <c r="J413" s="141">
        <f>+J412+Tabla69[[#This Row],[DEBE]]-Tabla69[[#This Row],[HABER]]</f>
        <v>807973197.71000004</v>
      </c>
      <c r="K413" s="142" t="s">
        <v>872</v>
      </c>
      <c r="L413" s="143" t="s">
        <v>649</v>
      </c>
      <c r="M413" s="143" t="s">
        <v>87</v>
      </c>
    </row>
    <row r="414" spans="2:13" x14ac:dyDescent="0.35">
      <c r="B414" s="145">
        <v>46037</v>
      </c>
      <c r="C414" s="146">
        <v>46037</v>
      </c>
      <c r="D414" s="147" t="s">
        <v>184</v>
      </c>
      <c r="E414" s="148">
        <v>246</v>
      </c>
      <c r="F414" s="147" t="s">
        <v>940</v>
      </c>
      <c r="G414" s="138" t="s">
        <v>87</v>
      </c>
      <c r="H414" s="149">
        <v>0</v>
      </c>
      <c r="I414" s="149">
        <v>62500</v>
      </c>
      <c r="J414" s="141">
        <f>+J413+Tabla69[[#This Row],[DEBE]]-Tabla69[[#This Row],[HABER]]</f>
        <v>807910697.71000004</v>
      </c>
      <c r="K414" s="142" t="s">
        <v>872</v>
      </c>
      <c r="L414" s="143" t="s">
        <v>649</v>
      </c>
      <c r="M414" s="143" t="s">
        <v>87</v>
      </c>
    </row>
    <row r="415" spans="2:13" x14ac:dyDescent="0.35">
      <c r="B415" s="145">
        <v>46037</v>
      </c>
      <c r="C415" s="146">
        <v>46037</v>
      </c>
      <c r="D415" s="147" t="s">
        <v>184</v>
      </c>
      <c r="E415" s="148">
        <v>247</v>
      </c>
      <c r="F415" s="147" t="s">
        <v>939</v>
      </c>
      <c r="G415" s="138" t="s">
        <v>87</v>
      </c>
      <c r="H415" s="149">
        <v>0</v>
      </c>
      <c r="I415" s="149">
        <v>62500</v>
      </c>
      <c r="J415" s="141">
        <f>+J414+Tabla69[[#This Row],[DEBE]]-Tabla69[[#This Row],[HABER]]</f>
        <v>807848197.71000004</v>
      </c>
      <c r="K415" s="142" t="s">
        <v>872</v>
      </c>
      <c r="L415" s="143" t="s">
        <v>649</v>
      </c>
      <c r="M415" s="143" t="s">
        <v>87</v>
      </c>
    </row>
    <row r="416" spans="2:13" x14ac:dyDescent="0.35">
      <c r="B416" s="145">
        <v>46037</v>
      </c>
      <c r="C416" s="146">
        <v>46037</v>
      </c>
      <c r="D416" s="147" t="s">
        <v>184</v>
      </c>
      <c r="E416" s="148">
        <v>248</v>
      </c>
      <c r="F416" s="147" t="s">
        <v>938</v>
      </c>
      <c r="G416" s="138" t="s">
        <v>87</v>
      </c>
      <c r="H416" s="149">
        <v>0</v>
      </c>
      <c r="I416" s="149">
        <v>62500</v>
      </c>
      <c r="J416" s="141">
        <f>+J415+Tabla69[[#This Row],[DEBE]]-Tabla69[[#This Row],[HABER]]</f>
        <v>807785697.71000004</v>
      </c>
      <c r="K416" s="142" t="s">
        <v>872</v>
      </c>
      <c r="L416" s="143" t="s">
        <v>649</v>
      </c>
      <c r="M416" s="143" t="s">
        <v>87</v>
      </c>
    </row>
    <row r="417" spans="2:13" x14ac:dyDescent="0.35">
      <c r="B417" s="165">
        <v>46037</v>
      </c>
      <c r="C417" s="166">
        <v>46037</v>
      </c>
      <c r="D417" s="167" t="s">
        <v>184</v>
      </c>
      <c r="E417" s="168">
        <v>249</v>
      </c>
      <c r="F417" s="167" t="s">
        <v>937</v>
      </c>
      <c r="G417" s="167"/>
      <c r="H417" s="169">
        <v>0</v>
      </c>
      <c r="I417" s="169">
        <v>-62500</v>
      </c>
      <c r="J417" s="155">
        <f>+J416+Tabla69[[#This Row],[DEBE]]-Tabla69[[#This Row],[HABER]]</f>
        <v>807848197.71000004</v>
      </c>
      <c r="K417" s="156" t="s">
        <v>871</v>
      </c>
      <c r="L417" s="157" t="s">
        <v>1507</v>
      </c>
      <c r="M417" s="157"/>
    </row>
    <row r="418" spans="2:13" x14ac:dyDescent="0.35">
      <c r="B418" s="165">
        <v>46037</v>
      </c>
      <c r="C418" s="166">
        <v>46037</v>
      </c>
      <c r="D418" s="167" t="s">
        <v>184</v>
      </c>
      <c r="E418" s="168">
        <v>249</v>
      </c>
      <c r="F418" s="167" t="s">
        <v>937</v>
      </c>
      <c r="G418" s="167"/>
      <c r="H418" s="169">
        <v>0</v>
      </c>
      <c r="I418" s="169">
        <v>62500</v>
      </c>
      <c r="J418" s="155">
        <f>+J417+Tabla69[[#This Row],[DEBE]]-Tabla69[[#This Row],[HABER]]</f>
        <v>807785697.71000004</v>
      </c>
      <c r="K418" s="156" t="s">
        <v>871</v>
      </c>
      <c r="L418" s="157" t="s">
        <v>1507</v>
      </c>
      <c r="M418" s="157"/>
    </row>
    <row r="419" spans="2:13" x14ac:dyDescent="0.35">
      <c r="B419" s="145">
        <v>46037</v>
      </c>
      <c r="C419" s="146">
        <v>46037</v>
      </c>
      <c r="D419" s="147" t="s">
        <v>184</v>
      </c>
      <c r="E419" s="148">
        <v>250</v>
      </c>
      <c r="F419" s="147" t="s">
        <v>936</v>
      </c>
      <c r="G419" s="138" t="s">
        <v>87</v>
      </c>
      <c r="H419" s="149">
        <v>0</v>
      </c>
      <c r="I419" s="149">
        <v>62500</v>
      </c>
      <c r="J419" s="141">
        <f>+J418+Tabla69[[#This Row],[DEBE]]-Tabla69[[#This Row],[HABER]]</f>
        <v>807723197.71000004</v>
      </c>
      <c r="K419" s="142" t="s">
        <v>872</v>
      </c>
      <c r="L419" s="143" t="s">
        <v>649</v>
      </c>
      <c r="M419" s="143" t="s">
        <v>87</v>
      </c>
    </row>
    <row r="420" spans="2:13" x14ac:dyDescent="0.35">
      <c r="B420" s="145">
        <v>46037</v>
      </c>
      <c r="C420" s="146">
        <v>46037</v>
      </c>
      <c r="D420" s="147" t="s">
        <v>184</v>
      </c>
      <c r="E420" s="148">
        <v>251</v>
      </c>
      <c r="F420" s="147" t="s">
        <v>935</v>
      </c>
      <c r="G420" s="138" t="s">
        <v>87</v>
      </c>
      <c r="H420" s="149">
        <v>0</v>
      </c>
      <c r="I420" s="149">
        <v>125000</v>
      </c>
      <c r="J420" s="141">
        <f>+J419+Tabla69[[#This Row],[DEBE]]-Tabla69[[#This Row],[HABER]]</f>
        <v>807598197.71000004</v>
      </c>
      <c r="K420" s="142" t="s">
        <v>872</v>
      </c>
      <c r="L420" s="143" t="s">
        <v>649</v>
      </c>
      <c r="M420" s="143" t="s">
        <v>87</v>
      </c>
    </row>
    <row r="421" spans="2:13" x14ac:dyDescent="0.35">
      <c r="B421" s="145">
        <v>46037</v>
      </c>
      <c r="C421" s="146">
        <v>46037</v>
      </c>
      <c r="D421" s="147" t="s">
        <v>184</v>
      </c>
      <c r="E421" s="148">
        <v>252</v>
      </c>
      <c r="F421" s="147" t="s">
        <v>934</v>
      </c>
      <c r="G421" s="138" t="s">
        <v>87</v>
      </c>
      <c r="H421" s="149">
        <v>0</v>
      </c>
      <c r="I421" s="149">
        <v>125000</v>
      </c>
      <c r="J421" s="141">
        <f>+J420+Tabla69[[#This Row],[DEBE]]-Tabla69[[#This Row],[HABER]]</f>
        <v>807473197.71000004</v>
      </c>
      <c r="K421" s="142" t="s">
        <v>872</v>
      </c>
      <c r="L421" s="143" t="s">
        <v>649</v>
      </c>
      <c r="M421" s="143" t="s">
        <v>87</v>
      </c>
    </row>
    <row r="422" spans="2:13" x14ac:dyDescent="0.35">
      <c r="B422" s="145">
        <v>46037</v>
      </c>
      <c r="C422" s="146">
        <v>46037</v>
      </c>
      <c r="D422" s="147" t="s">
        <v>184</v>
      </c>
      <c r="E422" s="148">
        <v>253</v>
      </c>
      <c r="F422" s="147" t="s">
        <v>933</v>
      </c>
      <c r="G422" s="138" t="s">
        <v>87</v>
      </c>
      <c r="H422" s="149">
        <v>0</v>
      </c>
      <c r="I422" s="149">
        <v>125000</v>
      </c>
      <c r="J422" s="141">
        <f>+J421+Tabla69[[#This Row],[DEBE]]-Tabla69[[#This Row],[HABER]]</f>
        <v>807348197.71000004</v>
      </c>
      <c r="K422" s="142" t="s">
        <v>872</v>
      </c>
      <c r="L422" s="143" t="s">
        <v>649</v>
      </c>
      <c r="M422" s="143" t="s">
        <v>87</v>
      </c>
    </row>
    <row r="423" spans="2:13" x14ac:dyDescent="0.35">
      <c r="B423" s="145">
        <v>46037</v>
      </c>
      <c r="C423" s="146">
        <v>46037</v>
      </c>
      <c r="D423" s="147" t="s">
        <v>184</v>
      </c>
      <c r="E423" s="148">
        <v>254</v>
      </c>
      <c r="F423" s="147" t="s">
        <v>932</v>
      </c>
      <c r="G423" s="138" t="s">
        <v>87</v>
      </c>
      <c r="H423" s="149">
        <v>0</v>
      </c>
      <c r="I423" s="149">
        <v>125000</v>
      </c>
      <c r="J423" s="141">
        <f>+J422+Tabla69[[#This Row],[DEBE]]-Tabla69[[#This Row],[HABER]]</f>
        <v>807223197.71000004</v>
      </c>
      <c r="K423" s="142" t="s">
        <v>872</v>
      </c>
      <c r="L423" s="143" t="s">
        <v>649</v>
      </c>
      <c r="M423" s="143" t="s">
        <v>87</v>
      </c>
    </row>
    <row r="424" spans="2:13" x14ac:dyDescent="0.35">
      <c r="B424" s="145">
        <v>46037</v>
      </c>
      <c r="C424" s="146">
        <v>46037</v>
      </c>
      <c r="D424" s="147" t="s">
        <v>184</v>
      </c>
      <c r="E424" s="148">
        <v>255</v>
      </c>
      <c r="F424" s="147" t="s">
        <v>931</v>
      </c>
      <c r="G424" s="138" t="s">
        <v>87</v>
      </c>
      <c r="H424" s="149">
        <v>0</v>
      </c>
      <c r="I424" s="149">
        <v>62500</v>
      </c>
      <c r="J424" s="141">
        <f>+J423+Tabla69[[#This Row],[DEBE]]-Tabla69[[#This Row],[HABER]]</f>
        <v>807160697.71000004</v>
      </c>
      <c r="K424" s="142" t="s">
        <v>872</v>
      </c>
      <c r="L424" s="143" t="s">
        <v>649</v>
      </c>
      <c r="M424" s="143" t="s">
        <v>87</v>
      </c>
    </row>
    <row r="425" spans="2:13" x14ac:dyDescent="0.35">
      <c r="B425" s="145">
        <v>46037</v>
      </c>
      <c r="C425" s="146">
        <v>46037</v>
      </c>
      <c r="D425" s="147" t="s">
        <v>184</v>
      </c>
      <c r="E425" s="148">
        <v>256</v>
      </c>
      <c r="F425" s="147" t="s">
        <v>930</v>
      </c>
      <c r="G425" s="138" t="s">
        <v>87</v>
      </c>
      <c r="H425" s="149">
        <v>0</v>
      </c>
      <c r="I425" s="149">
        <v>125000</v>
      </c>
      <c r="J425" s="141">
        <f>+J424+Tabla69[[#This Row],[DEBE]]-Tabla69[[#This Row],[HABER]]</f>
        <v>807035697.71000004</v>
      </c>
      <c r="K425" s="142" t="s">
        <v>872</v>
      </c>
      <c r="L425" s="143" t="s">
        <v>649</v>
      </c>
      <c r="M425" s="143" t="s">
        <v>87</v>
      </c>
    </row>
    <row r="426" spans="2:13" x14ac:dyDescent="0.35">
      <c r="B426" s="145">
        <v>46037</v>
      </c>
      <c r="C426" s="146">
        <v>46037</v>
      </c>
      <c r="D426" s="147" t="s">
        <v>184</v>
      </c>
      <c r="E426" s="148">
        <v>257</v>
      </c>
      <c r="F426" s="147" t="s">
        <v>929</v>
      </c>
      <c r="G426" s="138" t="s">
        <v>87</v>
      </c>
      <c r="H426" s="149">
        <v>0</v>
      </c>
      <c r="I426" s="149">
        <v>250000</v>
      </c>
      <c r="J426" s="141">
        <f>+J425+Tabla69[[#This Row],[DEBE]]-Tabla69[[#This Row],[HABER]]</f>
        <v>806785697.71000004</v>
      </c>
      <c r="K426" s="142" t="s">
        <v>872</v>
      </c>
      <c r="L426" s="143" t="s">
        <v>649</v>
      </c>
      <c r="M426" s="143" t="s">
        <v>87</v>
      </c>
    </row>
    <row r="427" spans="2:13" x14ac:dyDescent="0.35">
      <c r="B427" s="145">
        <v>46037</v>
      </c>
      <c r="C427" s="146">
        <v>46037</v>
      </c>
      <c r="D427" s="147" t="s">
        <v>184</v>
      </c>
      <c r="E427" s="148">
        <v>258</v>
      </c>
      <c r="F427" s="147" t="s">
        <v>928</v>
      </c>
      <c r="G427" s="138" t="s">
        <v>87</v>
      </c>
      <c r="H427" s="149">
        <v>0</v>
      </c>
      <c r="I427" s="149">
        <v>250000</v>
      </c>
      <c r="J427" s="141">
        <f>+J426+Tabla69[[#This Row],[DEBE]]-Tabla69[[#This Row],[HABER]]</f>
        <v>806535697.71000004</v>
      </c>
      <c r="K427" s="142" t="s">
        <v>872</v>
      </c>
      <c r="L427" s="143" t="s">
        <v>649</v>
      </c>
      <c r="M427" s="143" t="s">
        <v>87</v>
      </c>
    </row>
    <row r="428" spans="2:13" x14ac:dyDescent="0.35">
      <c r="B428" s="145">
        <v>46037</v>
      </c>
      <c r="C428" s="146">
        <v>46037</v>
      </c>
      <c r="D428" s="147" t="s">
        <v>184</v>
      </c>
      <c r="E428" s="148">
        <v>259</v>
      </c>
      <c r="F428" s="147" t="s">
        <v>927</v>
      </c>
      <c r="G428" s="138" t="s">
        <v>87</v>
      </c>
      <c r="H428" s="149">
        <v>0</v>
      </c>
      <c r="I428" s="149">
        <v>125000</v>
      </c>
      <c r="J428" s="141">
        <f>+J427+Tabla69[[#This Row],[DEBE]]-Tabla69[[#This Row],[HABER]]</f>
        <v>806410697.71000004</v>
      </c>
      <c r="K428" s="142" t="s">
        <v>872</v>
      </c>
      <c r="L428" s="143" t="s">
        <v>649</v>
      </c>
      <c r="M428" s="143" t="s">
        <v>87</v>
      </c>
    </row>
    <row r="429" spans="2:13" x14ac:dyDescent="0.35">
      <c r="B429" s="145">
        <v>46037</v>
      </c>
      <c r="C429" s="146">
        <v>46037</v>
      </c>
      <c r="D429" s="147" t="s">
        <v>184</v>
      </c>
      <c r="E429" s="148">
        <v>260</v>
      </c>
      <c r="F429" s="147" t="s">
        <v>926</v>
      </c>
      <c r="G429" s="138" t="s">
        <v>87</v>
      </c>
      <c r="H429" s="149">
        <v>0</v>
      </c>
      <c r="I429" s="149">
        <v>250000</v>
      </c>
      <c r="J429" s="141">
        <f>+J428+Tabla69[[#This Row],[DEBE]]-Tabla69[[#This Row],[HABER]]</f>
        <v>806160697.71000004</v>
      </c>
      <c r="K429" s="142" t="s">
        <v>872</v>
      </c>
      <c r="L429" s="143" t="s">
        <v>649</v>
      </c>
      <c r="M429" s="143" t="s">
        <v>87</v>
      </c>
    </row>
    <row r="430" spans="2:13" x14ac:dyDescent="0.35">
      <c r="B430" s="145">
        <v>46037</v>
      </c>
      <c r="C430" s="146">
        <v>46037</v>
      </c>
      <c r="D430" s="147" t="s">
        <v>184</v>
      </c>
      <c r="E430" s="148">
        <v>261</v>
      </c>
      <c r="F430" s="147" t="s">
        <v>925</v>
      </c>
      <c r="G430" s="138" t="s">
        <v>87</v>
      </c>
      <c r="H430" s="149">
        <v>0</v>
      </c>
      <c r="I430" s="149">
        <v>250000</v>
      </c>
      <c r="J430" s="141">
        <f>+J429+Tabla69[[#This Row],[DEBE]]-Tabla69[[#This Row],[HABER]]</f>
        <v>805910697.71000004</v>
      </c>
      <c r="K430" s="142" t="s">
        <v>872</v>
      </c>
      <c r="L430" s="143" t="s">
        <v>649</v>
      </c>
      <c r="M430" s="143" t="s">
        <v>87</v>
      </c>
    </row>
    <row r="431" spans="2:13" x14ac:dyDescent="0.35">
      <c r="B431" s="145">
        <v>46037</v>
      </c>
      <c r="C431" s="146">
        <v>46037</v>
      </c>
      <c r="D431" s="147" t="s">
        <v>184</v>
      </c>
      <c r="E431" s="148">
        <v>262</v>
      </c>
      <c r="F431" s="147" t="s">
        <v>924</v>
      </c>
      <c r="G431" s="138" t="s">
        <v>87</v>
      </c>
      <c r="H431" s="149">
        <v>0</v>
      </c>
      <c r="I431" s="149">
        <v>125000</v>
      </c>
      <c r="J431" s="141">
        <f>+J430+Tabla69[[#This Row],[DEBE]]-Tabla69[[#This Row],[HABER]]</f>
        <v>805785697.71000004</v>
      </c>
      <c r="K431" s="142" t="s">
        <v>872</v>
      </c>
      <c r="L431" s="143" t="s">
        <v>649</v>
      </c>
      <c r="M431" s="143" t="s">
        <v>87</v>
      </c>
    </row>
    <row r="432" spans="2:13" x14ac:dyDescent="0.35">
      <c r="B432" s="145">
        <v>46037</v>
      </c>
      <c r="C432" s="146">
        <v>46037</v>
      </c>
      <c r="D432" s="147" t="s">
        <v>184</v>
      </c>
      <c r="E432" s="148">
        <v>263</v>
      </c>
      <c r="F432" s="147" t="s">
        <v>923</v>
      </c>
      <c r="G432" s="138" t="s">
        <v>87</v>
      </c>
      <c r="H432" s="149">
        <v>0</v>
      </c>
      <c r="I432" s="149">
        <v>125000</v>
      </c>
      <c r="J432" s="141">
        <f>+J431+Tabla69[[#This Row],[DEBE]]-Tabla69[[#This Row],[HABER]]</f>
        <v>805660697.71000004</v>
      </c>
      <c r="K432" s="142" t="s">
        <v>872</v>
      </c>
      <c r="L432" s="143" t="s">
        <v>649</v>
      </c>
      <c r="M432" s="143" t="s">
        <v>87</v>
      </c>
    </row>
    <row r="433" spans="2:13" x14ac:dyDescent="0.35">
      <c r="B433" s="145">
        <v>46037</v>
      </c>
      <c r="C433" s="146">
        <v>46037</v>
      </c>
      <c r="D433" s="147" t="s">
        <v>184</v>
      </c>
      <c r="E433" s="148">
        <v>264</v>
      </c>
      <c r="F433" s="147" t="s">
        <v>922</v>
      </c>
      <c r="G433" s="138" t="s">
        <v>87</v>
      </c>
      <c r="H433" s="149">
        <v>0</v>
      </c>
      <c r="I433" s="149">
        <v>62500</v>
      </c>
      <c r="J433" s="141">
        <f>+J432+Tabla69[[#This Row],[DEBE]]-Tabla69[[#This Row],[HABER]]</f>
        <v>805598197.71000004</v>
      </c>
      <c r="K433" s="142" t="s">
        <v>872</v>
      </c>
      <c r="L433" s="143" t="s">
        <v>649</v>
      </c>
      <c r="M433" s="143" t="s">
        <v>87</v>
      </c>
    </row>
    <row r="434" spans="2:13" x14ac:dyDescent="0.35">
      <c r="B434" s="145">
        <v>46037</v>
      </c>
      <c r="C434" s="146">
        <v>46037</v>
      </c>
      <c r="D434" s="147" t="s">
        <v>184</v>
      </c>
      <c r="E434" s="148">
        <v>265</v>
      </c>
      <c r="F434" s="147" t="s">
        <v>921</v>
      </c>
      <c r="G434" s="138" t="s">
        <v>87</v>
      </c>
      <c r="H434" s="149">
        <v>0</v>
      </c>
      <c r="I434" s="149">
        <v>250000</v>
      </c>
      <c r="J434" s="141">
        <f>+J433+Tabla69[[#This Row],[DEBE]]-Tabla69[[#This Row],[HABER]]</f>
        <v>805348197.71000004</v>
      </c>
      <c r="K434" s="142" t="s">
        <v>872</v>
      </c>
      <c r="L434" s="143" t="s">
        <v>649</v>
      </c>
      <c r="M434" s="143" t="s">
        <v>87</v>
      </c>
    </row>
    <row r="435" spans="2:13" x14ac:dyDescent="0.35">
      <c r="B435" s="165">
        <v>46037</v>
      </c>
      <c r="C435" s="166">
        <v>46037</v>
      </c>
      <c r="D435" s="167" t="s">
        <v>184</v>
      </c>
      <c r="E435" s="168">
        <v>266</v>
      </c>
      <c r="F435" s="167" t="s">
        <v>920</v>
      </c>
      <c r="G435" s="167" t="s">
        <v>248</v>
      </c>
      <c r="H435" s="169">
        <v>0</v>
      </c>
      <c r="I435" s="169">
        <v>62500</v>
      </c>
      <c r="J435" s="155">
        <f>+J434+Tabla69[[#This Row],[DEBE]]-Tabla69[[#This Row],[HABER]]</f>
        <v>805285697.71000004</v>
      </c>
      <c r="K435" s="156" t="s">
        <v>871</v>
      </c>
      <c r="L435" s="157" t="s">
        <v>649</v>
      </c>
      <c r="M435" s="157"/>
    </row>
    <row r="436" spans="2:13" x14ac:dyDescent="0.35">
      <c r="B436" s="165">
        <v>46037</v>
      </c>
      <c r="C436" s="166">
        <v>46037</v>
      </c>
      <c r="D436" s="167" t="s">
        <v>184</v>
      </c>
      <c r="E436" s="168">
        <v>266</v>
      </c>
      <c r="F436" s="167" t="s">
        <v>920</v>
      </c>
      <c r="G436" s="167" t="s">
        <v>248</v>
      </c>
      <c r="H436" s="169">
        <v>0</v>
      </c>
      <c r="I436" s="169">
        <v>-62500</v>
      </c>
      <c r="J436" s="155">
        <f>+J435+Tabla69[[#This Row],[DEBE]]-Tabla69[[#This Row],[HABER]]</f>
        <v>805348197.71000004</v>
      </c>
      <c r="K436" s="156" t="s">
        <v>871</v>
      </c>
      <c r="L436" s="157" t="s">
        <v>649</v>
      </c>
      <c r="M436" s="157"/>
    </row>
    <row r="437" spans="2:13" x14ac:dyDescent="0.35">
      <c r="B437" s="145">
        <v>46037</v>
      </c>
      <c r="C437" s="146">
        <v>46037</v>
      </c>
      <c r="D437" s="147" t="s">
        <v>184</v>
      </c>
      <c r="E437" s="148">
        <v>267</v>
      </c>
      <c r="F437" s="147" t="s">
        <v>919</v>
      </c>
      <c r="G437" s="138" t="s">
        <v>87</v>
      </c>
      <c r="H437" s="149">
        <v>0</v>
      </c>
      <c r="I437" s="149">
        <v>250000</v>
      </c>
      <c r="J437" s="141">
        <f>+J436+Tabla69[[#This Row],[DEBE]]-Tabla69[[#This Row],[HABER]]</f>
        <v>805098197.71000004</v>
      </c>
      <c r="K437" s="142" t="s">
        <v>872</v>
      </c>
      <c r="L437" s="143" t="s">
        <v>649</v>
      </c>
      <c r="M437" s="143" t="s">
        <v>87</v>
      </c>
    </row>
    <row r="438" spans="2:13" x14ac:dyDescent="0.35">
      <c r="B438" s="145">
        <v>46037</v>
      </c>
      <c r="C438" s="146">
        <v>46037</v>
      </c>
      <c r="D438" s="147" t="s">
        <v>184</v>
      </c>
      <c r="E438" s="148">
        <v>268</v>
      </c>
      <c r="F438" s="147" t="s">
        <v>918</v>
      </c>
      <c r="G438" s="138" t="s">
        <v>87</v>
      </c>
      <c r="H438" s="149">
        <v>0</v>
      </c>
      <c r="I438" s="149">
        <v>125000</v>
      </c>
      <c r="J438" s="141">
        <f>+J437+Tabla69[[#This Row],[DEBE]]-Tabla69[[#This Row],[HABER]]</f>
        <v>804973197.71000004</v>
      </c>
      <c r="K438" s="142" t="s">
        <v>872</v>
      </c>
      <c r="L438" s="143" t="s">
        <v>649</v>
      </c>
      <c r="M438" s="143" t="s">
        <v>87</v>
      </c>
    </row>
    <row r="439" spans="2:13" x14ac:dyDescent="0.35">
      <c r="B439" s="165">
        <v>46037</v>
      </c>
      <c r="C439" s="166">
        <v>46037</v>
      </c>
      <c r="D439" s="167" t="s">
        <v>184</v>
      </c>
      <c r="E439" s="168">
        <v>269</v>
      </c>
      <c r="F439" s="167" t="s">
        <v>1005</v>
      </c>
      <c r="G439" s="167" t="s">
        <v>247</v>
      </c>
      <c r="H439" s="169">
        <v>0</v>
      </c>
      <c r="I439" s="169">
        <v>-250000</v>
      </c>
      <c r="J439" s="155">
        <f>+J438+Tabla69[[#This Row],[DEBE]]-Tabla69[[#This Row],[HABER]]</f>
        <v>805223197.71000004</v>
      </c>
      <c r="K439" s="156" t="s">
        <v>871</v>
      </c>
      <c r="L439" s="157" t="s">
        <v>1507</v>
      </c>
      <c r="M439" s="157"/>
    </row>
    <row r="440" spans="2:13" x14ac:dyDescent="0.35">
      <c r="B440" s="165">
        <v>46037</v>
      </c>
      <c r="C440" s="166">
        <v>46037</v>
      </c>
      <c r="D440" s="167" t="s">
        <v>184</v>
      </c>
      <c r="E440" s="168">
        <v>269</v>
      </c>
      <c r="F440" s="167" t="s">
        <v>1005</v>
      </c>
      <c r="G440" s="167" t="s">
        <v>247</v>
      </c>
      <c r="H440" s="169">
        <v>0</v>
      </c>
      <c r="I440" s="169">
        <v>250000</v>
      </c>
      <c r="J440" s="155">
        <f>+J439+Tabla69[[#This Row],[DEBE]]-Tabla69[[#This Row],[HABER]]</f>
        <v>804973197.71000004</v>
      </c>
      <c r="K440" s="156" t="s">
        <v>871</v>
      </c>
      <c r="L440" s="157" t="s">
        <v>1507</v>
      </c>
      <c r="M440" s="157"/>
    </row>
    <row r="441" spans="2:13" x14ac:dyDescent="0.35">
      <c r="B441" s="145">
        <v>46037</v>
      </c>
      <c r="C441" s="146">
        <v>46037</v>
      </c>
      <c r="D441" s="147" t="s">
        <v>184</v>
      </c>
      <c r="E441" s="148">
        <v>270</v>
      </c>
      <c r="F441" s="147" t="s">
        <v>1000</v>
      </c>
      <c r="G441" s="138" t="s">
        <v>87</v>
      </c>
      <c r="H441" s="149">
        <v>0</v>
      </c>
      <c r="I441" s="149">
        <v>125000</v>
      </c>
      <c r="J441" s="141">
        <f>+J440+Tabla69[[#This Row],[DEBE]]-Tabla69[[#This Row],[HABER]]</f>
        <v>804848197.71000004</v>
      </c>
      <c r="K441" s="142" t="s">
        <v>872</v>
      </c>
      <c r="L441" s="143" t="s">
        <v>649</v>
      </c>
      <c r="M441" s="143" t="s">
        <v>87</v>
      </c>
    </row>
    <row r="442" spans="2:13" x14ac:dyDescent="0.35">
      <c r="B442" s="165">
        <v>46037</v>
      </c>
      <c r="C442" s="166">
        <v>46037</v>
      </c>
      <c r="D442" s="167" t="s">
        <v>184</v>
      </c>
      <c r="E442" s="168">
        <v>271</v>
      </c>
      <c r="F442" s="167" t="s">
        <v>980</v>
      </c>
      <c r="G442" s="167" t="s">
        <v>248</v>
      </c>
      <c r="H442" s="169">
        <v>0</v>
      </c>
      <c r="I442" s="169">
        <v>125000</v>
      </c>
      <c r="J442" s="155">
        <f>+J441+Tabla69[[#This Row],[DEBE]]-Tabla69[[#This Row],[HABER]]</f>
        <v>804723197.71000004</v>
      </c>
      <c r="K442" s="156" t="s">
        <v>871</v>
      </c>
      <c r="L442" s="157" t="s">
        <v>649</v>
      </c>
      <c r="M442" s="157"/>
    </row>
    <row r="443" spans="2:13" x14ac:dyDescent="0.35">
      <c r="B443" s="165">
        <v>46037</v>
      </c>
      <c r="C443" s="166">
        <v>46037</v>
      </c>
      <c r="D443" s="167" t="s">
        <v>184</v>
      </c>
      <c r="E443" s="168">
        <v>271</v>
      </c>
      <c r="F443" s="167" t="s">
        <v>980</v>
      </c>
      <c r="G443" s="167" t="s">
        <v>248</v>
      </c>
      <c r="H443" s="169">
        <v>0</v>
      </c>
      <c r="I443" s="169">
        <v>-125000</v>
      </c>
      <c r="J443" s="155">
        <f>+J442+Tabla69[[#This Row],[DEBE]]-Tabla69[[#This Row],[HABER]]</f>
        <v>804848197.71000004</v>
      </c>
      <c r="K443" s="156" t="s">
        <v>871</v>
      </c>
      <c r="L443" s="157" t="s">
        <v>649</v>
      </c>
      <c r="M443" s="157"/>
    </row>
    <row r="444" spans="2:13" x14ac:dyDescent="0.35">
      <c r="B444" s="165">
        <v>46037</v>
      </c>
      <c r="C444" s="166">
        <v>46037</v>
      </c>
      <c r="D444" s="167" t="s">
        <v>184</v>
      </c>
      <c r="E444" s="168">
        <v>272</v>
      </c>
      <c r="F444" s="167" t="s">
        <v>973</v>
      </c>
      <c r="G444" s="167" t="s">
        <v>247</v>
      </c>
      <c r="H444" s="169">
        <v>0</v>
      </c>
      <c r="I444" s="169">
        <v>125000</v>
      </c>
      <c r="J444" s="155">
        <f>+J443+Tabla69[[#This Row],[DEBE]]-Tabla69[[#This Row],[HABER]]</f>
        <v>804723197.71000004</v>
      </c>
      <c r="K444" s="156" t="s">
        <v>871</v>
      </c>
      <c r="L444" s="157" t="s">
        <v>649</v>
      </c>
      <c r="M444" s="157"/>
    </row>
    <row r="445" spans="2:13" x14ac:dyDescent="0.35">
      <c r="B445" s="165">
        <v>46037</v>
      </c>
      <c r="C445" s="166">
        <v>46037</v>
      </c>
      <c r="D445" s="167" t="s">
        <v>184</v>
      </c>
      <c r="E445" s="168">
        <v>272</v>
      </c>
      <c r="F445" s="167" t="s">
        <v>973</v>
      </c>
      <c r="G445" s="167" t="s">
        <v>247</v>
      </c>
      <c r="H445" s="169">
        <v>0</v>
      </c>
      <c r="I445" s="169">
        <v>-125000</v>
      </c>
      <c r="J445" s="155">
        <f>+J444+Tabla69[[#This Row],[DEBE]]-Tabla69[[#This Row],[HABER]]</f>
        <v>804848197.71000004</v>
      </c>
      <c r="K445" s="156" t="s">
        <v>871</v>
      </c>
      <c r="L445" s="157" t="s">
        <v>649</v>
      </c>
      <c r="M445" s="157"/>
    </row>
    <row r="446" spans="2:13" x14ac:dyDescent="0.35">
      <c r="B446" s="165">
        <v>46037</v>
      </c>
      <c r="C446" s="166">
        <v>46037</v>
      </c>
      <c r="D446" s="167" t="s">
        <v>184</v>
      </c>
      <c r="E446" s="168">
        <v>273</v>
      </c>
      <c r="F446" s="167" t="s">
        <v>972</v>
      </c>
      <c r="G446" s="167"/>
      <c r="H446" s="169">
        <v>0</v>
      </c>
      <c r="I446" s="169">
        <v>250000</v>
      </c>
      <c r="J446" s="155">
        <f>+J445+Tabla69[[#This Row],[DEBE]]-Tabla69[[#This Row],[HABER]]</f>
        <v>804598197.71000004</v>
      </c>
      <c r="K446" s="156" t="s">
        <v>871</v>
      </c>
      <c r="L446" s="157" t="s">
        <v>1507</v>
      </c>
      <c r="M446" s="157"/>
    </row>
    <row r="447" spans="2:13" x14ac:dyDescent="0.35">
      <c r="B447" s="165">
        <v>46037</v>
      </c>
      <c r="C447" s="166">
        <v>46037</v>
      </c>
      <c r="D447" s="167" t="s">
        <v>184</v>
      </c>
      <c r="E447" s="168">
        <v>273</v>
      </c>
      <c r="F447" s="167" t="s">
        <v>972</v>
      </c>
      <c r="G447" s="167"/>
      <c r="H447" s="169">
        <v>0</v>
      </c>
      <c r="I447" s="169">
        <v>-250000</v>
      </c>
      <c r="J447" s="155">
        <f>+J446+Tabla69[[#This Row],[DEBE]]-Tabla69[[#This Row],[HABER]]</f>
        <v>804848197.71000004</v>
      </c>
      <c r="K447" s="156" t="s">
        <v>871</v>
      </c>
      <c r="L447" s="157" t="s">
        <v>1507</v>
      </c>
      <c r="M447" s="157"/>
    </row>
    <row r="448" spans="2:13" x14ac:dyDescent="0.35">
      <c r="B448" s="165">
        <v>46037</v>
      </c>
      <c r="C448" s="166">
        <v>46037</v>
      </c>
      <c r="D448" s="167" t="s">
        <v>184</v>
      </c>
      <c r="E448" s="168">
        <v>274</v>
      </c>
      <c r="F448" s="167" t="s">
        <v>968</v>
      </c>
      <c r="G448" s="167" t="s">
        <v>87</v>
      </c>
      <c r="H448" s="169">
        <v>0</v>
      </c>
      <c r="I448" s="169">
        <v>-125000</v>
      </c>
      <c r="J448" s="155">
        <f>+J447+Tabla69[[#This Row],[DEBE]]-Tabla69[[#This Row],[HABER]]</f>
        <v>804973197.71000004</v>
      </c>
      <c r="K448" s="156" t="s">
        <v>871</v>
      </c>
      <c r="L448" s="157" t="s">
        <v>1507</v>
      </c>
      <c r="M448" s="157"/>
    </row>
    <row r="449" spans="2:13" x14ac:dyDescent="0.35">
      <c r="B449" s="165">
        <v>46037</v>
      </c>
      <c r="C449" s="166">
        <v>46037</v>
      </c>
      <c r="D449" s="167" t="s">
        <v>184</v>
      </c>
      <c r="E449" s="168">
        <v>274</v>
      </c>
      <c r="F449" s="167" t="s">
        <v>968</v>
      </c>
      <c r="G449" s="167" t="s">
        <v>87</v>
      </c>
      <c r="H449" s="169">
        <v>0</v>
      </c>
      <c r="I449" s="169">
        <v>125000</v>
      </c>
      <c r="J449" s="155">
        <f>+J448+Tabla69[[#This Row],[DEBE]]-Tabla69[[#This Row],[HABER]]</f>
        <v>804848197.71000004</v>
      </c>
      <c r="K449" s="156" t="s">
        <v>871</v>
      </c>
      <c r="L449" s="157" t="s">
        <v>1507</v>
      </c>
      <c r="M449" s="157"/>
    </row>
    <row r="450" spans="2:13" x14ac:dyDescent="0.35">
      <c r="B450" s="145">
        <v>46037</v>
      </c>
      <c r="C450" s="146">
        <v>46037</v>
      </c>
      <c r="D450" s="147" t="s">
        <v>184</v>
      </c>
      <c r="E450" s="148">
        <v>275</v>
      </c>
      <c r="F450" s="147" t="s">
        <v>954</v>
      </c>
      <c r="G450" s="138" t="s">
        <v>87</v>
      </c>
      <c r="H450" s="149">
        <v>0</v>
      </c>
      <c r="I450" s="149">
        <v>62500</v>
      </c>
      <c r="J450" s="141">
        <f>+J449+Tabla69[[#This Row],[DEBE]]-Tabla69[[#This Row],[HABER]]</f>
        <v>804785697.71000004</v>
      </c>
      <c r="K450" s="142" t="s">
        <v>872</v>
      </c>
      <c r="L450" s="143" t="s">
        <v>649</v>
      </c>
      <c r="M450" s="143" t="s">
        <v>87</v>
      </c>
    </row>
    <row r="451" spans="2:13" x14ac:dyDescent="0.35">
      <c r="B451" s="145">
        <v>46037</v>
      </c>
      <c r="C451" s="146">
        <v>46037</v>
      </c>
      <c r="D451" s="147" t="s">
        <v>184</v>
      </c>
      <c r="E451" s="148">
        <v>276</v>
      </c>
      <c r="F451" s="147" t="s">
        <v>948</v>
      </c>
      <c r="G451" s="138" t="s">
        <v>87</v>
      </c>
      <c r="H451" s="149">
        <v>0</v>
      </c>
      <c r="I451" s="149">
        <v>125000</v>
      </c>
      <c r="J451" s="141">
        <f>+J450+Tabla69[[#This Row],[DEBE]]-Tabla69[[#This Row],[HABER]]</f>
        <v>804660697.71000004</v>
      </c>
      <c r="K451" s="142" t="s">
        <v>872</v>
      </c>
      <c r="L451" s="143" t="s">
        <v>649</v>
      </c>
      <c r="M451" s="143" t="s">
        <v>87</v>
      </c>
    </row>
    <row r="452" spans="2:13" x14ac:dyDescent="0.35">
      <c r="B452" s="145">
        <v>46037</v>
      </c>
      <c r="C452" s="146">
        <v>46037</v>
      </c>
      <c r="D452" s="147" t="s">
        <v>184</v>
      </c>
      <c r="E452" s="148">
        <v>277</v>
      </c>
      <c r="F452" s="147" t="s">
        <v>937</v>
      </c>
      <c r="G452" s="138" t="s">
        <v>87</v>
      </c>
      <c r="H452" s="149">
        <v>0</v>
      </c>
      <c r="I452" s="149">
        <v>62500</v>
      </c>
      <c r="J452" s="141">
        <f>+J451+Tabla69[[#This Row],[DEBE]]-Tabla69[[#This Row],[HABER]]</f>
        <v>804598197.71000004</v>
      </c>
      <c r="K452" s="142" t="s">
        <v>872</v>
      </c>
      <c r="L452" s="143" t="s">
        <v>649</v>
      </c>
      <c r="M452" s="143" t="s">
        <v>87</v>
      </c>
    </row>
    <row r="453" spans="2:13" x14ac:dyDescent="0.35">
      <c r="B453" s="165">
        <v>46037</v>
      </c>
      <c r="C453" s="166">
        <v>46037</v>
      </c>
      <c r="D453" s="167" t="s">
        <v>184</v>
      </c>
      <c r="E453" s="168">
        <v>278</v>
      </c>
      <c r="F453" s="167" t="s">
        <v>920</v>
      </c>
      <c r="G453" s="167" t="s">
        <v>248</v>
      </c>
      <c r="H453" s="169">
        <v>0</v>
      </c>
      <c r="I453" s="169">
        <v>-62500</v>
      </c>
      <c r="J453" s="155">
        <f>+J452+Tabla69[[#This Row],[DEBE]]-Tabla69[[#This Row],[HABER]]</f>
        <v>804660697.71000004</v>
      </c>
      <c r="K453" s="156" t="s">
        <v>871</v>
      </c>
      <c r="L453" s="157" t="s">
        <v>649</v>
      </c>
      <c r="M453" s="157"/>
    </row>
    <row r="454" spans="2:13" x14ac:dyDescent="0.35">
      <c r="B454" s="165">
        <v>46037</v>
      </c>
      <c r="C454" s="166">
        <v>46037</v>
      </c>
      <c r="D454" s="167" t="s">
        <v>184</v>
      </c>
      <c r="E454" s="168">
        <v>278</v>
      </c>
      <c r="F454" s="167" t="s">
        <v>920</v>
      </c>
      <c r="G454" s="167" t="s">
        <v>248</v>
      </c>
      <c r="H454" s="169">
        <v>0</v>
      </c>
      <c r="I454" s="169">
        <v>62500</v>
      </c>
      <c r="J454" s="155">
        <f>+J453+Tabla69[[#This Row],[DEBE]]-Tabla69[[#This Row],[HABER]]</f>
        <v>804598197.71000004</v>
      </c>
      <c r="K454" s="156" t="s">
        <v>871</v>
      </c>
      <c r="L454" s="157" t="s">
        <v>649</v>
      </c>
      <c r="M454" s="157"/>
    </row>
    <row r="455" spans="2:13" x14ac:dyDescent="0.35">
      <c r="B455" s="165">
        <v>46037</v>
      </c>
      <c r="C455" s="166">
        <v>46037</v>
      </c>
      <c r="D455" s="167" t="s">
        <v>184</v>
      </c>
      <c r="E455" s="168">
        <v>279</v>
      </c>
      <c r="F455" s="167" t="s">
        <v>956</v>
      </c>
      <c r="G455" s="167" t="s">
        <v>248</v>
      </c>
      <c r="H455" s="169">
        <v>0</v>
      </c>
      <c r="I455" s="169">
        <v>-250000</v>
      </c>
      <c r="J455" s="155">
        <f>+J454+Tabla69[[#This Row],[DEBE]]-Tabla69[[#This Row],[HABER]]</f>
        <v>804848197.71000004</v>
      </c>
      <c r="K455" s="156" t="s">
        <v>871</v>
      </c>
      <c r="L455" s="157" t="s">
        <v>649</v>
      </c>
      <c r="M455" s="157"/>
    </row>
    <row r="456" spans="2:13" x14ac:dyDescent="0.35">
      <c r="B456" s="165">
        <v>46037</v>
      </c>
      <c r="C456" s="166">
        <v>46037</v>
      </c>
      <c r="D456" s="167" t="s">
        <v>184</v>
      </c>
      <c r="E456" s="168">
        <v>279</v>
      </c>
      <c r="F456" s="167" t="s">
        <v>956</v>
      </c>
      <c r="G456" s="167" t="s">
        <v>248</v>
      </c>
      <c r="H456" s="169">
        <v>0</v>
      </c>
      <c r="I456" s="169">
        <v>250000</v>
      </c>
      <c r="J456" s="155">
        <f>+J455+Tabla69[[#This Row],[DEBE]]-Tabla69[[#This Row],[HABER]]</f>
        <v>804598197.71000004</v>
      </c>
      <c r="K456" s="156" t="s">
        <v>871</v>
      </c>
      <c r="L456" s="157" t="s">
        <v>649</v>
      </c>
      <c r="M456" s="157"/>
    </row>
    <row r="457" spans="2:13" x14ac:dyDescent="0.35">
      <c r="B457" s="145">
        <v>46037</v>
      </c>
      <c r="C457" s="146">
        <v>46037</v>
      </c>
      <c r="D457" s="147" t="s">
        <v>184</v>
      </c>
      <c r="E457" s="148">
        <v>280</v>
      </c>
      <c r="F457" s="147" t="s">
        <v>1005</v>
      </c>
      <c r="G457" s="138" t="s">
        <v>87</v>
      </c>
      <c r="H457" s="149">
        <v>0</v>
      </c>
      <c r="I457" s="149">
        <v>250000</v>
      </c>
      <c r="J457" s="141">
        <f>+J456+Tabla69[[#This Row],[DEBE]]-Tabla69[[#This Row],[HABER]]</f>
        <v>804348197.71000004</v>
      </c>
      <c r="K457" s="142" t="s">
        <v>872</v>
      </c>
      <c r="L457" s="143" t="s">
        <v>649</v>
      </c>
      <c r="M457" s="143" t="s">
        <v>87</v>
      </c>
    </row>
    <row r="458" spans="2:13" x14ac:dyDescent="0.35">
      <c r="B458" s="145">
        <v>46037</v>
      </c>
      <c r="C458" s="146">
        <v>46037</v>
      </c>
      <c r="D458" s="147" t="s">
        <v>184</v>
      </c>
      <c r="E458" s="148">
        <v>281</v>
      </c>
      <c r="F458" s="147" t="s">
        <v>996</v>
      </c>
      <c r="G458" s="138" t="s">
        <v>87</v>
      </c>
      <c r="H458" s="149">
        <v>0</v>
      </c>
      <c r="I458" s="149">
        <v>250000</v>
      </c>
      <c r="J458" s="141">
        <f>+J457+Tabla69[[#This Row],[DEBE]]-Tabla69[[#This Row],[HABER]]</f>
        <v>804098197.71000004</v>
      </c>
      <c r="K458" s="142" t="s">
        <v>872</v>
      </c>
      <c r="L458" s="143" t="s">
        <v>649</v>
      </c>
      <c r="M458" s="143" t="s">
        <v>87</v>
      </c>
    </row>
    <row r="459" spans="2:13" x14ac:dyDescent="0.35">
      <c r="B459" s="165">
        <v>46037</v>
      </c>
      <c r="C459" s="166">
        <v>46037</v>
      </c>
      <c r="D459" s="167" t="s">
        <v>184</v>
      </c>
      <c r="E459" s="168">
        <v>282</v>
      </c>
      <c r="F459" s="167" t="s">
        <v>980</v>
      </c>
      <c r="G459" s="167" t="s">
        <v>248</v>
      </c>
      <c r="H459" s="169">
        <v>0</v>
      </c>
      <c r="I459" s="169">
        <v>-125000</v>
      </c>
      <c r="J459" s="155">
        <f>+J458+Tabla69[[#This Row],[DEBE]]-Tabla69[[#This Row],[HABER]]</f>
        <v>804223197.71000004</v>
      </c>
      <c r="K459" s="156" t="s">
        <v>871</v>
      </c>
      <c r="L459" s="157" t="s">
        <v>649</v>
      </c>
      <c r="M459" s="157"/>
    </row>
    <row r="460" spans="2:13" x14ac:dyDescent="0.35">
      <c r="B460" s="165">
        <v>46037</v>
      </c>
      <c r="C460" s="166">
        <v>46037</v>
      </c>
      <c r="D460" s="167" t="s">
        <v>184</v>
      </c>
      <c r="E460" s="168">
        <v>282</v>
      </c>
      <c r="F460" s="167" t="s">
        <v>980</v>
      </c>
      <c r="G460" s="167" t="s">
        <v>248</v>
      </c>
      <c r="H460" s="169">
        <v>0</v>
      </c>
      <c r="I460" s="169">
        <v>125000</v>
      </c>
      <c r="J460" s="155">
        <f>+J459+Tabla69[[#This Row],[DEBE]]-Tabla69[[#This Row],[HABER]]</f>
        <v>804098197.71000004</v>
      </c>
      <c r="K460" s="156" t="s">
        <v>871</v>
      </c>
      <c r="L460" s="157" t="s">
        <v>649</v>
      </c>
      <c r="M460" s="157"/>
    </row>
    <row r="461" spans="2:13" x14ac:dyDescent="0.35">
      <c r="B461" s="145">
        <v>46037</v>
      </c>
      <c r="C461" s="146">
        <v>46037</v>
      </c>
      <c r="D461" s="147" t="s">
        <v>184</v>
      </c>
      <c r="E461" s="148">
        <v>283</v>
      </c>
      <c r="F461" s="147" t="s">
        <v>973</v>
      </c>
      <c r="G461" s="138" t="s">
        <v>87</v>
      </c>
      <c r="H461" s="149">
        <v>0</v>
      </c>
      <c r="I461" s="149">
        <v>125000</v>
      </c>
      <c r="J461" s="141">
        <f>+J460+Tabla69[[#This Row],[DEBE]]-Tabla69[[#This Row],[HABER]]</f>
        <v>803973197.71000004</v>
      </c>
      <c r="K461" s="142" t="s">
        <v>872</v>
      </c>
      <c r="L461" s="143" t="s">
        <v>649</v>
      </c>
      <c r="M461" s="143" t="s">
        <v>87</v>
      </c>
    </row>
    <row r="462" spans="2:13" x14ac:dyDescent="0.35">
      <c r="B462" s="145">
        <v>46037</v>
      </c>
      <c r="C462" s="146">
        <v>46037</v>
      </c>
      <c r="D462" s="147" t="s">
        <v>184</v>
      </c>
      <c r="E462" s="148">
        <v>284</v>
      </c>
      <c r="F462" s="147" t="s">
        <v>972</v>
      </c>
      <c r="G462" s="138" t="s">
        <v>87</v>
      </c>
      <c r="H462" s="149">
        <v>0</v>
      </c>
      <c r="I462" s="149">
        <v>250000</v>
      </c>
      <c r="J462" s="141">
        <f>+J461+Tabla69[[#This Row],[DEBE]]-Tabla69[[#This Row],[HABER]]</f>
        <v>803723197.71000004</v>
      </c>
      <c r="K462" s="142" t="s">
        <v>872</v>
      </c>
      <c r="L462" s="143" t="s">
        <v>649</v>
      </c>
      <c r="M462" s="143" t="s">
        <v>87</v>
      </c>
    </row>
    <row r="463" spans="2:13" x14ac:dyDescent="0.35">
      <c r="B463" s="145">
        <v>46037</v>
      </c>
      <c r="C463" s="146">
        <v>46037</v>
      </c>
      <c r="D463" s="147" t="s">
        <v>184</v>
      </c>
      <c r="E463" s="148">
        <v>285</v>
      </c>
      <c r="F463" s="147" t="s">
        <v>968</v>
      </c>
      <c r="G463" s="138" t="s">
        <v>87</v>
      </c>
      <c r="H463" s="149">
        <v>0</v>
      </c>
      <c r="I463" s="149">
        <v>125000</v>
      </c>
      <c r="J463" s="141">
        <f>+J462+Tabla69[[#This Row],[DEBE]]-Tabla69[[#This Row],[HABER]]</f>
        <v>803598197.71000004</v>
      </c>
      <c r="K463" s="142" t="s">
        <v>872</v>
      </c>
      <c r="L463" s="143" t="s">
        <v>649</v>
      </c>
      <c r="M463" s="143" t="s">
        <v>87</v>
      </c>
    </row>
    <row r="464" spans="2:13" x14ac:dyDescent="0.35">
      <c r="B464" s="145">
        <v>46037</v>
      </c>
      <c r="C464" s="146">
        <v>46037</v>
      </c>
      <c r="D464" s="147" t="s">
        <v>184</v>
      </c>
      <c r="E464" s="148">
        <v>286</v>
      </c>
      <c r="F464" s="147" t="s">
        <v>956</v>
      </c>
      <c r="G464" s="138" t="s">
        <v>87</v>
      </c>
      <c r="H464" s="149">
        <v>0</v>
      </c>
      <c r="I464" s="149">
        <v>250000</v>
      </c>
      <c r="J464" s="141">
        <f>+J463+Tabla69[[#This Row],[DEBE]]-Tabla69[[#This Row],[HABER]]</f>
        <v>803348197.71000004</v>
      </c>
      <c r="K464" s="142" t="s">
        <v>872</v>
      </c>
      <c r="L464" s="143" t="s">
        <v>649</v>
      </c>
      <c r="M464" s="143" t="s">
        <v>87</v>
      </c>
    </row>
    <row r="465" spans="2:13" x14ac:dyDescent="0.35">
      <c r="B465" s="145">
        <v>46037</v>
      </c>
      <c r="C465" s="146">
        <v>46037</v>
      </c>
      <c r="D465" s="147" t="s">
        <v>184</v>
      </c>
      <c r="E465" s="148">
        <v>287</v>
      </c>
      <c r="F465" s="147" t="s">
        <v>920</v>
      </c>
      <c r="G465" s="138" t="s">
        <v>87</v>
      </c>
      <c r="H465" s="149">
        <v>0</v>
      </c>
      <c r="I465" s="149">
        <v>62500</v>
      </c>
      <c r="J465" s="141">
        <f>+J464+Tabla69[[#This Row],[DEBE]]-Tabla69[[#This Row],[HABER]]</f>
        <v>803285697.71000004</v>
      </c>
      <c r="K465" s="142" t="s">
        <v>872</v>
      </c>
      <c r="L465" s="143" t="s">
        <v>649</v>
      </c>
      <c r="M465" s="143" t="s">
        <v>87</v>
      </c>
    </row>
    <row r="466" spans="2:13" x14ac:dyDescent="0.35">
      <c r="B466" s="145">
        <v>46037</v>
      </c>
      <c r="C466" s="146">
        <v>46037</v>
      </c>
      <c r="D466" s="147" t="s">
        <v>184</v>
      </c>
      <c r="E466" s="148">
        <v>288</v>
      </c>
      <c r="F466" s="147" t="s">
        <v>980</v>
      </c>
      <c r="G466" s="138" t="s">
        <v>87</v>
      </c>
      <c r="H466" s="149">
        <v>0</v>
      </c>
      <c r="I466" s="149">
        <v>125000</v>
      </c>
      <c r="J466" s="141">
        <f>+J465+Tabla69[[#This Row],[DEBE]]-Tabla69[[#This Row],[HABER]]</f>
        <v>803160697.71000004</v>
      </c>
      <c r="K466" s="142" t="s">
        <v>872</v>
      </c>
      <c r="L466" s="143" t="s">
        <v>649</v>
      </c>
      <c r="M466" s="143" t="s">
        <v>87</v>
      </c>
    </row>
    <row r="467" spans="2:13" x14ac:dyDescent="0.35">
      <c r="B467" s="145">
        <v>46037</v>
      </c>
      <c r="C467" s="146">
        <v>46037</v>
      </c>
      <c r="D467" s="147" t="s">
        <v>184</v>
      </c>
      <c r="E467" s="148">
        <v>289</v>
      </c>
      <c r="F467" s="147" t="s">
        <v>1016</v>
      </c>
      <c r="G467" s="147" t="s">
        <v>252</v>
      </c>
      <c r="H467" s="149">
        <v>0</v>
      </c>
      <c r="I467" s="149">
        <v>83409132</v>
      </c>
      <c r="J467" s="141">
        <f>+J466+Tabla69[[#This Row],[DEBE]]-Tabla69[[#This Row],[HABER]]</f>
        <v>719751565.71000004</v>
      </c>
      <c r="K467" s="142" t="s">
        <v>872</v>
      </c>
      <c r="L467" s="143" t="s">
        <v>650</v>
      </c>
      <c r="M467" s="143" t="s">
        <v>92</v>
      </c>
    </row>
    <row r="468" spans="2:13" x14ac:dyDescent="0.35">
      <c r="B468" s="145">
        <v>46038</v>
      </c>
      <c r="C468" s="146">
        <v>46036</v>
      </c>
      <c r="D468" s="147" t="s">
        <v>185</v>
      </c>
      <c r="E468" s="148">
        <v>10</v>
      </c>
      <c r="F468" s="147" t="s">
        <v>198</v>
      </c>
      <c r="G468" s="147" t="s">
        <v>199</v>
      </c>
      <c r="H468" s="149">
        <v>0</v>
      </c>
      <c r="I468" s="149">
        <v>750000000</v>
      </c>
      <c r="J468" s="141">
        <f>+J467+Tabla69[[#This Row],[DEBE]]-Tabla69[[#This Row],[HABER]]</f>
        <v>-30248434.289999962</v>
      </c>
      <c r="K468" s="142" t="s">
        <v>872</v>
      </c>
      <c r="L468" s="143" t="s">
        <v>651</v>
      </c>
      <c r="M468" s="143" t="s">
        <v>83</v>
      </c>
    </row>
    <row r="469" spans="2:13" x14ac:dyDescent="0.35">
      <c r="B469" s="145">
        <v>46041</v>
      </c>
      <c r="C469" s="146">
        <v>46037</v>
      </c>
      <c r="D469" s="138" t="s">
        <v>873</v>
      </c>
      <c r="E469" s="148">
        <v>13</v>
      </c>
      <c r="F469" s="147" t="s">
        <v>1464</v>
      </c>
      <c r="G469" s="147" t="s">
        <v>253</v>
      </c>
      <c r="H469" s="149">
        <v>49339046.630000003</v>
      </c>
      <c r="I469" s="149">
        <v>0</v>
      </c>
      <c r="J469" s="141">
        <f>+J468+Tabla69[[#This Row],[DEBE]]-Tabla69[[#This Row],[HABER]]</f>
        <v>19090612.340000041</v>
      </c>
      <c r="K469" s="142" t="s">
        <v>872</v>
      </c>
      <c r="L469" s="143" t="s">
        <v>652</v>
      </c>
      <c r="M469" s="143" t="s">
        <v>83</v>
      </c>
    </row>
    <row r="470" spans="2:13" x14ac:dyDescent="0.35">
      <c r="B470" s="145">
        <v>46041</v>
      </c>
      <c r="C470" s="146">
        <v>46037</v>
      </c>
      <c r="D470" s="138" t="s">
        <v>873</v>
      </c>
      <c r="E470" s="148">
        <v>15</v>
      </c>
      <c r="F470" s="147" t="s">
        <v>254</v>
      </c>
      <c r="G470" s="147" t="s">
        <v>253</v>
      </c>
      <c r="H470" s="149">
        <v>98678093.260000005</v>
      </c>
      <c r="I470" s="149">
        <v>0</v>
      </c>
      <c r="J470" s="141">
        <f>+J469+Tabla69[[#This Row],[DEBE]]-Tabla69[[#This Row],[HABER]]</f>
        <v>117768705.60000005</v>
      </c>
      <c r="K470" s="142" t="s">
        <v>872</v>
      </c>
      <c r="L470" s="143" t="s">
        <v>653</v>
      </c>
      <c r="M470" s="143" t="s">
        <v>83</v>
      </c>
    </row>
    <row r="471" spans="2:13" x14ac:dyDescent="0.35">
      <c r="B471" s="145">
        <v>46041</v>
      </c>
      <c r="C471" s="146">
        <v>46037</v>
      </c>
      <c r="D471" s="138" t="s">
        <v>874</v>
      </c>
      <c r="E471" s="148">
        <v>40</v>
      </c>
      <c r="F471" s="147" t="s">
        <v>254</v>
      </c>
      <c r="G471" s="147" t="s">
        <v>255</v>
      </c>
      <c r="H471" s="149">
        <v>1321906.75</v>
      </c>
      <c r="I471" s="149">
        <v>0</v>
      </c>
      <c r="J471" s="141">
        <f>+J470+Tabla69[[#This Row],[DEBE]]-Tabla69[[#This Row],[HABER]]</f>
        <v>119090612.35000005</v>
      </c>
      <c r="K471" s="142" t="s">
        <v>872</v>
      </c>
      <c r="L471" s="143" t="s">
        <v>1452</v>
      </c>
      <c r="M471" s="143" t="s">
        <v>83</v>
      </c>
    </row>
    <row r="472" spans="2:13" x14ac:dyDescent="0.35">
      <c r="B472" s="145">
        <v>46041</v>
      </c>
      <c r="C472" s="146">
        <v>46037</v>
      </c>
      <c r="D472" s="138" t="s">
        <v>874</v>
      </c>
      <c r="E472" s="148">
        <v>41</v>
      </c>
      <c r="F472" s="147" t="s">
        <v>1464</v>
      </c>
      <c r="G472" s="147" t="s">
        <v>256</v>
      </c>
      <c r="H472" s="149">
        <v>660953.37</v>
      </c>
      <c r="I472" s="149">
        <v>0</v>
      </c>
      <c r="J472" s="141">
        <f>+J471+Tabla69[[#This Row],[DEBE]]-Tabla69[[#This Row],[HABER]]</f>
        <v>119751565.72000006</v>
      </c>
      <c r="K472" s="142" t="s">
        <v>872</v>
      </c>
      <c r="L472" s="143" t="s">
        <v>1453</v>
      </c>
      <c r="M472" s="143" t="s">
        <v>83</v>
      </c>
    </row>
    <row r="473" spans="2:13" x14ac:dyDescent="0.35">
      <c r="B473" s="165">
        <v>46041</v>
      </c>
      <c r="C473" s="166">
        <v>46041</v>
      </c>
      <c r="D473" s="167" t="s">
        <v>184</v>
      </c>
      <c r="E473" s="168">
        <v>291</v>
      </c>
      <c r="F473" s="167" t="s">
        <v>1017</v>
      </c>
      <c r="G473" s="167" t="s">
        <v>257</v>
      </c>
      <c r="H473" s="169">
        <v>0</v>
      </c>
      <c r="I473" s="169">
        <v>-432000</v>
      </c>
      <c r="J473" s="155">
        <f>+J472+Tabla69[[#This Row],[DEBE]]-Tabla69[[#This Row],[HABER]]</f>
        <v>120183565.72000006</v>
      </c>
      <c r="K473" s="156" t="s">
        <v>871</v>
      </c>
      <c r="L473" s="157" t="s">
        <v>654</v>
      </c>
      <c r="M473" s="157"/>
    </row>
    <row r="474" spans="2:13" x14ac:dyDescent="0.35">
      <c r="B474" s="165">
        <v>46041</v>
      </c>
      <c r="C474" s="166">
        <v>46041</v>
      </c>
      <c r="D474" s="167" t="s">
        <v>184</v>
      </c>
      <c r="E474" s="168">
        <v>291</v>
      </c>
      <c r="F474" s="167" t="s">
        <v>1017</v>
      </c>
      <c r="G474" s="167" t="s">
        <v>257</v>
      </c>
      <c r="H474" s="169">
        <v>0</v>
      </c>
      <c r="I474" s="169">
        <v>432000</v>
      </c>
      <c r="J474" s="155">
        <f>+J473+Tabla69[[#This Row],[DEBE]]-Tabla69[[#This Row],[HABER]]</f>
        <v>119751565.72000006</v>
      </c>
      <c r="K474" s="156" t="s">
        <v>871</v>
      </c>
      <c r="L474" s="157" t="s">
        <v>654</v>
      </c>
      <c r="M474" s="157"/>
    </row>
    <row r="475" spans="2:13" x14ac:dyDescent="0.35">
      <c r="B475" s="145">
        <v>46041</v>
      </c>
      <c r="C475" s="146">
        <v>46041</v>
      </c>
      <c r="D475" s="147" t="s">
        <v>184</v>
      </c>
      <c r="E475" s="148">
        <v>292</v>
      </c>
      <c r="F475" s="147" t="s">
        <v>1018</v>
      </c>
      <c r="G475" s="147" t="s">
        <v>258</v>
      </c>
      <c r="H475" s="149">
        <v>0</v>
      </c>
      <c r="I475" s="149">
        <v>716821.8</v>
      </c>
      <c r="J475" s="141">
        <f>+J474+Tabla69[[#This Row],[DEBE]]-Tabla69[[#This Row],[HABER]]</f>
        <v>119034743.92000006</v>
      </c>
      <c r="K475" s="142" t="s">
        <v>872</v>
      </c>
      <c r="L475" s="143" t="s">
        <v>655</v>
      </c>
      <c r="M475" s="143" t="s">
        <v>1505</v>
      </c>
    </row>
    <row r="476" spans="2:13" x14ac:dyDescent="0.35">
      <c r="B476" s="165">
        <v>46041</v>
      </c>
      <c r="C476" s="166">
        <v>46041</v>
      </c>
      <c r="D476" s="167" t="s">
        <v>184</v>
      </c>
      <c r="E476" s="168">
        <v>293</v>
      </c>
      <c r="F476" s="167" t="s">
        <v>1019</v>
      </c>
      <c r="G476" s="167" t="s">
        <v>259</v>
      </c>
      <c r="H476" s="169">
        <v>0</v>
      </c>
      <c r="I476" s="169">
        <v>-96000</v>
      </c>
      <c r="J476" s="155">
        <f>+J475+Tabla69[[#This Row],[DEBE]]-Tabla69[[#This Row],[HABER]]</f>
        <v>119130743.92000006</v>
      </c>
      <c r="K476" s="156" t="s">
        <v>871</v>
      </c>
      <c r="L476" s="157" t="s">
        <v>656</v>
      </c>
      <c r="M476" s="157"/>
    </row>
    <row r="477" spans="2:13" x14ac:dyDescent="0.35">
      <c r="B477" s="165">
        <v>46041</v>
      </c>
      <c r="C477" s="166">
        <v>46041</v>
      </c>
      <c r="D477" s="167" t="s">
        <v>184</v>
      </c>
      <c r="E477" s="168">
        <v>293</v>
      </c>
      <c r="F477" s="167" t="s">
        <v>1019</v>
      </c>
      <c r="G477" s="167" t="s">
        <v>259</v>
      </c>
      <c r="H477" s="169">
        <v>0</v>
      </c>
      <c r="I477" s="169">
        <v>96000</v>
      </c>
      <c r="J477" s="155">
        <f>+J476+Tabla69[[#This Row],[DEBE]]-Tabla69[[#This Row],[HABER]]</f>
        <v>119034743.92000006</v>
      </c>
      <c r="K477" s="156" t="s">
        <v>871</v>
      </c>
      <c r="L477" s="157" t="s">
        <v>656</v>
      </c>
      <c r="M477" s="157"/>
    </row>
    <row r="478" spans="2:13" x14ac:dyDescent="0.35">
      <c r="B478" s="165">
        <v>46041</v>
      </c>
      <c r="C478" s="166">
        <v>46041</v>
      </c>
      <c r="D478" s="167" t="s">
        <v>184</v>
      </c>
      <c r="E478" s="168">
        <v>294</v>
      </c>
      <c r="F478" s="167" t="s">
        <v>1020</v>
      </c>
      <c r="G478" s="167" t="s">
        <v>260</v>
      </c>
      <c r="H478" s="169">
        <v>0</v>
      </c>
      <c r="I478" s="169">
        <v>-740910.26</v>
      </c>
      <c r="J478" s="155">
        <f>+J477+Tabla69[[#This Row],[DEBE]]-Tabla69[[#This Row],[HABER]]</f>
        <v>119775654.18000007</v>
      </c>
      <c r="K478" s="156" t="s">
        <v>871</v>
      </c>
      <c r="L478" s="157" t="s">
        <v>657</v>
      </c>
      <c r="M478" s="157"/>
    </row>
    <row r="479" spans="2:13" x14ac:dyDescent="0.35">
      <c r="B479" s="165">
        <v>46041</v>
      </c>
      <c r="C479" s="166">
        <v>46041</v>
      </c>
      <c r="D479" s="167" t="s">
        <v>184</v>
      </c>
      <c r="E479" s="168">
        <v>294</v>
      </c>
      <c r="F479" s="167" t="s">
        <v>1020</v>
      </c>
      <c r="G479" s="167" t="s">
        <v>260</v>
      </c>
      <c r="H479" s="169">
        <v>0</v>
      </c>
      <c r="I479" s="169">
        <v>740910.26</v>
      </c>
      <c r="J479" s="155">
        <f>+J478+Tabla69[[#This Row],[DEBE]]-Tabla69[[#This Row],[HABER]]</f>
        <v>119034743.92000006</v>
      </c>
      <c r="K479" s="156" t="s">
        <v>871</v>
      </c>
      <c r="L479" s="157" t="s">
        <v>657</v>
      </c>
      <c r="M479" s="157"/>
    </row>
    <row r="480" spans="2:13" x14ac:dyDescent="0.35">
      <c r="B480" s="145">
        <v>46041</v>
      </c>
      <c r="C480" s="146">
        <v>46041</v>
      </c>
      <c r="D480" s="147" t="s">
        <v>184</v>
      </c>
      <c r="E480" s="148">
        <v>295</v>
      </c>
      <c r="F480" s="147" t="s">
        <v>1021</v>
      </c>
      <c r="G480" s="147" t="s">
        <v>261</v>
      </c>
      <c r="H480" s="149">
        <v>0</v>
      </c>
      <c r="I480" s="149">
        <v>180000</v>
      </c>
      <c r="J480" s="141">
        <f>+J479+Tabla69[[#This Row],[DEBE]]-Tabla69[[#This Row],[HABER]]</f>
        <v>118854743.92000006</v>
      </c>
      <c r="K480" s="142" t="s">
        <v>872</v>
      </c>
      <c r="L480" s="143" t="s">
        <v>658</v>
      </c>
      <c r="M480" s="143" t="s">
        <v>1505</v>
      </c>
    </row>
    <row r="481" spans="2:13" x14ac:dyDescent="0.35">
      <c r="B481" s="145">
        <v>46041</v>
      </c>
      <c r="C481" s="146">
        <v>46041</v>
      </c>
      <c r="D481" s="147" t="s">
        <v>184</v>
      </c>
      <c r="E481" s="148">
        <v>296</v>
      </c>
      <c r="F481" s="147" t="s">
        <v>900</v>
      </c>
      <c r="G481" s="147" t="s">
        <v>262</v>
      </c>
      <c r="H481" s="149">
        <v>0</v>
      </c>
      <c r="I481" s="149">
        <v>1122224.6000000001</v>
      </c>
      <c r="J481" s="141">
        <f>+J480+Tabla69[[#This Row],[DEBE]]-Tabla69[[#This Row],[HABER]]</f>
        <v>117732519.32000007</v>
      </c>
      <c r="K481" s="142" t="s">
        <v>872</v>
      </c>
      <c r="L481" s="143" t="s">
        <v>659</v>
      </c>
      <c r="M481" s="143" t="s">
        <v>1505</v>
      </c>
    </row>
    <row r="482" spans="2:13" x14ac:dyDescent="0.35">
      <c r="B482" s="145">
        <v>46041</v>
      </c>
      <c r="C482" s="146">
        <v>46041</v>
      </c>
      <c r="D482" s="147" t="s">
        <v>184</v>
      </c>
      <c r="E482" s="148">
        <v>297</v>
      </c>
      <c r="F482" s="147" t="s">
        <v>1022</v>
      </c>
      <c r="G482" s="147" t="s">
        <v>263</v>
      </c>
      <c r="H482" s="149">
        <v>0</v>
      </c>
      <c r="I482" s="149">
        <v>4188202.9</v>
      </c>
      <c r="J482" s="141">
        <f>+J481+Tabla69[[#This Row],[DEBE]]-Tabla69[[#This Row],[HABER]]</f>
        <v>113544316.42000006</v>
      </c>
      <c r="K482" s="142" t="s">
        <v>872</v>
      </c>
      <c r="L482" s="143" t="s">
        <v>660</v>
      </c>
      <c r="M482" s="143" t="s">
        <v>1505</v>
      </c>
    </row>
    <row r="483" spans="2:13" x14ac:dyDescent="0.35">
      <c r="B483" s="145">
        <v>46041</v>
      </c>
      <c r="C483" s="146">
        <v>46041</v>
      </c>
      <c r="D483" s="147" t="s">
        <v>184</v>
      </c>
      <c r="E483" s="148">
        <v>298</v>
      </c>
      <c r="F483" s="147" t="s">
        <v>1017</v>
      </c>
      <c r="G483" s="147" t="s">
        <v>257</v>
      </c>
      <c r="H483" s="149">
        <v>0</v>
      </c>
      <c r="I483" s="149">
        <v>432000</v>
      </c>
      <c r="J483" s="141">
        <f>+J482+Tabla69[[#This Row],[DEBE]]-Tabla69[[#This Row],[HABER]]</f>
        <v>113112316.42000006</v>
      </c>
      <c r="K483" s="142" t="s">
        <v>872</v>
      </c>
      <c r="L483" s="143" t="s">
        <v>654</v>
      </c>
      <c r="M483" s="143" t="s">
        <v>1505</v>
      </c>
    </row>
    <row r="484" spans="2:13" x14ac:dyDescent="0.35">
      <c r="B484" s="145">
        <v>46041</v>
      </c>
      <c r="C484" s="146">
        <v>46041</v>
      </c>
      <c r="D484" s="147" t="s">
        <v>184</v>
      </c>
      <c r="E484" s="148">
        <v>299</v>
      </c>
      <c r="F484" s="147" t="s">
        <v>1019</v>
      </c>
      <c r="G484" s="147" t="s">
        <v>259</v>
      </c>
      <c r="H484" s="149">
        <v>0</v>
      </c>
      <c r="I484" s="149">
        <v>96000</v>
      </c>
      <c r="J484" s="141">
        <f>+J483+Tabla69[[#This Row],[DEBE]]-Tabla69[[#This Row],[HABER]]</f>
        <v>113016316.42000006</v>
      </c>
      <c r="K484" s="142" t="s">
        <v>872</v>
      </c>
      <c r="L484" s="143" t="s">
        <v>656</v>
      </c>
      <c r="M484" s="143" t="s">
        <v>1505</v>
      </c>
    </row>
    <row r="485" spans="2:13" x14ac:dyDescent="0.35">
      <c r="B485" s="145">
        <v>46041</v>
      </c>
      <c r="C485" s="146">
        <v>46041</v>
      </c>
      <c r="D485" s="147" t="s">
        <v>184</v>
      </c>
      <c r="E485" s="148">
        <v>300</v>
      </c>
      <c r="F485" s="147" t="s">
        <v>1020</v>
      </c>
      <c r="G485" s="147" t="s">
        <v>260</v>
      </c>
      <c r="H485" s="149">
        <v>0</v>
      </c>
      <c r="I485" s="149">
        <v>740910.26</v>
      </c>
      <c r="J485" s="141">
        <f>+J484+Tabla69[[#This Row],[DEBE]]-Tabla69[[#This Row],[HABER]]</f>
        <v>112275406.16000006</v>
      </c>
      <c r="K485" s="142" t="s">
        <v>872</v>
      </c>
      <c r="L485" s="143" t="s">
        <v>657</v>
      </c>
      <c r="M485" s="143" t="s">
        <v>1505</v>
      </c>
    </row>
    <row r="486" spans="2:13" x14ac:dyDescent="0.35">
      <c r="B486" s="145">
        <v>46041</v>
      </c>
      <c r="C486" s="146">
        <v>46041</v>
      </c>
      <c r="D486" s="147" t="s">
        <v>184</v>
      </c>
      <c r="E486" s="148">
        <v>301</v>
      </c>
      <c r="F486" s="147" t="s">
        <v>1023</v>
      </c>
      <c r="G486" s="147" t="s">
        <v>264</v>
      </c>
      <c r="H486" s="149">
        <v>0</v>
      </c>
      <c r="I486" s="149">
        <v>107183.4</v>
      </c>
      <c r="J486" s="141">
        <f>+J485+Tabla69[[#This Row],[DEBE]]-Tabla69[[#This Row],[HABER]]</f>
        <v>112168222.76000005</v>
      </c>
      <c r="K486" s="142" t="s">
        <v>872</v>
      </c>
      <c r="L486" s="143" t="s">
        <v>661</v>
      </c>
      <c r="M486" s="143" t="s">
        <v>1505</v>
      </c>
    </row>
    <row r="487" spans="2:13" x14ac:dyDescent="0.35">
      <c r="B487" s="145">
        <v>46041</v>
      </c>
      <c r="C487" s="146">
        <v>46041</v>
      </c>
      <c r="D487" s="147" t="s">
        <v>184</v>
      </c>
      <c r="E487" s="148">
        <v>302</v>
      </c>
      <c r="F487" s="147" t="s">
        <v>1024</v>
      </c>
      <c r="G487" s="147" t="s">
        <v>265</v>
      </c>
      <c r="H487" s="149">
        <v>0</v>
      </c>
      <c r="I487" s="149">
        <v>172800</v>
      </c>
      <c r="J487" s="141">
        <f>+J486+Tabla69[[#This Row],[DEBE]]-Tabla69[[#This Row],[HABER]]</f>
        <v>111995422.76000005</v>
      </c>
      <c r="K487" s="142" t="s">
        <v>872</v>
      </c>
      <c r="L487" s="143" t="s">
        <v>662</v>
      </c>
      <c r="M487" s="143" t="s">
        <v>1505</v>
      </c>
    </row>
    <row r="488" spans="2:13" x14ac:dyDescent="0.35">
      <c r="B488" s="165">
        <v>46041</v>
      </c>
      <c r="C488" s="166">
        <v>46041</v>
      </c>
      <c r="D488" s="167" t="s">
        <v>184</v>
      </c>
      <c r="E488" s="168">
        <v>303</v>
      </c>
      <c r="F488" s="167" t="s">
        <v>1025</v>
      </c>
      <c r="G488" s="167" t="s">
        <v>266</v>
      </c>
      <c r="H488" s="169">
        <v>0</v>
      </c>
      <c r="I488" s="169">
        <v>49766.400000000001</v>
      </c>
      <c r="J488" s="155">
        <f>+J487+Tabla69[[#This Row],[DEBE]]-Tabla69[[#This Row],[HABER]]</f>
        <v>111945656.36000004</v>
      </c>
      <c r="K488" s="156" t="s">
        <v>871</v>
      </c>
      <c r="L488" s="157" t="s">
        <v>663</v>
      </c>
      <c r="M488" s="157"/>
    </row>
    <row r="489" spans="2:13" x14ac:dyDescent="0.35">
      <c r="B489" s="165">
        <v>46041</v>
      </c>
      <c r="C489" s="166">
        <v>46041</v>
      </c>
      <c r="D489" s="167" t="s">
        <v>184</v>
      </c>
      <c r="E489" s="168">
        <v>303</v>
      </c>
      <c r="F489" s="167" t="s">
        <v>1025</v>
      </c>
      <c r="G489" s="167" t="s">
        <v>266</v>
      </c>
      <c r="H489" s="169">
        <v>0</v>
      </c>
      <c r="I489" s="169">
        <v>-49766.400000000001</v>
      </c>
      <c r="J489" s="155">
        <f>+J488+Tabla69[[#This Row],[DEBE]]-Tabla69[[#This Row],[HABER]]</f>
        <v>111995422.76000005</v>
      </c>
      <c r="K489" s="156" t="s">
        <v>871</v>
      </c>
      <c r="L489" s="157" t="s">
        <v>663</v>
      </c>
      <c r="M489" s="157"/>
    </row>
    <row r="490" spans="2:13" x14ac:dyDescent="0.35">
      <c r="B490" s="165">
        <v>46041</v>
      </c>
      <c r="C490" s="166">
        <v>46041</v>
      </c>
      <c r="D490" s="167" t="s">
        <v>184</v>
      </c>
      <c r="E490" s="168">
        <v>304</v>
      </c>
      <c r="F490" s="167" t="s">
        <v>1026</v>
      </c>
      <c r="G490" s="167" t="s">
        <v>267</v>
      </c>
      <c r="H490" s="169">
        <v>0</v>
      </c>
      <c r="I490" s="169">
        <v>177743.4</v>
      </c>
      <c r="J490" s="155">
        <f>+J489+Tabla69[[#This Row],[DEBE]]-Tabla69[[#This Row],[HABER]]</f>
        <v>111817679.36000004</v>
      </c>
      <c r="K490" s="156" t="s">
        <v>871</v>
      </c>
      <c r="L490" s="157" t="s">
        <v>664</v>
      </c>
      <c r="M490" s="157"/>
    </row>
    <row r="491" spans="2:13" x14ac:dyDescent="0.35">
      <c r="B491" s="165">
        <v>46041</v>
      </c>
      <c r="C491" s="166">
        <v>46041</v>
      </c>
      <c r="D491" s="167" t="s">
        <v>184</v>
      </c>
      <c r="E491" s="168">
        <v>304</v>
      </c>
      <c r="F491" s="167" t="s">
        <v>1026</v>
      </c>
      <c r="G491" s="167" t="s">
        <v>267</v>
      </c>
      <c r="H491" s="169">
        <v>0</v>
      </c>
      <c r="I491" s="169">
        <v>-177743.4</v>
      </c>
      <c r="J491" s="155">
        <f>+J490+Tabla69[[#This Row],[DEBE]]-Tabla69[[#This Row],[HABER]]</f>
        <v>111995422.76000005</v>
      </c>
      <c r="K491" s="156" t="s">
        <v>871</v>
      </c>
      <c r="L491" s="157" t="s">
        <v>664</v>
      </c>
      <c r="M491" s="157"/>
    </row>
    <row r="492" spans="2:13" x14ac:dyDescent="0.35">
      <c r="B492" s="165">
        <v>46041</v>
      </c>
      <c r="C492" s="166">
        <v>46041</v>
      </c>
      <c r="D492" s="167" t="s">
        <v>184</v>
      </c>
      <c r="E492" s="168">
        <v>305</v>
      </c>
      <c r="F492" s="167" t="s">
        <v>1027</v>
      </c>
      <c r="G492" s="167" t="s">
        <v>268</v>
      </c>
      <c r="H492" s="169">
        <v>0</v>
      </c>
      <c r="I492" s="169">
        <v>45000</v>
      </c>
      <c r="J492" s="155">
        <f>+J491+Tabla69[[#This Row],[DEBE]]-Tabla69[[#This Row],[HABER]]</f>
        <v>111950422.76000005</v>
      </c>
      <c r="K492" s="156" t="s">
        <v>871</v>
      </c>
      <c r="L492" s="157" t="s">
        <v>665</v>
      </c>
      <c r="M492" s="157"/>
    </row>
    <row r="493" spans="2:13" x14ac:dyDescent="0.35">
      <c r="B493" s="165">
        <v>46041</v>
      </c>
      <c r="C493" s="166">
        <v>46041</v>
      </c>
      <c r="D493" s="167" t="s">
        <v>184</v>
      </c>
      <c r="E493" s="168">
        <v>305</v>
      </c>
      <c r="F493" s="167" t="s">
        <v>1027</v>
      </c>
      <c r="G493" s="167" t="s">
        <v>268</v>
      </c>
      <c r="H493" s="169">
        <v>0</v>
      </c>
      <c r="I493" s="169">
        <v>-45000</v>
      </c>
      <c r="J493" s="155">
        <f>+J492+Tabla69[[#This Row],[DEBE]]-Tabla69[[#This Row],[HABER]]</f>
        <v>111995422.76000005</v>
      </c>
      <c r="K493" s="156" t="s">
        <v>871</v>
      </c>
      <c r="L493" s="157" t="s">
        <v>665</v>
      </c>
      <c r="M493" s="157"/>
    </row>
    <row r="494" spans="2:13" x14ac:dyDescent="0.35">
      <c r="B494" s="145">
        <v>46041</v>
      </c>
      <c r="C494" s="146">
        <v>46041</v>
      </c>
      <c r="D494" s="147" t="s">
        <v>184</v>
      </c>
      <c r="E494" s="148">
        <v>306</v>
      </c>
      <c r="F494" s="147" t="s">
        <v>1028</v>
      </c>
      <c r="G494" s="147" t="s">
        <v>269</v>
      </c>
      <c r="H494" s="149">
        <v>0</v>
      </c>
      <c r="I494" s="149">
        <v>1530143.4</v>
      </c>
      <c r="J494" s="141">
        <f>+J493+Tabla69[[#This Row],[DEBE]]-Tabla69[[#This Row],[HABER]]</f>
        <v>110465279.36000004</v>
      </c>
      <c r="K494" s="142" t="s">
        <v>872</v>
      </c>
      <c r="L494" s="143" t="s">
        <v>666</v>
      </c>
      <c r="M494" s="143" t="s">
        <v>1505</v>
      </c>
    </row>
    <row r="495" spans="2:13" x14ac:dyDescent="0.35">
      <c r="B495" s="145">
        <v>46041</v>
      </c>
      <c r="C495" s="146">
        <v>46041</v>
      </c>
      <c r="D495" s="147" t="s">
        <v>184</v>
      </c>
      <c r="E495" s="148">
        <v>307</v>
      </c>
      <c r="F495" s="147" t="s">
        <v>1029</v>
      </c>
      <c r="G495" s="147" t="s">
        <v>270</v>
      </c>
      <c r="H495" s="149">
        <v>0</v>
      </c>
      <c r="I495" s="149">
        <v>75600</v>
      </c>
      <c r="J495" s="141">
        <f>+J494+Tabla69[[#This Row],[DEBE]]-Tabla69[[#This Row],[HABER]]</f>
        <v>110389679.36000004</v>
      </c>
      <c r="K495" s="142" t="s">
        <v>872</v>
      </c>
      <c r="L495" s="143" t="s">
        <v>667</v>
      </c>
      <c r="M495" s="143" t="s">
        <v>1505</v>
      </c>
    </row>
    <row r="496" spans="2:13" x14ac:dyDescent="0.35">
      <c r="B496" s="165">
        <v>46041</v>
      </c>
      <c r="C496" s="166">
        <v>46041</v>
      </c>
      <c r="D496" s="167" t="s">
        <v>184</v>
      </c>
      <c r="E496" s="168">
        <v>308</v>
      </c>
      <c r="F496" s="167" t="s">
        <v>1025</v>
      </c>
      <c r="G496" s="167" t="s">
        <v>266</v>
      </c>
      <c r="H496" s="169">
        <v>0</v>
      </c>
      <c r="I496" s="169">
        <v>49766.400000000001</v>
      </c>
      <c r="J496" s="155">
        <f>+J495+Tabla69[[#This Row],[DEBE]]-Tabla69[[#This Row],[HABER]]</f>
        <v>110339912.96000004</v>
      </c>
      <c r="K496" s="156" t="s">
        <v>871</v>
      </c>
      <c r="L496" s="157" t="s">
        <v>663</v>
      </c>
      <c r="M496" s="157"/>
    </row>
    <row r="497" spans="2:13" x14ac:dyDescent="0.35">
      <c r="B497" s="165">
        <v>46041</v>
      </c>
      <c r="C497" s="166">
        <v>46041</v>
      </c>
      <c r="D497" s="167" t="s">
        <v>184</v>
      </c>
      <c r="E497" s="168">
        <v>308</v>
      </c>
      <c r="F497" s="167" t="s">
        <v>1025</v>
      </c>
      <c r="G497" s="167" t="s">
        <v>266</v>
      </c>
      <c r="H497" s="169">
        <v>0</v>
      </c>
      <c r="I497" s="169">
        <v>-49766.400000000001</v>
      </c>
      <c r="J497" s="155">
        <f>+J496+Tabla69[[#This Row],[DEBE]]-Tabla69[[#This Row],[HABER]]</f>
        <v>110389679.36000004</v>
      </c>
      <c r="K497" s="156" t="s">
        <v>871</v>
      </c>
      <c r="L497" s="157" t="s">
        <v>663</v>
      </c>
      <c r="M497" s="157"/>
    </row>
    <row r="498" spans="2:13" x14ac:dyDescent="0.35">
      <c r="B498" s="165">
        <v>46041</v>
      </c>
      <c r="C498" s="166">
        <v>46041</v>
      </c>
      <c r="D498" s="167" t="s">
        <v>184</v>
      </c>
      <c r="E498" s="168">
        <v>309</v>
      </c>
      <c r="F498" s="167" t="s">
        <v>1026</v>
      </c>
      <c r="G498" s="167" t="s">
        <v>267</v>
      </c>
      <c r="H498" s="169">
        <v>0</v>
      </c>
      <c r="I498" s="169">
        <v>177743.4</v>
      </c>
      <c r="J498" s="155">
        <f>+J497+Tabla69[[#This Row],[DEBE]]-Tabla69[[#This Row],[HABER]]</f>
        <v>110211935.96000004</v>
      </c>
      <c r="K498" s="156" t="s">
        <v>871</v>
      </c>
      <c r="L498" s="157" t="s">
        <v>664</v>
      </c>
      <c r="M498" s="157"/>
    </row>
    <row r="499" spans="2:13" x14ac:dyDescent="0.35">
      <c r="B499" s="165">
        <v>46041</v>
      </c>
      <c r="C499" s="166">
        <v>46041</v>
      </c>
      <c r="D499" s="167" t="s">
        <v>184</v>
      </c>
      <c r="E499" s="168">
        <v>309</v>
      </c>
      <c r="F499" s="167" t="s">
        <v>1026</v>
      </c>
      <c r="G499" s="167" t="s">
        <v>267</v>
      </c>
      <c r="H499" s="169">
        <v>0</v>
      </c>
      <c r="I499" s="169">
        <v>-177743.4</v>
      </c>
      <c r="J499" s="155">
        <f>+J498+Tabla69[[#This Row],[DEBE]]-Tabla69[[#This Row],[HABER]]</f>
        <v>110389679.36000004</v>
      </c>
      <c r="K499" s="156" t="s">
        <v>871</v>
      </c>
      <c r="L499" s="157" t="s">
        <v>664</v>
      </c>
      <c r="M499" s="157"/>
    </row>
    <row r="500" spans="2:13" x14ac:dyDescent="0.35">
      <c r="B500" s="145">
        <v>46041</v>
      </c>
      <c r="C500" s="146">
        <v>46041</v>
      </c>
      <c r="D500" s="147" t="s">
        <v>184</v>
      </c>
      <c r="E500" s="148">
        <v>310</v>
      </c>
      <c r="F500" s="147" t="s">
        <v>1025</v>
      </c>
      <c r="G500" s="147" t="s">
        <v>266</v>
      </c>
      <c r="H500" s="149">
        <v>0</v>
      </c>
      <c r="I500" s="149">
        <v>49766.400000000001</v>
      </c>
      <c r="J500" s="141">
        <f>+J499+Tabla69[[#This Row],[DEBE]]-Tabla69[[#This Row],[HABER]]</f>
        <v>110339912.96000004</v>
      </c>
      <c r="K500" s="142" t="s">
        <v>872</v>
      </c>
      <c r="L500" s="143" t="s">
        <v>663</v>
      </c>
      <c r="M500" s="143" t="s">
        <v>1505</v>
      </c>
    </row>
    <row r="501" spans="2:13" x14ac:dyDescent="0.35">
      <c r="B501" s="145">
        <v>46041</v>
      </c>
      <c r="C501" s="146">
        <v>46041</v>
      </c>
      <c r="D501" s="147" t="s">
        <v>184</v>
      </c>
      <c r="E501" s="148">
        <v>311</v>
      </c>
      <c r="F501" s="147" t="s">
        <v>1026</v>
      </c>
      <c r="G501" s="147" t="s">
        <v>267</v>
      </c>
      <c r="H501" s="149">
        <v>0</v>
      </c>
      <c r="I501" s="149">
        <v>177743.4</v>
      </c>
      <c r="J501" s="141">
        <f>+J500+Tabla69[[#This Row],[DEBE]]-Tabla69[[#This Row],[HABER]]</f>
        <v>110162169.56000003</v>
      </c>
      <c r="K501" s="142" t="s">
        <v>872</v>
      </c>
      <c r="L501" s="143" t="s">
        <v>664</v>
      </c>
      <c r="M501" s="143" t="s">
        <v>1505</v>
      </c>
    </row>
    <row r="502" spans="2:13" x14ac:dyDescent="0.35">
      <c r="B502" s="145">
        <v>46042</v>
      </c>
      <c r="C502" s="146">
        <v>46038</v>
      </c>
      <c r="D502" s="147" t="s">
        <v>185</v>
      </c>
      <c r="E502" s="148">
        <v>16</v>
      </c>
      <c r="F502" s="147" t="s">
        <v>198</v>
      </c>
      <c r="G502" s="147" t="s">
        <v>199</v>
      </c>
      <c r="H502" s="149">
        <v>0</v>
      </c>
      <c r="I502" s="149">
        <v>300000000</v>
      </c>
      <c r="J502" s="141">
        <f>+J501+Tabla69[[#This Row],[DEBE]]-Tabla69[[#This Row],[HABER]]</f>
        <v>-189837830.43999997</v>
      </c>
      <c r="K502" s="142" t="s">
        <v>872</v>
      </c>
      <c r="L502" s="143" t="s">
        <v>668</v>
      </c>
      <c r="M502" s="143" t="s">
        <v>83</v>
      </c>
    </row>
    <row r="503" spans="2:13" x14ac:dyDescent="0.35">
      <c r="B503" s="145">
        <v>46042</v>
      </c>
      <c r="C503" s="146">
        <v>46037</v>
      </c>
      <c r="D503" s="138" t="s">
        <v>874</v>
      </c>
      <c r="E503" s="148">
        <v>42</v>
      </c>
      <c r="F503" s="147" t="s">
        <v>271</v>
      </c>
      <c r="G503" s="147" t="s">
        <v>1508</v>
      </c>
      <c r="H503" s="149">
        <v>270645238</v>
      </c>
      <c r="I503" s="149">
        <v>0</v>
      </c>
      <c r="J503" s="141">
        <f>+J502+Tabla69[[#This Row],[DEBE]]-Tabla69[[#This Row],[HABER]]</f>
        <v>80807407.560000032</v>
      </c>
      <c r="K503" s="142" t="s">
        <v>872</v>
      </c>
      <c r="L503" s="143" t="s">
        <v>1454</v>
      </c>
      <c r="M503" s="143" t="s">
        <v>92</v>
      </c>
    </row>
    <row r="504" spans="2:13" x14ac:dyDescent="0.35">
      <c r="B504" s="145">
        <v>46042</v>
      </c>
      <c r="C504" s="146">
        <v>46042</v>
      </c>
      <c r="D504" s="147" t="s">
        <v>184</v>
      </c>
      <c r="E504" s="148">
        <v>312</v>
      </c>
      <c r="F504" s="147" t="s">
        <v>1027</v>
      </c>
      <c r="G504" s="147" t="s">
        <v>268</v>
      </c>
      <c r="H504" s="149">
        <v>0</v>
      </c>
      <c r="I504" s="149">
        <v>45000</v>
      </c>
      <c r="J504" s="141">
        <f>+J503+Tabla69[[#This Row],[DEBE]]-Tabla69[[#This Row],[HABER]]</f>
        <v>80762407.560000032</v>
      </c>
      <c r="K504" s="142" t="s">
        <v>872</v>
      </c>
      <c r="L504" s="143" t="s">
        <v>665</v>
      </c>
      <c r="M504" s="143" t="s">
        <v>1505</v>
      </c>
    </row>
    <row r="505" spans="2:13" x14ac:dyDescent="0.35">
      <c r="B505" s="165">
        <v>46042</v>
      </c>
      <c r="C505" s="166">
        <v>46042</v>
      </c>
      <c r="D505" s="167" t="s">
        <v>184</v>
      </c>
      <c r="E505" s="168">
        <v>313</v>
      </c>
      <c r="F505" s="167" t="s">
        <v>1030</v>
      </c>
      <c r="G505" s="167" t="s">
        <v>272</v>
      </c>
      <c r="H505" s="169">
        <v>0</v>
      </c>
      <c r="I505" s="169">
        <v>792358.40000000002</v>
      </c>
      <c r="J505" s="155">
        <f>+J504+Tabla69[[#This Row],[DEBE]]-Tabla69[[#This Row],[HABER]]</f>
        <v>79970049.160000026</v>
      </c>
      <c r="K505" s="156" t="s">
        <v>871</v>
      </c>
      <c r="L505" s="157" t="s">
        <v>669</v>
      </c>
      <c r="M505" s="157"/>
    </row>
    <row r="506" spans="2:13" x14ac:dyDescent="0.35">
      <c r="B506" s="165">
        <v>46042</v>
      </c>
      <c r="C506" s="166">
        <v>46042</v>
      </c>
      <c r="D506" s="167" t="s">
        <v>184</v>
      </c>
      <c r="E506" s="168">
        <v>313</v>
      </c>
      <c r="F506" s="167" t="s">
        <v>1030</v>
      </c>
      <c r="G506" s="167" t="s">
        <v>272</v>
      </c>
      <c r="H506" s="169">
        <v>0</v>
      </c>
      <c r="I506" s="169">
        <v>-792358.40000000002</v>
      </c>
      <c r="J506" s="155">
        <f>+J505+Tabla69[[#This Row],[DEBE]]-Tabla69[[#This Row],[HABER]]</f>
        <v>80762407.560000032</v>
      </c>
      <c r="K506" s="156" t="s">
        <v>871</v>
      </c>
      <c r="L506" s="157" t="s">
        <v>669</v>
      </c>
      <c r="M506" s="157"/>
    </row>
    <row r="507" spans="2:13" x14ac:dyDescent="0.35">
      <c r="B507" s="165">
        <v>46042</v>
      </c>
      <c r="C507" s="166">
        <v>46042</v>
      </c>
      <c r="D507" s="167" t="s">
        <v>184</v>
      </c>
      <c r="E507" s="168">
        <v>314</v>
      </c>
      <c r="F507" s="167" t="s">
        <v>1031</v>
      </c>
      <c r="G507" s="167" t="s">
        <v>273</v>
      </c>
      <c r="H507" s="169">
        <v>0</v>
      </c>
      <c r="I507" s="169">
        <v>126000</v>
      </c>
      <c r="J507" s="155">
        <f>+J506+Tabla69[[#This Row],[DEBE]]-Tabla69[[#This Row],[HABER]]</f>
        <v>80636407.560000032</v>
      </c>
      <c r="K507" s="156" t="s">
        <v>871</v>
      </c>
      <c r="L507" s="157" t="s">
        <v>670</v>
      </c>
      <c r="M507" s="157"/>
    </row>
    <row r="508" spans="2:13" x14ac:dyDescent="0.35">
      <c r="B508" s="165">
        <v>46042</v>
      </c>
      <c r="C508" s="166">
        <v>46042</v>
      </c>
      <c r="D508" s="167" t="s">
        <v>184</v>
      </c>
      <c r="E508" s="168">
        <v>314</v>
      </c>
      <c r="F508" s="167" t="s">
        <v>1031</v>
      </c>
      <c r="G508" s="167" t="s">
        <v>273</v>
      </c>
      <c r="H508" s="169">
        <v>0</v>
      </c>
      <c r="I508" s="169">
        <v>-126000</v>
      </c>
      <c r="J508" s="155">
        <f>+J507+Tabla69[[#This Row],[DEBE]]-Tabla69[[#This Row],[HABER]]</f>
        <v>80762407.560000032</v>
      </c>
      <c r="K508" s="156" t="s">
        <v>871</v>
      </c>
      <c r="L508" s="157" t="s">
        <v>670</v>
      </c>
      <c r="M508" s="157"/>
    </row>
    <row r="509" spans="2:13" x14ac:dyDescent="0.35">
      <c r="B509" s="145">
        <v>46042</v>
      </c>
      <c r="C509" s="146">
        <v>46042</v>
      </c>
      <c r="D509" s="147" t="s">
        <v>184</v>
      </c>
      <c r="E509" s="148">
        <v>315</v>
      </c>
      <c r="F509" s="147" t="s">
        <v>1030</v>
      </c>
      <c r="G509" s="147" t="s">
        <v>272</v>
      </c>
      <c r="H509" s="149">
        <v>0</v>
      </c>
      <c r="I509" s="149">
        <v>792358.40000000002</v>
      </c>
      <c r="J509" s="141">
        <f>+J508+Tabla69[[#This Row],[DEBE]]-Tabla69[[#This Row],[HABER]]</f>
        <v>79970049.160000026</v>
      </c>
      <c r="K509" s="142" t="s">
        <v>872</v>
      </c>
      <c r="L509" s="143" t="s">
        <v>669</v>
      </c>
      <c r="M509" s="143" t="s">
        <v>1505</v>
      </c>
    </row>
    <row r="510" spans="2:13" x14ac:dyDescent="0.35">
      <c r="B510" s="145">
        <v>46042</v>
      </c>
      <c r="C510" s="146">
        <v>46042</v>
      </c>
      <c r="D510" s="147" t="s">
        <v>184</v>
      </c>
      <c r="E510" s="148">
        <v>316</v>
      </c>
      <c r="F510" s="147" t="s">
        <v>1031</v>
      </c>
      <c r="G510" s="147" t="s">
        <v>273</v>
      </c>
      <c r="H510" s="149">
        <v>0</v>
      </c>
      <c r="I510" s="149">
        <v>126000</v>
      </c>
      <c r="J510" s="141">
        <f>+J509+Tabla69[[#This Row],[DEBE]]-Tabla69[[#This Row],[HABER]]</f>
        <v>79844049.160000026</v>
      </c>
      <c r="K510" s="142" t="s">
        <v>872</v>
      </c>
      <c r="L510" s="143" t="s">
        <v>670</v>
      </c>
      <c r="M510" s="143" t="s">
        <v>1505</v>
      </c>
    </row>
    <row r="511" spans="2:13" x14ac:dyDescent="0.35">
      <c r="B511" s="145">
        <v>46042</v>
      </c>
      <c r="C511" s="146">
        <v>46042</v>
      </c>
      <c r="D511" s="147" t="s">
        <v>184</v>
      </c>
      <c r="E511" s="148">
        <v>317</v>
      </c>
      <c r="F511" s="147" t="s">
        <v>1032</v>
      </c>
      <c r="G511" s="147" t="s">
        <v>274</v>
      </c>
      <c r="H511" s="149">
        <v>0</v>
      </c>
      <c r="I511" s="149">
        <v>295343.40000000002</v>
      </c>
      <c r="J511" s="141">
        <f>+J510+Tabla69[[#This Row],[DEBE]]-Tabla69[[#This Row],[HABER]]</f>
        <v>79548705.76000002</v>
      </c>
      <c r="K511" s="142" t="s">
        <v>872</v>
      </c>
      <c r="L511" s="143" t="s">
        <v>671</v>
      </c>
      <c r="M511" s="143" t="s">
        <v>1505</v>
      </c>
    </row>
    <row r="512" spans="2:13" x14ac:dyDescent="0.35">
      <c r="B512" s="145">
        <v>46042</v>
      </c>
      <c r="C512" s="146">
        <v>46042</v>
      </c>
      <c r="D512" s="147" t="s">
        <v>184</v>
      </c>
      <c r="E512" s="148">
        <v>318</v>
      </c>
      <c r="F512" s="147" t="s">
        <v>1033</v>
      </c>
      <c r="G512" s="147" t="s">
        <v>275</v>
      </c>
      <c r="H512" s="149">
        <v>0</v>
      </c>
      <c r="I512" s="149">
        <v>3215335.72</v>
      </c>
      <c r="J512" s="141">
        <f>+J511+Tabla69[[#This Row],[DEBE]]-Tabla69[[#This Row],[HABER]]</f>
        <v>76333370.040000021</v>
      </c>
      <c r="K512" s="142" t="s">
        <v>872</v>
      </c>
      <c r="L512" s="143" t="s">
        <v>672</v>
      </c>
      <c r="M512" s="143" t="s">
        <v>1505</v>
      </c>
    </row>
    <row r="513" spans="2:13" x14ac:dyDescent="0.35">
      <c r="B513" s="145">
        <v>46042</v>
      </c>
      <c r="C513" s="146">
        <v>46042</v>
      </c>
      <c r="D513" s="147" t="s">
        <v>184</v>
      </c>
      <c r="E513" s="148">
        <v>319</v>
      </c>
      <c r="F513" s="147" t="s">
        <v>1034</v>
      </c>
      <c r="G513" s="147" t="s">
        <v>276</v>
      </c>
      <c r="H513" s="149">
        <v>0</v>
      </c>
      <c r="I513" s="149">
        <v>5800475.7599999998</v>
      </c>
      <c r="J513" s="141">
        <f>+J512+Tabla69[[#This Row],[DEBE]]-Tabla69[[#This Row],[HABER]]</f>
        <v>70532894.280000016</v>
      </c>
      <c r="K513" s="142" t="s">
        <v>872</v>
      </c>
      <c r="L513" s="143" t="s">
        <v>673</v>
      </c>
      <c r="M513" s="143" t="s">
        <v>1505</v>
      </c>
    </row>
    <row r="514" spans="2:13" x14ac:dyDescent="0.35">
      <c r="B514" s="145">
        <v>46042</v>
      </c>
      <c r="C514" s="146">
        <v>46042</v>
      </c>
      <c r="D514" s="147" t="s">
        <v>184</v>
      </c>
      <c r="E514" s="148">
        <v>320</v>
      </c>
      <c r="F514" s="147" t="s">
        <v>1035</v>
      </c>
      <c r="G514" s="147" t="s">
        <v>277</v>
      </c>
      <c r="H514" s="149">
        <v>0</v>
      </c>
      <c r="I514" s="149">
        <v>2640000</v>
      </c>
      <c r="J514" s="141">
        <f>+J513+Tabla69[[#This Row],[DEBE]]-Tabla69[[#This Row],[HABER]]</f>
        <v>67892894.280000016</v>
      </c>
      <c r="K514" s="142" t="s">
        <v>872</v>
      </c>
      <c r="L514" s="143" t="s">
        <v>674</v>
      </c>
      <c r="M514" s="143" t="s">
        <v>1505</v>
      </c>
    </row>
    <row r="515" spans="2:13" x14ac:dyDescent="0.35">
      <c r="B515" s="145">
        <v>46042</v>
      </c>
      <c r="C515" s="146">
        <v>46042</v>
      </c>
      <c r="D515" s="147" t="s">
        <v>184</v>
      </c>
      <c r="E515" s="148">
        <v>321</v>
      </c>
      <c r="F515" s="147" t="s">
        <v>1036</v>
      </c>
      <c r="G515" s="147" t="s">
        <v>278</v>
      </c>
      <c r="H515" s="149">
        <v>0</v>
      </c>
      <c r="I515" s="149">
        <v>189503.4</v>
      </c>
      <c r="J515" s="141">
        <f>+J514+Tabla69[[#This Row],[DEBE]]-Tabla69[[#This Row],[HABER]]</f>
        <v>67703390.88000001</v>
      </c>
      <c r="K515" s="142" t="s">
        <v>872</v>
      </c>
      <c r="L515" s="143" t="s">
        <v>675</v>
      </c>
      <c r="M515" s="143" t="s">
        <v>1505</v>
      </c>
    </row>
    <row r="516" spans="2:13" x14ac:dyDescent="0.35">
      <c r="B516" s="145">
        <v>46042</v>
      </c>
      <c r="C516" s="146">
        <v>46042</v>
      </c>
      <c r="D516" s="147" t="s">
        <v>184</v>
      </c>
      <c r="E516" s="148">
        <v>322</v>
      </c>
      <c r="F516" s="147" t="s">
        <v>1037</v>
      </c>
      <c r="G516" s="147" t="s">
        <v>279</v>
      </c>
      <c r="H516" s="149">
        <v>0</v>
      </c>
      <c r="I516" s="149">
        <v>289743062.81</v>
      </c>
      <c r="J516" s="141">
        <f>+J515+Tabla69[[#This Row],[DEBE]]-Tabla69[[#This Row],[HABER]]</f>
        <v>-222039671.93000001</v>
      </c>
      <c r="K516" s="142" t="s">
        <v>872</v>
      </c>
      <c r="L516" s="143" t="s">
        <v>676</v>
      </c>
      <c r="M516" s="143" t="s">
        <v>1505</v>
      </c>
    </row>
    <row r="517" spans="2:13" x14ac:dyDescent="0.35">
      <c r="B517" s="145">
        <v>46043</v>
      </c>
      <c r="C517" s="146">
        <v>46042</v>
      </c>
      <c r="D517" s="138" t="s">
        <v>874</v>
      </c>
      <c r="E517" s="148">
        <v>47</v>
      </c>
      <c r="F517" s="147" t="s">
        <v>271</v>
      </c>
      <c r="G517" s="147" t="s">
        <v>280</v>
      </c>
      <c r="H517" s="149">
        <v>87699748.769999996</v>
      </c>
      <c r="I517" s="149">
        <v>0</v>
      </c>
      <c r="J517" s="141">
        <f>+J516+Tabla69[[#This Row],[DEBE]]-Tabla69[[#This Row],[HABER]]</f>
        <v>-134339923.16000003</v>
      </c>
      <c r="K517" s="142" t="s">
        <v>872</v>
      </c>
      <c r="L517" s="143" t="s">
        <v>1454</v>
      </c>
      <c r="M517" s="143" t="s">
        <v>92</v>
      </c>
    </row>
    <row r="518" spans="2:13" x14ac:dyDescent="0.35">
      <c r="B518" s="145">
        <v>46043</v>
      </c>
      <c r="C518" s="146">
        <v>46042</v>
      </c>
      <c r="D518" s="138" t="s">
        <v>874</v>
      </c>
      <c r="E518" s="148">
        <v>48</v>
      </c>
      <c r="F518" s="147" t="s">
        <v>254</v>
      </c>
      <c r="G518" s="147" t="s">
        <v>281</v>
      </c>
      <c r="H518" s="149">
        <v>4207979.9800000004</v>
      </c>
      <c r="I518" s="149">
        <v>0</v>
      </c>
      <c r="J518" s="141">
        <f>+J517+Tabla69[[#This Row],[DEBE]]-Tabla69[[#This Row],[HABER]]</f>
        <v>-130131943.18000002</v>
      </c>
      <c r="K518" s="142" t="s">
        <v>872</v>
      </c>
      <c r="L518" s="143" t="s">
        <v>1455</v>
      </c>
      <c r="M518" s="143" t="s">
        <v>83</v>
      </c>
    </row>
    <row r="519" spans="2:13" x14ac:dyDescent="0.35">
      <c r="B519" s="145">
        <v>46043</v>
      </c>
      <c r="C519" s="146">
        <v>46043</v>
      </c>
      <c r="D519" s="147" t="s">
        <v>184</v>
      </c>
      <c r="E519" s="148">
        <v>323</v>
      </c>
      <c r="F519" s="147" t="s">
        <v>1038</v>
      </c>
      <c r="G519" s="147" t="s">
        <v>282</v>
      </c>
      <c r="H519" s="149">
        <v>0</v>
      </c>
      <c r="I519" s="149">
        <v>157248</v>
      </c>
      <c r="J519" s="141">
        <f>+J518+Tabla69[[#This Row],[DEBE]]-Tabla69[[#This Row],[HABER]]</f>
        <v>-130289191.18000002</v>
      </c>
      <c r="K519" s="142" t="s">
        <v>872</v>
      </c>
      <c r="L519" s="143" t="s">
        <v>677</v>
      </c>
      <c r="M519" s="143" t="s">
        <v>1505</v>
      </c>
    </row>
    <row r="520" spans="2:13" x14ac:dyDescent="0.35">
      <c r="B520" s="145">
        <v>46043</v>
      </c>
      <c r="C520" s="146">
        <v>46043</v>
      </c>
      <c r="D520" s="147" t="s">
        <v>184</v>
      </c>
      <c r="E520" s="148">
        <v>324</v>
      </c>
      <c r="F520" s="147" t="s">
        <v>1023</v>
      </c>
      <c r="G520" s="147" t="s">
        <v>283</v>
      </c>
      <c r="H520" s="149">
        <v>0</v>
      </c>
      <c r="I520" s="149">
        <v>1176000</v>
      </c>
      <c r="J520" s="141">
        <f>+J519+Tabla69[[#This Row],[DEBE]]-Tabla69[[#This Row],[HABER]]</f>
        <v>-131465191.18000002</v>
      </c>
      <c r="K520" s="142" t="s">
        <v>872</v>
      </c>
      <c r="L520" s="143" t="s">
        <v>678</v>
      </c>
      <c r="M520" s="143" t="s">
        <v>1505</v>
      </c>
    </row>
    <row r="521" spans="2:13" x14ac:dyDescent="0.35">
      <c r="B521" s="145">
        <v>46043</v>
      </c>
      <c r="C521" s="146">
        <v>46043</v>
      </c>
      <c r="D521" s="147" t="s">
        <v>184</v>
      </c>
      <c r="E521" s="148">
        <v>325</v>
      </c>
      <c r="F521" s="147" t="s">
        <v>1039</v>
      </c>
      <c r="G521" s="147" t="s">
        <v>284</v>
      </c>
      <c r="H521" s="149">
        <v>0</v>
      </c>
      <c r="I521" s="149">
        <v>66200</v>
      </c>
      <c r="J521" s="141">
        <f>+J520+Tabla69[[#This Row],[DEBE]]-Tabla69[[#This Row],[HABER]]</f>
        <v>-131531391.18000002</v>
      </c>
      <c r="K521" s="142" t="s">
        <v>872</v>
      </c>
      <c r="L521" s="143" t="s">
        <v>679</v>
      </c>
      <c r="M521" s="143" t="s">
        <v>1505</v>
      </c>
    </row>
    <row r="522" spans="2:13" x14ac:dyDescent="0.35">
      <c r="B522" s="145">
        <v>46043</v>
      </c>
      <c r="C522" s="146">
        <v>46043</v>
      </c>
      <c r="D522" s="147" t="s">
        <v>184</v>
      </c>
      <c r="E522" s="148">
        <v>326</v>
      </c>
      <c r="F522" s="147" t="s">
        <v>1040</v>
      </c>
      <c r="G522" s="147" t="s">
        <v>285</v>
      </c>
      <c r="H522" s="149">
        <v>0</v>
      </c>
      <c r="I522" s="149">
        <v>6834541.8799999999</v>
      </c>
      <c r="J522" s="141">
        <f>+J521+Tabla69[[#This Row],[DEBE]]-Tabla69[[#This Row],[HABER]]</f>
        <v>-138365933.06000003</v>
      </c>
      <c r="K522" s="142" t="s">
        <v>872</v>
      </c>
      <c r="L522" s="143" t="s">
        <v>680</v>
      </c>
      <c r="M522" s="143" t="s">
        <v>1505</v>
      </c>
    </row>
    <row r="523" spans="2:13" x14ac:dyDescent="0.35">
      <c r="B523" s="145">
        <v>46043</v>
      </c>
      <c r="C523" s="146">
        <v>46043</v>
      </c>
      <c r="D523" s="147" t="s">
        <v>184</v>
      </c>
      <c r="E523" s="148">
        <v>327</v>
      </c>
      <c r="F523" s="147" t="s">
        <v>1041</v>
      </c>
      <c r="G523" s="147" t="s">
        <v>286</v>
      </c>
      <c r="H523" s="149">
        <v>0</v>
      </c>
      <c r="I523" s="149">
        <v>172800</v>
      </c>
      <c r="J523" s="141">
        <f>+J522+Tabla69[[#This Row],[DEBE]]-Tabla69[[#This Row],[HABER]]</f>
        <v>-138538733.06000003</v>
      </c>
      <c r="K523" s="142" t="s">
        <v>872</v>
      </c>
      <c r="L523" s="143" t="s">
        <v>681</v>
      </c>
      <c r="M523" s="143" t="s">
        <v>1505</v>
      </c>
    </row>
    <row r="524" spans="2:13" x14ac:dyDescent="0.35">
      <c r="B524" s="145">
        <v>46043</v>
      </c>
      <c r="C524" s="146">
        <v>46043</v>
      </c>
      <c r="D524" s="147" t="s">
        <v>184</v>
      </c>
      <c r="E524" s="148">
        <v>328</v>
      </c>
      <c r="F524" s="147" t="s">
        <v>1023</v>
      </c>
      <c r="G524" s="147" t="s">
        <v>287</v>
      </c>
      <c r="H524" s="149">
        <v>0</v>
      </c>
      <c r="I524" s="149">
        <v>1666000</v>
      </c>
      <c r="J524" s="141">
        <f>+J523+Tabla69[[#This Row],[DEBE]]-Tabla69[[#This Row],[HABER]]</f>
        <v>-140204733.06000003</v>
      </c>
      <c r="K524" s="142" t="s">
        <v>872</v>
      </c>
      <c r="L524" s="143" t="s">
        <v>682</v>
      </c>
      <c r="M524" s="143" t="s">
        <v>1505</v>
      </c>
    </row>
    <row r="525" spans="2:13" x14ac:dyDescent="0.35">
      <c r="B525" s="145">
        <v>46043</v>
      </c>
      <c r="C525" s="146">
        <v>46043</v>
      </c>
      <c r="D525" s="147" t="s">
        <v>184</v>
      </c>
      <c r="E525" s="148">
        <v>329</v>
      </c>
      <c r="F525" s="147" t="s">
        <v>1042</v>
      </c>
      <c r="G525" s="147" t="s">
        <v>288</v>
      </c>
      <c r="H525" s="149">
        <v>0</v>
      </c>
      <c r="I525" s="149">
        <v>331200</v>
      </c>
      <c r="J525" s="141">
        <f>+J524+Tabla69[[#This Row],[DEBE]]-Tabla69[[#This Row],[HABER]]</f>
        <v>-140535933.06000003</v>
      </c>
      <c r="K525" s="142" t="s">
        <v>872</v>
      </c>
      <c r="L525" s="143" t="s">
        <v>683</v>
      </c>
      <c r="M525" s="143" t="s">
        <v>1505</v>
      </c>
    </row>
    <row r="526" spans="2:13" x14ac:dyDescent="0.35">
      <c r="B526" s="145">
        <v>46043</v>
      </c>
      <c r="C526" s="146">
        <v>46043</v>
      </c>
      <c r="D526" s="147" t="s">
        <v>184</v>
      </c>
      <c r="E526" s="148">
        <v>330</v>
      </c>
      <c r="F526" s="147" t="s">
        <v>1043</v>
      </c>
      <c r="G526" s="147" t="s">
        <v>289</v>
      </c>
      <c r="H526" s="149">
        <v>0</v>
      </c>
      <c r="I526" s="149">
        <v>90000</v>
      </c>
      <c r="J526" s="141">
        <f>+J525+Tabla69[[#This Row],[DEBE]]-Tabla69[[#This Row],[HABER]]</f>
        <v>-140625933.06000003</v>
      </c>
      <c r="K526" s="142" t="s">
        <v>872</v>
      </c>
      <c r="L526" s="143" t="s">
        <v>684</v>
      </c>
      <c r="M526" s="143" t="s">
        <v>1505</v>
      </c>
    </row>
    <row r="527" spans="2:13" x14ac:dyDescent="0.35">
      <c r="B527" s="165">
        <v>46043</v>
      </c>
      <c r="C527" s="166">
        <v>46043</v>
      </c>
      <c r="D527" s="167" t="s">
        <v>184</v>
      </c>
      <c r="E527" s="168">
        <v>331</v>
      </c>
      <c r="F527" s="167" t="s">
        <v>1044</v>
      </c>
      <c r="G527" s="167" t="s">
        <v>290</v>
      </c>
      <c r="H527" s="169">
        <v>0</v>
      </c>
      <c r="I527" s="169">
        <v>-300000</v>
      </c>
      <c r="J527" s="155">
        <f>+J526+Tabla69[[#This Row],[DEBE]]-Tabla69[[#This Row],[HABER]]</f>
        <v>-140325933.06000003</v>
      </c>
      <c r="K527" s="156" t="s">
        <v>871</v>
      </c>
      <c r="L527" s="157" t="s">
        <v>685</v>
      </c>
      <c r="M527" s="157"/>
    </row>
    <row r="528" spans="2:13" x14ac:dyDescent="0.35">
      <c r="B528" s="165">
        <v>46043</v>
      </c>
      <c r="C528" s="166">
        <v>46043</v>
      </c>
      <c r="D528" s="167" t="s">
        <v>184</v>
      </c>
      <c r="E528" s="168">
        <v>331</v>
      </c>
      <c r="F528" s="167" t="s">
        <v>1044</v>
      </c>
      <c r="G528" s="167" t="s">
        <v>290</v>
      </c>
      <c r="H528" s="169">
        <v>0</v>
      </c>
      <c r="I528" s="169">
        <v>300000</v>
      </c>
      <c r="J528" s="155">
        <f>+J527+Tabla69[[#This Row],[DEBE]]-Tabla69[[#This Row],[HABER]]</f>
        <v>-140625933.06000003</v>
      </c>
      <c r="K528" s="156" t="s">
        <v>871</v>
      </c>
      <c r="L528" s="157" t="s">
        <v>685</v>
      </c>
      <c r="M528" s="157"/>
    </row>
    <row r="529" spans="2:13" x14ac:dyDescent="0.35">
      <c r="B529" s="145">
        <v>46043</v>
      </c>
      <c r="C529" s="146">
        <v>46043</v>
      </c>
      <c r="D529" s="147" t="s">
        <v>184</v>
      </c>
      <c r="E529" s="148">
        <v>332</v>
      </c>
      <c r="F529" s="147" t="s">
        <v>1045</v>
      </c>
      <c r="G529" s="147" t="s">
        <v>291</v>
      </c>
      <c r="H529" s="149">
        <v>0</v>
      </c>
      <c r="I529" s="149">
        <v>158400</v>
      </c>
      <c r="J529" s="141">
        <f>+J528+Tabla69[[#This Row],[DEBE]]-Tabla69[[#This Row],[HABER]]</f>
        <v>-140784333.06000003</v>
      </c>
      <c r="K529" s="142" t="s">
        <v>872</v>
      </c>
      <c r="L529" s="143" t="s">
        <v>686</v>
      </c>
      <c r="M529" s="143" t="s">
        <v>1505</v>
      </c>
    </row>
    <row r="530" spans="2:13" x14ac:dyDescent="0.35">
      <c r="B530" s="145">
        <v>46043</v>
      </c>
      <c r="C530" s="146">
        <v>46043</v>
      </c>
      <c r="D530" s="147" t="s">
        <v>184</v>
      </c>
      <c r="E530" s="148">
        <v>333</v>
      </c>
      <c r="F530" s="147" t="s">
        <v>1046</v>
      </c>
      <c r="G530" s="147" t="s">
        <v>292</v>
      </c>
      <c r="H530" s="149">
        <v>0</v>
      </c>
      <c r="I530" s="149">
        <v>504000</v>
      </c>
      <c r="J530" s="141">
        <f>+J529+Tabla69[[#This Row],[DEBE]]-Tabla69[[#This Row],[HABER]]</f>
        <v>-141288333.06000003</v>
      </c>
      <c r="K530" s="142" t="s">
        <v>872</v>
      </c>
      <c r="L530" s="143" t="s">
        <v>687</v>
      </c>
      <c r="M530" s="143" t="s">
        <v>1505</v>
      </c>
    </row>
    <row r="531" spans="2:13" x14ac:dyDescent="0.35">
      <c r="B531" s="145">
        <v>46043</v>
      </c>
      <c r="C531" s="146">
        <v>46043</v>
      </c>
      <c r="D531" s="147" t="s">
        <v>184</v>
      </c>
      <c r="E531" s="148">
        <v>334</v>
      </c>
      <c r="F531" s="147" t="s">
        <v>1022</v>
      </c>
      <c r="G531" s="147" t="s">
        <v>293</v>
      </c>
      <c r="H531" s="149">
        <v>0</v>
      </c>
      <c r="I531" s="149">
        <v>7327004.1399999997</v>
      </c>
      <c r="J531" s="141">
        <f>+J530+Tabla69[[#This Row],[DEBE]]-Tabla69[[#This Row],[HABER]]</f>
        <v>-148615337.20000002</v>
      </c>
      <c r="K531" s="142" t="s">
        <v>872</v>
      </c>
      <c r="L531" s="143" t="s">
        <v>688</v>
      </c>
      <c r="M531" s="143" t="s">
        <v>1505</v>
      </c>
    </row>
    <row r="532" spans="2:13" x14ac:dyDescent="0.35">
      <c r="B532" s="145">
        <v>46043</v>
      </c>
      <c r="C532" s="146">
        <v>46043</v>
      </c>
      <c r="D532" s="147" t="s">
        <v>184</v>
      </c>
      <c r="E532" s="148">
        <v>335</v>
      </c>
      <c r="F532" s="147" t="s">
        <v>1047</v>
      </c>
      <c r="G532" s="147" t="s">
        <v>294</v>
      </c>
      <c r="H532" s="149">
        <v>0</v>
      </c>
      <c r="I532" s="149">
        <v>1440000</v>
      </c>
      <c r="J532" s="141">
        <f>+J531+Tabla69[[#This Row],[DEBE]]-Tabla69[[#This Row],[HABER]]</f>
        <v>-150055337.20000002</v>
      </c>
      <c r="K532" s="142" t="s">
        <v>872</v>
      </c>
      <c r="L532" s="143" t="s">
        <v>689</v>
      </c>
      <c r="M532" s="143" t="s">
        <v>1505</v>
      </c>
    </row>
    <row r="533" spans="2:13" x14ac:dyDescent="0.35">
      <c r="B533" s="145">
        <v>46043</v>
      </c>
      <c r="C533" s="146">
        <v>46043</v>
      </c>
      <c r="D533" s="147" t="s">
        <v>184</v>
      </c>
      <c r="E533" s="148">
        <v>336</v>
      </c>
      <c r="F533" s="147" t="s">
        <v>1044</v>
      </c>
      <c r="G533" s="147" t="s">
        <v>290</v>
      </c>
      <c r="H533" s="149">
        <v>0</v>
      </c>
      <c r="I533" s="149">
        <v>300000</v>
      </c>
      <c r="J533" s="141">
        <f>+J532+Tabla69[[#This Row],[DEBE]]-Tabla69[[#This Row],[HABER]]</f>
        <v>-150355337.20000002</v>
      </c>
      <c r="K533" s="142" t="s">
        <v>872</v>
      </c>
      <c r="L533" s="143" t="s">
        <v>685</v>
      </c>
      <c r="M533" s="143" t="s">
        <v>1505</v>
      </c>
    </row>
    <row r="534" spans="2:13" x14ac:dyDescent="0.35">
      <c r="B534" s="145">
        <v>46043</v>
      </c>
      <c r="C534" s="146">
        <v>46043</v>
      </c>
      <c r="D534" s="147" t="s">
        <v>184</v>
      </c>
      <c r="E534" s="148">
        <v>337</v>
      </c>
      <c r="F534" s="147" t="s">
        <v>1048</v>
      </c>
      <c r="G534" s="147" t="s">
        <v>295</v>
      </c>
      <c r="H534" s="149">
        <v>0</v>
      </c>
      <c r="I534" s="149">
        <v>67200</v>
      </c>
      <c r="J534" s="141">
        <f>+J533+Tabla69[[#This Row],[DEBE]]-Tabla69[[#This Row],[HABER]]</f>
        <v>-150422537.20000002</v>
      </c>
      <c r="K534" s="142" t="s">
        <v>872</v>
      </c>
      <c r="L534" s="143" t="s">
        <v>690</v>
      </c>
      <c r="M534" s="143" t="s">
        <v>1505</v>
      </c>
    </row>
    <row r="535" spans="2:13" x14ac:dyDescent="0.35">
      <c r="B535" s="145">
        <v>46044</v>
      </c>
      <c r="C535" s="146">
        <v>46042</v>
      </c>
      <c r="D535" s="138" t="s">
        <v>873</v>
      </c>
      <c r="E535" s="148">
        <v>17</v>
      </c>
      <c r="F535" s="147" t="s">
        <v>254</v>
      </c>
      <c r="G535" s="147" t="s">
        <v>253</v>
      </c>
      <c r="H535" s="149">
        <v>245792020.03</v>
      </c>
      <c r="I535" s="149">
        <v>0</v>
      </c>
      <c r="J535" s="141">
        <f>+J534+Tabla69[[#This Row],[DEBE]]-Tabla69[[#This Row],[HABER]]</f>
        <v>95369482.829999983</v>
      </c>
      <c r="K535" s="142" t="s">
        <v>872</v>
      </c>
      <c r="L535" s="143" t="s">
        <v>691</v>
      </c>
      <c r="M535" s="143" t="s">
        <v>83</v>
      </c>
    </row>
    <row r="536" spans="2:13" x14ac:dyDescent="0.35">
      <c r="B536" s="145">
        <v>46044</v>
      </c>
      <c r="C536" s="146">
        <v>46044</v>
      </c>
      <c r="D536" s="147" t="s">
        <v>184</v>
      </c>
      <c r="E536" s="148">
        <v>338</v>
      </c>
      <c r="F536" s="147" t="s">
        <v>1049</v>
      </c>
      <c r="G536" s="147" t="s">
        <v>296</v>
      </c>
      <c r="H536" s="149">
        <v>0</v>
      </c>
      <c r="I536" s="149">
        <v>44020.9</v>
      </c>
      <c r="J536" s="141">
        <f>+J535+Tabla69[[#This Row],[DEBE]]-Tabla69[[#This Row],[HABER]]</f>
        <v>95325461.929999977</v>
      </c>
      <c r="K536" s="142" t="s">
        <v>872</v>
      </c>
      <c r="L536" s="143" t="s">
        <v>692</v>
      </c>
      <c r="M536" s="143" t="s">
        <v>1505</v>
      </c>
    </row>
    <row r="537" spans="2:13" x14ac:dyDescent="0.35">
      <c r="B537" s="165">
        <v>46044</v>
      </c>
      <c r="C537" s="166">
        <v>46044</v>
      </c>
      <c r="D537" s="167" t="s">
        <v>184</v>
      </c>
      <c r="E537" s="168">
        <v>339</v>
      </c>
      <c r="F537" s="167" t="s">
        <v>1050</v>
      </c>
      <c r="G537" s="167" t="s">
        <v>297</v>
      </c>
      <c r="H537" s="169">
        <v>0</v>
      </c>
      <c r="I537" s="169">
        <v>-121598.39999999999</v>
      </c>
      <c r="J537" s="155">
        <f>+J536+Tabla69[[#This Row],[DEBE]]-Tabla69[[#This Row],[HABER]]</f>
        <v>95447060.329999983</v>
      </c>
      <c r="K537" s="156" t="s">
        <v>871</v>
      </c>
      <c r="L537" s="157" t="s">
        <v>693</v>
      </c>
      <c r="M537" s="157"/>
    </row>
    <row r="538" spans="2:13" x14ac:dyDescent="0.35">
      <c r="B538" s="165">
        <v>46044</v>
      </c>
      <c r="C538" s="166">
        <v>46044</v>
      </c>
      <c r="D538" s="167" t="s">
        <v>184</v>
      </c>
      <c r="E538" s="168">
        <v>339</v>
      </c>
      <c r="F538" s="167" t="s">
        <v>1050</v>
      </c>
      <c r="G538" s="167" t="s">
        <v>297</v>
      </c>
      <c r="H538" s="169">
        <v>0</v>
      </c>
      <c r="I538" s="169">
        <v>121598.39999999999</v>
      </c>
      <c r="J538" s="155">
        <f>+J537+Tabla69[[#This Row],[DEBE]]-Tabla69[[#This Row],[HABER]]</f>
        <v>95325461.929999977</v>
      </c>
      <c r="K538" s="156" t="s">
        <v>871</v>
      </c>
      <c r="L538" s="157" t="s">
        <v>693</v>
      </c>
      <c r="M538" s="157"/>
    </row>
    <row r="539" spans="2:13" x14ac:dyDescent="0.35">
      <c r="B539" s="145">
        <v>46044</v>
      </c>
      <c r="C539" s="146">
        <v>46044</v>
      </c>
      <c r="D539" s="147" t="s">
        <v>184</v>
      </c>
      <c r="E539" s="148">
        <v>340</v>
      </c>
      <c r="F539" s="147" t="s">
        <v>1051</v>
      </c>
      <c r="G539" s="147" t="s">
        <v>298</v>
      </c>
      <c r="H539" s="149">
        <v>0</v>
      </c>
      <c r="I539" s="149">
        <v>823343</v>
      </c>
      <c r="J539" s="141">
        <f>+J538+Tabla69[[#This Row],[DEBE]]-Tabla69[[#This Row],[HABER]]</f>
        <v>94502118.929999977</v>
      </c>
      <c r="K539" s="142" t="s">
        <v>872</v>
      </c>
      <c r="L539" s="143" t="s">
        <v>694</v>
      </c>
      <c r="M539" s="143" t="s">
        <v>1505</v>
      </c>
    </row>
    <row r="540" spans="2:13" x14ac:dyDescent="0.35">
      <c r="B540" s="145">
        <v>46044</v>
      </c>
      <c r="C540" s="146">
        <v>46044</v>
      </c>
      <c r="D540" s="147" t="s">
        <v>184</v>
      </c>
      <c r="E540" s="148">
        <v>341</v>
      </c>
      <c r="F540" s="147" t="s">
        <v>1052</v>
      </c>
      <c r="G540" s="147" t="s">
        <v>299</v>
      </c>
      <c r="H540" s="149">
        <v>0</v>
      </c>
      <c r="I540" s="149">
        <v>129359</v>
      </c>
      <c r="J540" s="141">
        <f>+J539+Tabla69[[#This Row],[DEBE]]-Tabla69[[#This Row],[HABER]]</f>
        <v>94372759.929999977</v>
      </c>
      <c r="K540" s="142" t="s">
        <v>872</v>
      </c>
      <c r="L540" s="143" t="s">
        <v>694</v>
      </c>
      <c r="M540" s="143" t="s">
        <v>1505</v>
      </c>
    </row>
    <row r="541" spans="2:13" x14ac:dyDescent="0.35">
      <c r="B541" s="145">
        <v>46044</v>
      </c>
      <c r="C541" s="146">
        <v>46044</v>
      </c>
      <c r="D541" s="147" t="s">
        <v>184</v>
      </c>
      <c r="E541" s="148">
        <v>342</v>
      </c>
      <c r="F541" s="147" t="s">
        <v>1053</v>
      </c>
      <c r="G541" s="147" t="s">
        <v>300</v>
      </c>
      <c r="H541" s="149">
        <v>0</v>
      </c>
      <c r="I541" s="149">
        <v>1277285.28</v>
      </c>
      <c r="J541" s="141">
        <f>+J540+Tabla69[[#This Row],[DEBE]]-Tabla69[[#This Row],[HABER]]</f>
        <v>93095474.649999976</v>
      </c>
      <c r="K541" s="142" t="s">
        <v>872</v>
      </c>
      <c r="L541" s="143" t="s">
        <v>695</v>
      </c>
      <c r="M541" s="143" t="s">
        <v>1505</v>
      </c>
    </row>
    <row r="542" spans="2:13" x14ac:dyDescent="0.35">
      <c r="B542" s="145">
        <v>46044</v>
      </c>
      <c r="C542" s="146">
        <v>46044</v>
      </c>
      <c r="D542" s="147" t="s">
        <v>184</v>
      </c>
      <c r="E542" s="148">
        <v>343</v>
      </c>
      <c r="F542" s="147" t="s">
        <v>1054</v>
      </c>
      <c r="G542" s="147" t="s">
        <v>301</v>
      </c>
      <c r="H542" s="149">
        <v>0</v>
      </c>
      <c r="I542" s="149">
        <v>140793685.87</v>
      </c>
      <c r="J542" s="141">
        <f>+J541+Tabla69[[#This Row],[DEBE]]-Tabla69[[#This Row],[HABER]]</f>
        <v>-47698211.220000029</v>
      </c>
      <c r="K542" s="142" t="s">
        <v>872</v>
      </c>
      <c r="L542" s="143" t="s">
        <v>696</v>
      </c>
      <c r="M542" s="143" t="s">
        <v>1505</v>
      </c>
    </row>
    <row r="543" spans="2:13" x14ac:dyDescent="0.35">
      <c r="B543" s="145">
        <v>46044</v>
      </c>
      <c r="C543" s="146">
        <v>46044</v>
      </c>
      <c r="D543" s="147" t="s">
        <v>184</v>
      </c>
      <c r="E543" s="148">
        <v>344</v>
      </c>
      <c r="F543" s="147" t="s">
        <v>1055</v>
      </c>
      <c r="G543" s="147" t="s">
        <v>302</v>
      </c>
      <c r="H543" s="149">
        <v>0</v>
      </c>
      <c r="I543" s="149">
        <v>8206520.5</v>
      </c>
      <c r="J543" s="141">
        <f>+J542+Tabla69[[#This Row],[DEBE]]-Tabla69[[#This Row],[HABER]]</f>
        <v>-55904731.720000029</v>
      </c>
      <c r="K543" s="142" t="s">
        <v>872</v>
      </c>
      <c r="L543" s="143" t="s">
        <v>697</v>
      </c>
      <c r="M543" s="143" t="s">
        <v>1505</v>
      </c>
    </row>
    <row r="544" spans="2:13" x14ac:dyDescent="0.35">
      <c r="B544" s="145">
        <v>46044</v>
      </c>
      <c r="C544" s="146">
        <v>46044</v>
      </c>
      <c r="D544" s="147" t="s">
        <v>184</v>
      </c>
      <c r="E544" s="148">
        <v>345</v>
      </c>
      <c r="F544" s="147" t="s">
        <v>1056</v>
      </c>
      <c r="G544" s="147" t="s">
        <v>303</v>
      </c>
      <c r="H544" s="149">
        <v>0</v>
      </c>
      <c r="I544" s="149">
        <v>916830</v>
      </c>
      <c r="J544" s="141">
        <f>+J543+Tabla69[[#This Row],[DEBE]]-Tabla69[[#This Row],[HABER]]</f>
        <v>-56821561.720000029</v>
      </c>
      <c r="K544" s="142" t="s">
        <v>872</v>
      </c>
      <c r="L544" s="143" t="s">
        <v>698</v>
      </c>
      <c r="M544" s="143" t="s">
        <v>1505</v>
      </c>
    </row>
    <row r="545" spans="2:13" x14ac:dyDescent="0.35">
      <c r="B545" s="145">
        <v>46044</v>
      </c>
      <c r="C545" s="146">
        <v>46044</v>
      </c>
      <c r="D545" s="147" t="s">
        <v>184</v>
      </c>
      <c r="E545" s="148">
        <v>346</v>
      </c>
      <c r="F545" s="147" t="s">
        <v>1057</v>
      </c>
      <c r="G545" s="147" t="s">
        <v>304</v>
      </c>
      <c r="H545" s="149">
        <v>0</v>
      </c>
      <c r="I545" s="149">
        <v>4936360</v>
      </c>
      <c r="J545" s="141">
        <f>+J544+Tabla69[[#This Row],[DEBE]]-Tabla69[[#This Row],[HABER]]</f>
        <v>-61757921.720000029</v>
      </c>
      <c r="K545" s="142" t="s">
        <v>872</v>
      </c>
      <c r="L545" s="143" t="s">
        <v>699</v>
      </c>
      <c r="M545" s="143" t="s">
        <v>1505</v>
      </c>
    </row>
    <row r="546" spans="2:13" x14ac:dyDescent="0.35">
      <c r="B546" s="145">
        <v>46044</v>
      </c>
      <c r="C546" s="146">
        <v>46044</v>
      </c>
      <c r="D546" s="147" t="s">
        <v>184</v>
      </c>
      <c r="E546" s="148">
        <v>347</v>
      </c>
      <c r="F546" s="147" t="s">
        <v>1058</v>
      </c>
      <c r="G546" s="147" t="s">
        <v>305</v>
      </c>
      <c r="H546" s="149">
        <v>0</v>
      </c>
      <c r="I546" s="149">
        <v>553200</v>
      </c>
      <c r="J546" s="141">
        <f>+J545+Tabla69[[#This Row],[DEBE]]-Tabla69[[#This Row],[HABER]]</f>
        <v>-62311121.720000029</v>
      </c>
      <c r="K546" s="142" t="s">
        <v>872</v>
      </c>
      <c r="L546" s="143" t="s">
        <v>700</v>
      </c>
      <c r="M546" s="143" t="s">
        <v>1505</v>
      </c>
    </row>
    <row r="547" spans="2:13" x14ac:dyDescent="0.35">
      <c r="B547" s="145">
        <v>46044</v>
      </c>
      <c r="C547" s="146">
        <v>46044</v>
      </c>
      <c r="D547" s="147" t="s">
        <v>184</v>
      </c>
      <c r="E547" s="148">
        <v>348</v>
      </c>
      <c r="F547" s="147" t="s">
        <v>1059</v>
      </c>
      <c r="G547" s="147" t="s">
        <v>306</v>
      </c>
      <c r="H547" s="149">
        <v>0</v>
      </c>
      <c r="I547" s="149">
        <v>3854306.78</v>
      </c>
      <c r="J547" s="141">
        <f>+J546+Tabla69[[#This Row],[DEBE]]-Tabla69[[#This Row],[HABER]]</f>
        <v>-66165428.50000003</v>
      </c>
      <c r="K547" s="142" t="s">
        <v>872</v>
      </c>
      <c r="L547" s="143" t="s">
        <v>701</v>
      </c>
      <c r="M547" s="143" t="s">
        <v>1505</v>
      </c>
    </row>
    <row r="548" spans="2:13" x14ac:dyDescent="0.35">
      <c r="B548" s="145">
        <v>46044</v>
      </c>
      <c r="C548" s="146">
        <v>46044</v>
      </c>
      <c r="D548" s="147" t="s">
        <v>184</v>
      </c>
      <c r="E548" s="148">
        <v>349</v>
      </c>
      <c r="F548" s="147" t="s">
        <v>1060</v>
      </c>
      <c r="G548" s="147" t="s">
        <v>307</v>
      </c>
      <c r="H548" s="149">
        <v>0</v>
      </c>
      <c r="I548" s="149">
        <v>72324</v>
      </c>
      <c r="J548" s="141">
        <f>+J547+Tabla69[[#This Row],[DEBE]]-Tabla69[[#This Row],[HABER]]</f>
        <v>-66237752.50000003</v>
      </c>
      <c r="K548" s="142" t="s">
        <v>872</v>
      </c>
      <c r="L548" s="143" t="s">
        <v>702</v>
      </c>
      <c r="M548" s="143" t="s">
        <v>1505</v>
      </c>
    </row>
    <row r="549" spans="2:13" x14ac:dyDescent="0.35">
      <c r="B549" s="145">
        <v>46044</v>
      </c>
      <c r="C549" s="146">
        <v>46044</v>
      </c>
      <c r="D549" s="147" t="s">
        <v>184</v>
      </c>
      <c r="E549" s="148">
        <v>350</v>
      </c>
      <c r="F549" s="147" t="s">
        <v>1061</v>
      </c>
      <c r="G549" s="147" t="s">
        <v>308</v>
      </c>
      <c r="H549" s="149">
        <v>0</v>
      </c>
      <c r="I549" s="149">
        <v>348552</v>
      </c>
      <c r="J549" s="141">
        <f>+J548+Tabla69[[#This Row],[DEBE]]-Tabla69[[#This Row],[HABER]]</f>
        <v>-66586304.50000003</v>
      </c>
      <c r="K549" s="142" t="s">
        <v>872</v>
      </c>
      <c r="L549" s="143" t="s">
        <v>703</v>
      </c>
      <c r="M549" s="143" t="s">
        <v>1505</v>
      </c>
    </row>
    <row r="550" spans="2:13" x14ac:dyDescent="0.35">
      <c r="B550" s="145">
        <v>46044</v>
      </c>
      <c r="C550" s="146">
        <v>46044</v>
      </c>
      <c r="D550" s="147" t="s">
        <v>184</v>
      </c>
      <c r="E550" s="148">
        <v>351</v>
      </c>
      <c r="F550" s="147" t="s">
        <v>1062</v>
      </c>
      <c r="G550" s="147" t="s">
        <v>309</v>
      </c>
      <c r="H550" s="149">
        <v>0</v>
      </c>
      <c r="I550" s="149">
        <v>1200000</v>
      </c>
      <c r="J550" s="141">
        <f>+J549+Tabla69[[#This Row],[DEBE]]-Tabla69[[#This Row],[HABER]]</f>
        <v>-67786304.50000003</v>
      </c>
      <c r="K550" s="142" t="s">
        <v>872</v>
      </c>
      <c r="L550" s="143" t="s">
        <v>704</v>
      </c>
      <c r="M550" s="143" t="s">
        <v>1505</v>
      </c>
    </row>
    <row r="551" spans="2:13" x14ac:dyDescent="0.35">
      <c r="B551" s="145">
        <v>46044</v>
      </c>
      <c r="C551" s="146">
        <v>46044</v>
      </c>
      <c r="D551" s="147" t="s">
        <v>184</v>
      </c>
      <c r="E551" s="148">
        <v>352</v>
      </c>
      <c r="F551" s="147" t="s">
        <v>1063</v>
      </c>
      <c r="G551" s="147" t="s">
        <v>310</v>
      </c>
      <c r="H551" s="149">
        <v>0</v>
      </c>
      <c r="I551" s="149">
        <v>176319.84</v>
      </c>
      <c r="J551" s="141">
        <f>+J550+Tabla69[[#This Row],[DEBE]]-Tabla69[[#This Row],[HABER]]</f>
        <v>-67962624.340000033</v>
      </c>
      <c r="K551" s="142" t="s">
        <v>872</v>
      </c>
      <c r="L551" s="143" t="s">
        <v>705</v>
      </c>
      <c r="M551" s="143" t="s">
        <v>1505</v>
      </c>
    </row>
    <row r="552" spans="2:13" x14ac:dyDescent="0.35">
      <c r="B552" s="145">
        <v>46044</v>
      </c>
      <c r="C552" s="146">
        <v>46044</v>
      </c>
      <c r="D552" s="147" t="s">
        <v>184</v>
      </c>
      <c r="E552" s="148">
        <v>353</v>
      </c>
      <c r="F552" s="147" t="s">
        <v>1064</v>
      </c>
      <c r="G552" s="147" t="s">
        <v>311</v>
      </c>
      <c r="H552" s="149">
        <v>0</v>
      </c>
      <c r="I552" s="149">
        <v>47141594.039999999</v>
      </c>
      <c r="J552" s="141">
        <f>+J551+Tabla69[[#This Row],[DEBE]]-Tabla69[[#This Row],[HABER]]</f>
        <v>-115104218.38000003</v>
      </c>
      <c r="K552" s="142" t="s">
        <v>872</v>
      </c>
      <c r="L552" s="143" t="s">
        <v>706</v>
      </c>
      <c r="M552" s="143" t="s">
        <v>1505</v>
      </c>
    </row>
    <row r="553" spans="2:13" x14ac:dyDescent="0.35">
      <c r="B553" s="145">
        <v>46044</v>
      </c>
      <c r="C553" s="146">
        <v>46044</v>
      </c>
      <c r="D553" s="147" t="s">
        <v>184</v>
      </c>
      <c r="E553" s="148">
        <v>354</v>
      </c>
      <c r="F553" s="147" t="s">
        <v>1065</v>
      </c>
      <c r="G553" s="147" t="s">
        <v>312</v>
      </c>
      <c r="H553" s="149">
        <v>0</v>
      </c>
      <c r="I553" s="149">
        <v>750000</v>
      </c>
      <c r="J553" s="141">
        <f>+J552+Tabla69[[#This Row],[DEBE]]-Tabla69[[#This Row],[HABER]]</f>
        <v>-115854218.38000003</v>
      </c>
      <c r="K553" s="142" t="s">
        <v>872</v>
      </c>
      <c r="L553" s="143" t="s">
        <v>707</v>
      </c>
      <c r="M553" s="143" t="s">
        <v>1505</v>
      </c>
    </row>
    <row r="554" spans="2:13" x14ac:dyDescent="0.35">
      <c r="B554" s="145">
        <v>46044</v>
      </c>
      <c r="C554" s="146">
        <v>46044</v>
      </c>
      <c r="D554" s="147" t="s">
        <v>184</v>
      </c>
      <c r="E554" s="148">
        <v>355</v>
      </c>
      <c r="F554" s="147" t="s">
        <v>1066</v>
      </c>
      <c r="G554" s="147" t="s">
        <v>313</v>
      </c>
      <c r="H554" s="149">
        <v>0</v>
      </c>
      <c r="I554" s="149">
        <v>2218702.2999999998</v>
      </c>
      <c r="J554" s="141">
        <f>+J553+Tabla69[[#This Row],[DEBE]]-Tabla69[[#This Row],[HABER]]</f>
        <v>-118072920.68000002</v>
      </c>
      <c r="K554" s="142" t="s">
        <v>872</v>
      </c>
      <c r="L554" s="143" t="s">
        <v>708</v>
      </c>
      <c r="M554" s="143" t="s">
        <v>1505</v>
      </c>
    </row>
    <row r="555" spans="2:13" x14ac:dyDescent="0.35">
      <c r="B555" s="145">
        <v>46044</v>
      </c>
      <c r="C555" s="146">
        <v>46044</v>
      </c>
      <c r="D555" s="147" t="s">
        <v>184</v>
      </c>
      <c r="E555" s="148">
        <v>356</v>
      </c>
      <c r="F555" s="147" t="s">
        <v>1067</v>
      </c>
      <c r="G555" s="147" t="s">
        <v>314</v>
      </c>
      <c r="H555" s="149">
        <v>0</v>
      </c>
      <c r="I555" s="149">
        <v>159894</v>
      </c>
      <c r="J555" s="141">
        <f>+J554+Tabla69[[#This Row],[DEBE]]-Tabla69[[#This Row],[HABER]]</f>
        <v>-118232814.68000002</v>
      </c>
      <c r="K555" s="142" t="s">
        <v>872</v>
      </c>
      <c r="L555" s="143" t="s">
        <v>709</v>
      </c>
      <c r="M555" s="143" t="s">
        <v>1505</v>
      </c>
    </row>
    <row r="556" spans="2:13" x14ac:dyDescent="0.35">
      <c r="B556" s="145">
        <v>46044</v>
      </c>
      <c r="C556" s="146">
        <v>46044</v>
      </c>
      <c r="D556" s="147" t="s">
        <v>184</v>
      </c>
      <c r="E556" s="148">
        <v>357</v>
      </c>
      <c r="F556" s="147" t="s">
        <v>1068</v>
      </c>
      <c r="G556" s="147" t="s">
        <v>315</v>
      </c>
      <c r="H556" s="149">
        <v>0</v>
      </c>
      <c r="I556" s="149">
        <v>4803343.4000000004</v>
      </c>
      <c r="J556" s="141">
        <f>+J555+Tabla69[[#This Row],[DEBE]]-Tabla69[[#This Row],[HABER]]</f>
        <v>-123036158.08000003</v>
      </c>
      <c r="K556" s="142" t="s">
        <v>872</v>
      </c>
      <c r="L556" s="143" t="s">
        <v>710</v>
      </c>
      <c r="M556" s="143" t="s">
        <v>1505</v>
      </c>
    </row>
    <row r="557" spans="2:13" x14ac:dyDescent="0.35">
      <c r="B557" s="145">
        <v>46044</v>
      </c>
      <c r="C557" s="146">
        <v>46044</v>
      </c>
      <c r="D557" s="147" t="s">
        <v>184</v>
      </c>
      <c r="E557" s="148">
        <v>358</v>
      </c>
      <c r="F557" s="147" t="s">
        <v>1022</v>
      </c>
      <c r="G557" s="147" t="s">
        <v>316</v>
      </c>
      <c r="H557" s="149">
        <v>0</v>
      </c>
      <c r="I557" s="149">
        <v>5694128.9199999999</v>
      </c>
      <c r="J557" s="141">
        <f>+J556+Tabla69[[#This Row],[DEBE]]-Tabla69[[#This Row],[HABER]]</f>
        <v>-128730287.00000003</v>
      </c>
      <c r="K557" s="142" t="s">
        <v>872</v>
      </c>
      <c r="L557" s="143" t="s">
        <v>711</v>
      </c>
      <c r="M557" s="143" t="s">
        <v>1505</v>
      </c>
    </row>
    <row r="558" spans="2:13" x14ac:dyDescent="0.35">
      <c r="B558" s="165">
        <v>46044</v>
      </c>
      <c r="C558" s="166">
        <v>46044</v>
      </c>
      <c r="D558" s="167" t="s">
        <v>184</v>
      </c>
      <c r="E558" s="168">
        <v>359</v>
      </c>
      <c r="F558" s="167" t="s">
        <v>1069</v>
      </c>
      <c r="G558" s="167" t="s">
        <v>317</v>
      </c>
      <c r="H558" s="169">
        <v>0</v>
      </c>
      <c r="I558" s="169">
        <v>-1281408</v>
      </c>
      <c r="J558" s="155">
        <f>+J557+Tabla69[[#This Row],[DEBE]]-Tabla69[[#This Row],[HABER]]</f>
        <v>-127448879.00000003</v>
      </c>
      <c r="K558" s="156" t="s">
        <v>871</v>
      </c>
      <c r="L558" s="157" t="s">
        <v>712</v>
      </c>
      <c r="M558" s="157"/>
    </row>
    <row r="559" spans="2:13" x14ac:dyDescent="0.35">
      <c r="B559" s="165">
        <v>46044</v>
      </c>
      <c r="C559" s="166">
        <v>46044</v>
      </c>
      <c r="D559" s="167" t="s">
        <v>184</v>
      </c>
      <c r="E559" s="168">
        <v>359</v>
      </c>
      <c r="F559" s="167" t="s">
        <v>1069</v>
      </c>
      <c r="G559" s="167" t="s">
        <v>317</v>
      </c>
      <c r="H559" s="169">
        <v>0</v>
      </c>
      <c r="I559" s="169">
        <v>1281408</v>
      </c>
      <c r="J559" s="155">
        <f>+J558+Tabla69[[#This Row],[DEBE]]-Tabla69[[#This Row],[HABER]]</f>
        <v>-128730287.00000003</v>
      </c>
      <c r="K559" s="156" t="s">
        <v>871</v>
      </c>
      <c r="L559" s="157" t="s">
        <v>712</v>
      </c>
      <c r="M559" s="157"/>
    </row>
    <row r="560" spans="2:13" x14ac:dyDescent="0.35">
      <c r="B560" s="165">
        <v>46044</v>
      </c>
      <c r="C560" s="166">
        <v>46044</v>
      </c>
      <c r="D560" s="167" t="s">
        <v>184</v>
      </c>
      <c r="E560" s="168">
        <v>360</v>
      </c>
      <c r="F560" s="167" t="s">
        <v>1070</v>
      </c>
      <c r="G560" s="167" t="s">
        <v>318</v>
      </c>
      <c r="H560" s="169">
        <v>0</v>
      </c>
      <c r="I560" s="169">
        <v>-43815097.549999997</v>
      </c>
      <c r="J560" s="155">
        <f>+J559+Tabla69[[#This Row],[DEBE]]-Tabla69[[#This Row],[HABER]]</f>
        <v>-84915189.450000033</v>
      </c>
      <c r="K560" s="156" t="s">
        <v>871</v>
      </c>
      <c r="L560" s="157" t="s">
        <v>713</v>
      </c>
      <c r="M560" s="157"/>
    </row>
    <row r="561" spans="2:13" x14ac:dyDescent="0.35">
      <c r="B561" s="165">
        <v>46044</v>
      </c>
      <c r="C561" s="166">
        <v>46044</v>
      </c>
      <c r="D561" s="167" t="s">
        <v>184</v>
      </c>
      <c r="E561" s="168">
        <v>360</v>
      </c>
      <c r="F561" s="167" t="s">
        <v>1070</v>
      </c>
      <c r="G561" s="167" t="s">
        <v>318</v>
      </c>
      <c r="H561" s="169">
        <v>0</v>
      </c>
      <c r="I561" s="169">
        <v>43815097.549999997</v>
      </c>
      <c r="J561" s="155">
        <f>+J560+Tabla69[[#This Row],[DEBE]]-Tabla69[[#This Row],[HABER]]</f>
        <v>-128730287.00000003</v>
      </c>
      <c r="K561" s="156" t="s">
        <v>871</v>
      </c>
      <c r="L561" s="157" t="s">
        <v>713</v>
      </c>
      <c r="M561" s="157"/>
    </row>
    <row r="562" spans="2:13" x14ac:dyDescent="0.35">
      <c r="B562" s="145">
        <v>46044</v>
      </c>
      <c r="C562" s="146">
        <v>46044</v>
      </c>
      <c r="D562" s="147" t="s">
        <v>184</v>
      </c>
      <c r="E562" s="148">
        <v>361</v>
      </c>
      <c r="F562" s="147" t="s">
        <v>1070</v>
      </c>
      <c r="G562" s="147" t="s">
        <v>318</v>
      </c>
      <c r="H562" s="149">
        <v>0</v>
      </c>
      <c r="I562" s="149">
        <v>43815097.549999997</v>
      </c>
      <c r="J562" s="141">
        <f>+J561+Tabla69[[#This Row],[DEBE]]-Tabla69[[#This Row],[HABER]]</f>
        <v>-172545384.55000001</v>
      </c>
      <c r="K562" s="142" t="s">
        <v>872</v>
      </c>
      <c r="L562" s="143" t="s">
        <v>713</v>
      </c>
      <c r="M562" s="143" t="s">
        <v>1505</v>
      </c>
    </row>
    <row r="563" spans="2:13" x14ac:dyDescent="0.35">
      <c r="B563" s="145">
        <v>46044</v>
      </c>
      <c r="C563" s="146">
        <v>46044</v>
      </c>
      <c r="D563" s="147" t="s">
        <v>184</v>
      </c>
      <c r="E563" s="148">
        <v>362</v>
      </c>
      <c r="F563" s="147" t="s">
        <v>1517</v>
      </c>
      <c r="G563" s="147"/>
      <c r="H563" s="149">
        <v>0</v>
      </c>
      <c r="I563" s="149">
        <v>800202.61</v>
      </c>
      <c r="J563" s="141">
        <f>+J562+Tabla69[[#This Row],[DEBE]]-Tabla69[[#This Row],[HABER]]</f>
        <v>-173345587.16000003</v>
      </c>
      <c r="K563" s="142" t="s">
        <v>872</v>
      </c>
      <c r="L563" s="143" t="s">
        <v>714</v>
      </c>
      <c r="M563" s="143" t="s">
        <v>91</v>
      </c>
    </row>
    <row r="564" spans="2:13" x14ac:dyDescent="0.35">
      <c r="B564" s="145">
        <v>46044</v>
      </c>
      <c r="C564" s="146">
        <v>46044</v>
      </c>
      <c r="D564" s="147" t="s">
        <v>184</v>
      </c>
      <c r="E564" s="148">
        <v>363</v>
      </c>
      <c r="F564" s="147" t="s">
        <v>1518</v>
      </c>
      <c r="G564" s="147" t="s">
        <v>319</v>
      </c>
      <c r="H564" s="149">
        <v>0</v>
      </c>
      <c r="I564" s="149">
        <v>400614.23</v>
      </c>
      <c r="J564" s="141">
        <f>+J563+Tabla69[[#This Row],[DEBE]]-Tabla69[[#This Row],[HABER]]</f>
        <v>-173746201.39000002</v>
      </c>
      <c r="K564" s="142" t="s">
        <v>872</v>
      </c>
      <c r="L564" s="143" t="s">
        <v>714</v>
      </c>
      <c r="M564" s="143" t="s">
        <v>91</v>
      </c>
    </row>
    <row r="565" spans="2:13" x14ac:dyDescent="0.35">
      <c r="B565" s="145">
        <v>46044</v>
      </c>
      <c r="C565" s="146">
        <v>46044</v>
      </c>
      <c r="D565" s="147" t="s">
        <v>184</v>
      </c>
      <c r="E565" s="148">
        <v>364</v>
      </c>
      <c r="F565" s="147" t="s">
        <v>1519</v>
      </c>
      <c r="G565" s="147" t="s">
        <v>319</v>
      </c>
      <c r="H565" s="149">
        <v>0</v>
      </c>
      <c r="I565" s="149">
        <v>200000</v>
      </c>
      <c r="J565" s="141">
        <f>+J564+Tabla69[[#This Row],[DEBE]]-Tabla69[[#This Row],[HABER]]</f>
        <v>-173946201.39000002</v>
      </c>
      <c r="K565" s="142" t="s">
        <v>872</v>
      </c>
      <c r="L565" s="143" t="s">
        <v>714</v>
      </c>
      <c r="M565" s="143" t="s">
        <v>91</v>
      </c>
    </row>
    <row r="566" spans="2:13" x14ac:dyDescent="0.35">
      <c r="B566" s="145">
        <v>46044</v>
      </c>
      <c r="C566" s="146">
        <v>46044</v>
      </c>
      <c r="D566" s="147" t="s">
        <v>184</v>
      </c>
      <c r="E566" s="148">
        <v>365</v>
      </c>
      <c r="F566" s="147" t="s">
        <v>1072</v>
      </c>
      <c r="G566" s="147" t="s">
        <v>320</v>
      </c>
      <c r="H566" s="149">
        <v>0</v>
      </c>
      <c r="I566" s="149">
        <v>451000</v>
      </c>
      <c r="J566" s="141">
        <f>+J565+Tabla69[[#This Row],[DEBE]]-Tabla69[[#This Row],[HABER]]</f>
        <v>-174397201.39000002</v>
      </c>
      <c r="K566" s="142" t="s">
        <v>872</v>
      </c>
      <c r="L566" s="143" t="s">
        <v>714</v>
      </c>
      <c r="M566" s="143" t="s">
        <v>91</v>
      </c>
    </row>
    <row r="567" spans="2:13" x14ac:dyDescent="0.35">
      <c r="B567" s="145">
        <v>46044</v>
      </c>
      <c r="C567" s="146">
        <v>46044</v>
      </c>
      <c r="D567" s="147" t="s">
        <v>184</v>
      </c>
      <c r="E567" s="148">
        <v>366</v>
      </c>
      <c r="F567" s="147" t="s">
        <v>1520</v>
      </c>
      <c r="G567" s="147"/>
      <c r="H567" s="149">
        <v>0</v>
      </c>
      <c r="I567" s="149">
        <v>1130843.03</v>
      </c>
      <c r="J567" s="141">
        <f>+J566+Tabla69[[#This Row],[DEBE]]-Tabla69[[#This Row],[HABER]]</f>
        <v>-175528044.42000002</v>
      </c>
      <c r="K567" s="142" t="s">
        <v>872</v>
      </c>
      <c r="L567" s="143" t="s">
        <v>714</v>
      </c>
      <c r="M567" s="143" t="s">
        <v>91</v>
      </c>
    </row>
    <row r="568" spans="2:13" x14ac:dyDescent="0.35">
      <c r="B568" s="145">
        <v>46044</v>
      </c>
      <c r="C568" s="146">
        <v>46044</v>
      </c>
      <c r="D568" s="147" t="s">
        <v>184</v>
      </c>
      <c r="E568" s="148">
        <v>367</v>
      </c>
      <c r="F568" s="147" t="s">
        <v>1517</v>
      </c>
      <c r="G568" s="147"/>
      <c r="H568" s="149">
        <v>0</v>
      </c>
      <c r="I568" s="149">
        <v>200000</v>
      </c>
      <c r="J568" s="141">
        <f>+J567+Tabla69[[#This Row],[DEBE]]-Tabla69[[#This Row],[HABER]]</f>
        <v>-175728044.42000002</v>
      </c>
      <c r="K568" s="142" t="s">
        <v>872</v>
      </c>
      <c r="L568" s="143" t="s">
        <v>714</v>
      </c>
      <c r="M568" s="143" t="s">
        <v>91</v>
      </c>
    </row>
    <row r="569" spans="2:13" x14ac:dyDescent="0.35">
      <c r="B569" s="145">
        <v>46044</v>
      </c>
      <c r="C569" s="146">
        <v>46044</v>
      </c>
      <c r="D569" s="147" t="s">
        <v>184</v>
      </c>
      <c r="E569" s="148">
        <v>368</v>
      </c>
      <c r="F569" s="147" t="s">
        <v>1521</v>
      </c>
      <c r="G569" s="147"/>
      <c r="H569" s="149">
        <v>0</v>
      </c>
      <c r="I569" s="149">
        <v>200000</v>
      </c>
      <c r="J569" s="141">
        <f>+J568+Tabla69[[#This Row],[DEBE]]-Tabla69[[#This Row],[HABER]]</f>
        <v>-175928044.42000002</v>
      </c>
      <c r="K569" s="142" t="s">
        <v>872</v>
      </c>
      <c r="L569" s="143" t="s">
        <v>714</v>
      </c>
      <c r="M569" s="143" t="s">
        <v>91</v>
      </c>
    </row>
    <row r="570" spans="2:13" x14ac:dyDescent="0.35">
      <c r="B570" s="145">
        <v>46044</v>
      </c>
      <c r="C570" s="146">
        <v>46044</v>
      </c>
      <c r="D570" s="147" t="s">
        <v>184</v>
      </c>
      <c r="E570" s="148">
        <v>369</v>
      </c>
      <c r="F570" s="147" t="s">
        <v>1522</v>
      </c>
      <c r="G570" s="147"/>
      <c r="H570" s="149">
        <v>0</v>
      </c>
      <c r="I570" s="149">
        <v>200000</v>
      </c>
      <c r="J570" s="141">
        <f>+J569+Tabla69[[#This Row],[DEBE]]-Tabla69[[#This Row],[HABER]]</f>
        <v>-176128044.42000002</v>
      </c>
      <c r="K570" s="142" t="s">
        <v>872</v>
      </c>
      <c r="L570" s="143" t="s">
        <v>714</v>
      </c>
      <c r="M570" s="143" t="s">
        <v>91</v>
      </c>
    </row>
    <row r="571" spans="2:13" x14ac:dyDescent="0.35">
      <c r="B571" s="145">
        <v>46044</v>
      </c>
      <c r="C571" s="146">
        <v>46044</v>
      </c>
      <c r="D571" s="147" t="s">
        <v>184</v>
      </c>
      <c r="E571" s="148">
        <v>370</v>
      </c>
      <c r="F571" s="147" t="s">
        <v>1523</v>
      </c>
      <c r="G571" s="147"/>
      <c r="H571" s="149">
        <v>0</v>
      </c>
      <c r="I571" s="149">
        <v>200000</v>
      </c>
      <c r="J571" s="141">
        <f>+J570+Tabla69[[#This Row],[DEBE]]-Tabla69[[#This Row],[HABER]]</f>
        <v>-176328044.42000002</v>
      </c>
      <c r="K571" s="142" t="s">
        <v>872</v>
      </c>
      <c r="L571" s="143" t="s">
        <v>714</v>
      </c>
      <c r="M571" s="143" t="s">
        <v>91</v>
      </c>
    </row>
    <row r="572" spans="2:13" x14ac:dyDescent="0.35">
      <c r="B572" s="145">
        <v>46044</v>
      </c>
      <c r="C572" s="146">
        <v>46044</v>
      </c>
      <c r="D572" s="147" t="s">
        <v>184</v>
      </c>
      <c r="E572" s="148">
        <v>371</v>
      </c>
      <c r="F572" s="147" t="s">
        <v>1524</v>
      </c>
      <c r="G572" s="147" t="s">
        <v>320</v>
      </c>
      <c r="H572" s="149">
        <v>0</v>
      </c>
      <c r="I572" s="149">
        <v>200000</v>
      </c>
      <c r="J572" s="141">
        <f>+J571+Tabla69[[#This Row],[DEBE]]-Tabla69[[#This Row],[HABER]]</f>
        <v>-176528044.42000002</v>
      </c>
      <c r="K572" s="142" t="s">
        <v>872</v>
      </c>
      <c r="L572" s="143" t="s">
        <v>714</v>
      </c>
      <c r="M572" s="143" t="s">
        <v>91</v>
      </c>
    </row>
    <row r="573" spans="2:13" x14ac:dyDescent="0.35">
      <c r="B573" s="145">
        <v>46044</v>
      </c>
      <c r="C573" s="146">
        <v>46044</v>
      </c>
      <c r="D573" s="147" t="s">
        <v>184</v>
      </c>
      <c r="E573" s="148">
        <v>372</v>
      </c>
      <c r="F573" s="147" t="s">
        <v>1525</v>
      </c>
      <c r="G573" s="147"/>
      <c r="H573" s="149">
        <v>0</v>
      </c>
      <c r="I573" s="149">
        <v>200000</v>
      </c>
      <c r="J573" s="141">
        <f>+J572+Tabla69[[#This Row],[DEBE]]-Tabla69[[#This Row],[HABER]]</f>
        <v>-176728044.42000002</v>
      </c>
      <c r="K573" s="142" t="s">
        <v>872</v>
      </c>
      <c r="L573" s="143" t="s">
        <v>714</v>
      </c>
      <c r="M573" s="143" t="s">
        <v>91</v>
      </c>
    </row>
    <row r="574" spans="2:13" x14ac:dyDescent="0.35">
      <c r="B574" s="145">
        <v>46044</v>
      </c>
      <c r="C574" s="146">
        <v>46044</v>
      </c>
      <c r="D574" s="147" t="s">
        <v>184</v>
      </c>
      <c r="E574" s="148">
        <v>373</v>
      </c>
      <c r="F574" s="147" t="s">
        <v>1526</v>
      </c>
      <c r="G574" s="147"/>
      <c r="H574" s="149">
        <v>0</v>
      </c>
      <c r="I574" s="149">
        <v>200000</v>
      </c>
      <c r="J574" s="141">
        <f>+J573+Tabla69[[#This Row],[DEBE]]-Tabla69[[#This Row],[HABER]]</f>
        <v>-176928044.42000002</v>
      </c>
      <c r="K574" s="142" t="s">
        <v>872</v>
      </c>
      <c r="L574" s="143" t="s">
        <v>714</v>
      </c>
      <c r="M574" s="143" t="s">
        <v>91</v>
      </c>
    </row>
    <row r="575" spans="2:13" x14ac:dyDescent="0.35">
      <c r="B575" s="145">
        <v>46044</v>
      </c>
      <c r="C575" s="146">
        <v>46044</v>
      </c>
      <c r="D575" s="147" t="s">
        <v>184</v>
      </c>
      <c r="E575" s="148">
        <v>374</v>
      </c>
      <c r="F575" s="147" t="s">
        <v>1518</v>
      </c>
      <c r="G575" s="147"/>
      <c r="H575" s="149">
        <v>0</v>
      </c>
      <c r="I575" s="149">
        <v>200000</v>
      </c>
      <c r="J575" s="141">
        <f>+J574+Tabla69[[#This Row],[DEBE]]-Tabla69[[#This Row],[HABER]]</f>
        <v>-177128044.42000002</v>
      </c>
      <c r="K575" s="142" t="s">
        <v>872</v>
      </c>
      <c r="L575" s="143" t="s">
        <v>714</v>
      </c>
      <c r="M575" s="143" t="s">
        <v>91</v>
      </c>
    </row>
    <row r="576" spans="2:13" x14ac:dyDescent="0.35">
      <c r="B576" s="145">
        <v>46044</v>
      </c>
      <c r="C576" s="146">
        <v>46044</v>
      </c>
      <c r="D576" s="147" t="s">
        <v>184</v>
      </c>
      <c r="E576" s="148">
        <v>375</v>
      </c>
      <c r="F576" s="147" t="s">
        <v>1080</v>
      </c>
      <c r="G576" s="147" t="s">
        <v>320</v>
      </c>
      <c r="H576" s="149">
        <v>0</v>
      </c>
      <c r="I576" s="149">
        <v>200000</v>
      </c>
      <c r="J576" s="141">
        <f>+J575+Tabla69[[#This Row],[DEBE]]-Tabla69[[#This Row],[HABER]]</f>
        <v>-177328044.42000002</v>
      </c>
      <c r="K576" s="142" t="s">
        <v>872</v>
      </c>
      <c r="L576" s="143" t="s">
        <v>714</v>
      </c>
      <c r="M576" s="143" t="s">
        <v>91</v>
      </c>
    </row>
    <row r="577" spans="2:13" x14ac:dyDescent="0.35">
      <c r="B577" s="145">
        <v>46044</v>
      </c>
      <c r="C577" s="146">
        <v>46044</v>
      </c>
      <c r="D577" s="147" t="s">
        <v>184</v>
      </c>
      <c r="E577" s="148">
        <v>376</v>
      </c>
      <c r="F577" s="147" t="s">
        <v>1528</v>
      </c>
      <c r="G577" s="147"/>
      <c r="H577" s="149">
        <v>0</v>
      </c>
      <c r="I577" s="149">
        <v>490000</v>
      </c>
      <c r="J577" s="141">
        <f>+J576+Tabla69[[#This Row],[DEBE]]-Tabla69[[#This Row],[HABER]]</f>
        <v>-177818044.42000002</v>
      </c>
      <c r="K577" s="142" t="s">
        <v>872</v>
      </c>
      <c r="L577" s="143" t="s">
        <v>714</v>
      </c>
      <c r="M577" s="143" t="s">
        <v>91</v>
      </c>
    </row>
    <row r="578" spans="2:13" x14ac:dyDescent="0.35">
      <c r="B578" s="145">
        <v>46044</v>
      </c>
      <c r="C578" s="146">
        <v>46044</v>
      </c>
      <c r="D578" s="147" t="s">
        <v>184</v>
      </c>
      <c r="E578" s="148">
        <v>377</v>
      </c>
      <c r="F578" s="147" t="s">
        <v>1529</v>
      </c>
      <c r="G578" s="147"/>
      <c r="H578" s="149">
        <v>0</v>
      </c>
      <c r="I578" s="149">
        <v>451000</v>
      </c>
      <c r="J578" s="141">
        <f>+J577+Tabla69[[#This Row],[DEBE]]-Tabla69[[#This Row],[HABER]]</f>
        <v>-178269044.42000002</v>
      </c>
      <c r="K578" s="142" t="s">
        <v>872</v>
      </c>
      <c r="L578" s="143" t="s">
        <v>714</v>
      </c>
      <c r="M578" s="143" t="s">
        <v>91</v>
      </c>
    </row>
    <row r="579" spans="2:13" x14ac:dyDescent="0.35">
      <c r="B579" s="145">
        <v>46044</v>
      </c>
      <c r="C579" s="146">
        <v>46044</v>
      </c>
      <c r="D579" s="147" t="s">
        <v>184</v>
      </c>
      <c r="E579" s="148">
        <v>378</v>
      </c>
      <c r="F579" s="147" t="s">
        <v>1530</v>
      </c>
      <c r="G579" s="147"/>
      <c r="H579" s="149">
        <v>0</v>
      </c>
      <c r="I579" s="149">
        <v>451000</v>
      </c>
      <c r="J579" s="141">
        <f>+J578+Tabla69[[#This Row],[DEBE]]-Tabla69[[#This Row],[HABER]]</f>
        <v>-178720044.42000002</v>
      </c>
      <c r="K579" s="142" t="s">
        <v>872</v>
      </c>
      <c r="L579" s="143" t="s">
        <v>714</v>
      </c>
      <c r="M579" s="143" t="s">
        <v>91</v>
      </c>
    </row>
    <row r="580" spans="2:13" x14ac:dyDescent="0.35">
      <c r="B580" s="145">
        <v>46044</v>
      </c>
      <c r="C580" s="146">
        <v>46044</v>
      </c>
      <c r="D580" s="147" t="s">
        <v>184</v>
      </c>
      <c r="E580" s="148">
        <v>379</v>
      </c>
      <c r="F580" s="147" t="s">
        <v>1084</v>
      </c>
      <c r="G580" s="147" t="s">
        <v>320</v>
      </c>
      <c r="H580" s="149">
        <v>0</v>
      </c>
      <c r="I580" s="149">
        <v>490000</v>
      </c>
      <c r="J580" s="141">
        <f>+J579+Tabla69[[#This Row],[DEBE]]-Tabla69[[#This Row],[HABER]]</f>
        <v>-179210044.42000002</v>
      </c>
      <c r="K580" s="142" t="s">
        <v>872</v>
      </c>
      <c r="L580" s="143" t="s">
        <v>714</v>
      </c>
      <c r="M580" s="143" t="s">
        <v>91</v>
      </c>
    </row>
    <row r="581" spans="2:13" x14ac:dyDescent="0.35">
      <c r="B581" s="145">
        <v>46044</v>
      </c>
      <c r="C581" s="146">
        <v>46044</v>
      </c>
      <c r="D581" s="147" t="s">
        <v>184</v>
      </c>
      <c r="E581" s="148">
        <v>380</v>
      </c>
      <c r="F581" s="147" t="s">
        <v>1531</v>
      </c>
      <c r="G581" s="147"/>
      <c r="H581" s="149">
        <v>0</v>
      </c>
      <c r="I581" s="149">
        <v>451000</v>
      </c>
      <c r="J581" s="141">
        <f>+J580+Tabla69[[#This Row],[DEBE]]-Tabla69[[#This Row],[HABER]]</f>
        <v>-179661044.42000002</v>
      </c>
      <c r="K581" s="142" t="s">
        <v>872</v>
      </c>
      <c r="L581" s="143" t="s">
        <v>714</v>
      </c>
      <c r="M581" s="143" t="s">
        <v>91</v>
      </c>
    </row>
    <row r="582" spans="2:13" x14ac:dyDescent="0.35">
      <c r="B582" s="145">
        <v>46044</v>
      </c>
      <c r="C582" s="146">
        <v>46044</v>
      </c>
      <c r="D582" s="147" t="s">
        <v>184</v>
      </c>
      <c r="E582" s="148">
        <v>381</v>
      </c>
      <c r="F582" s="147" t="s">
        <v>1532</v>
      </c>
      <c r="G582" s="147"/>
      <c r="H582" s="149">
        <v>0</v>
      </c>
      <c r="I582" s="149">
        <v>451000</v>
      </c>
      <c r="J582" s="141">
        <f>+J581+Tabla69[[#This Row],[DEBE]]-Tabla69[[#This Row],[HABER]]</f>
        <v>-180112044.42000002</v>
      </c>
      <c r="K582" s="142" t="s">
        <v>872</v>
      </c>
      <c r="L582" s="143" t="s">
        <v>714</v>
      </c>
      <c r="M582" s="143" t="s">
        <v>91</v>
      </c>
    </row>
    <row r="583" spans="2:13" x14ac:dyDescent="0.35">
      <c r="B583" s="145">
        <v>46044</v>
      </c>
      <c r="C583" s="146">
        <v>46044</v>
      </c>
      <c r="D583" s="147" t="s">
        <v>184</v>
      </c>
      <c r="E583" s="148">
        <v>382</v>
      </c>
      <c r="F583" s="147" t="s">
        <v>1533</v>
      </c>
      <c r="G583" s="147"/>
      <c r="H583" s="149">
        <v>0</v>
      </c>
      <c r="I583" s="149">
        <v>451000</v>
      </c>
      <c r="J583" s="141">
        <f>+J582+Tabla69[[#This Row],[DEBE]]-Tabla69[[#This Row],[HABER]]</f>
        <v>-180563044.42000002</v>
      </c>
      <c r="K583" s="142" t="s">
        <v>872</v>
      </c>
      <c r="L583" s="143" t="s">
        <v>714</v>
      </c>
      <c r="M583" s="143" t="s">
        <v>91</v>
      </c>
    </row>
    <row r="584" spans="2:13" x14ac:dyDescent="0.35">
      <c r="B584" s="145">
        <v>46044</v>
      </c>
      <c r="C584" s="146">
        <v>46044</v>
      </c>
      <c r="D584" s="147" t="s">
        <v>184</v>
      </c>
      <c r="E584" s="148">
        <v>383</v>
      </c>
      <c r="F584" s="147" t="s">
        <v>1088</v>
      </c>
      <c r="G584" s="147" t="s">
        <v>320</v>
      </c>
      <c r="H584" s="149">
        <v>0</v>
      </c>
      <c r="I584" s="149">
        <v>451000</v>
      </c>
      <c r="J584" s="141">
        <f>+J583+Tabla69[[#This Row],[DEBE]]-Tabla69[[#This Row],[HABER]]</f>
        <v>-181014044.42000002</v>
      </c>
      <c r="K584" s="142" t="s">
        <v>872</v>
      </c>
      <c r="L584" s="143" t="s">
        <v>714</v>
      </c>
      <c r="M584" s="143" t="s">
        <v>91</v>
      </c>
    </row>
    <row r="585" spans="2:13" x14ac:dyDescent="0.35">
      <c r="B585" s="145">
        <v>46044</v>
      </c>
      <c r="C585" s="146">
        <v>46044</v>
      </c>
      <c r="D585" s="147" t="s">
        <v>184</v>
      </c>
      <c r="E585" s="148">
        <v>384</v>
      </c>
      <c r="F585" s="147" t="s">
        <v>1089</v>
      </c>
      <c r="G585" s="147" t="s">
        <v>321</v>
      </c>
      <c r="H585" s="149">
        <v>0</v>
      </c>
      <c r="I585" s="149">
        <v>200000</v>
      </c>
      <c r="J585" s="141">
        <f>+J584+Tabla69[[#This Row],[DEBE]]-Tabla69[[#This Row],[HABER]]</f>
        <v>-181214044.42000002</v>
      </c>
      <c r="K585" s="142" t="s">
        <v>872</v>
      </c>
      <c r="L585" s="143" t="s">
        <v>714</v>
      </c>
      <c r="M585" s="143" t="s">
        <v>91</v>
      </c>
    </row>
    <row r="586" spans="2:13" x14ac:dyDescent="0.35">
      <c r="B586" s="145">
        <v>46044</v>
      </c>
      <c r="C586" s="146">
        <v>46044</v>
      </c>
      <c r="D586" s="147" t="s">
        <v>184</v>
      </c>
      <c r="E586" s="148">
        <v>385</v>
      </c>
      <c r="F586" s="147" t="s">
        <v>1090</v>
      </c>
      <c r="G586" s="147" t="s">
        <v>321</v>
      </c>
      <c r="H586" s="149">
        <v>0</v>
      </c>
      <c r="I586" s="149">
        <v>457500</v>
      </c>
      <c r="J586" s="141">
        <f>+J585+Tabla69[[#This Row],[DEBE]]-Tabla69[[#This Row],[HABER]]</f>
        <v>-181671544.42000002</v>
      </c>
      <c r="K586" s="142" t="s">
        <v>872</v>
      </c>
      <c r="L586" s="143" t="s">
        <v>714</v>
      </c>
      <c r="M586" s="143" t="s">
        <v>91</v>
      </c>
    </row>
    <row r="587" spans="2:13" x14ac:dyDescent="0.35">
      <c r="B587" s="145">
        <v>46044</v>
      </c>
      <c r="C587" s="146">
        <v>46044</v>
      </c>
      <c r="D587" s="147" t="s">
        <v>184</v>
      </c>
      <c r="E587" s="148">
        <v>386</v>
      </c>
      <c r="F587" s="147" t="s">
        <v>1091</v>
      </c>
      <c r="G587" s="147" t="s">
        <v>322</v>
      </c>
      <c r="H587" s="149">
        <v>0</v>
      </c>
      <c r="I587" s="149">
        <v>490000</v>
      </c>
      <c r="J587" s="141">
        <f>+J586+Tabla69[[#This Row],[DEBE]]-Tabla69[[#This Row],[HABER]]</f>
        <v>-182161544.42000002</v>
      </c>
      <c r="K587" s="142" t="s">
        <v>872</v>
      </c>
      <c r="L587" s="143" t="s">
        <v>714</v>
      </c>
      <c r="M587" s="143" t="s">
        <v>91</v>
      </c>
    </row>
    <row r="588" spans="2:13" x14ac:dyDescent="0.35">
      <c r="B588" s="145">
        <v>46044</v>
      </c>
      <c r="C588" s="146">
        <v>46044</v>
      </c>
      <c r="D588" s="147" t="s">
        <v>184</v>
      </c>
      <c r="E588" s="148">
        <v>387</v>
      </c>
      <c r="F588" s="147" t="s">
        <v>1092</v>
      </c>
      <c r="G588" s="147"/>
      <c r="H588" s="149">
        <v>0</v>
      </c>
      <c r="I588" s="149">
        <v>451000</v>
      </c>
      <c r="J588" s="141">
        <f>+J587+Tabla69[[#This Row],[DEBE]]-Tabla69[[#This Row],[HABER]]</f>
        <v>-182612544.42000002</v>
      </c>
      <c r="K588" s="142" t="s">
        <v>872</v>
      </c>
      <c r="L588" s="143" t="s">
        <v>714</v>
      </c>
      <c r="M588" s="143" t="s">
        <v>91</v>
      </c>
    </row>
    <row r="589" spans="2:13" x14ac:dyDescent="0.35">
      <c r="B589" s="145">
        <v>46044</v>
      </c>
      <c r="C589" s="146">
        <v>46044</v>
      </c>
      <c r="D589" s="147" t="s">
        <v>184</v>
      </c>
      <c r="E589" s="148">
        <v>388</v>
      </c>
      <c r="F589" s="147" t="s">
        <v>1093</v>
      </c>
      <c r="G589" s="147"/>
      <c r="H589" s="149">
        <v>0</v>
      </c>
      <c r="I589" s="149">
        <v>451000</v>
      </c>
      <c r="J589" s="141">
        <f>+J588+Tabla69[[#This Row],[DEBE]]-Tabla69[[#This Row],[HABER]]</f>
        <v>-183063544.42000002</v>
      </c>
      <c r="K589" s="142" t="s">
        <v>872</v>
      </c>
      <c r="L589" s="143" t="s">
        <v>714</v>
      </c>
      <c r="M589" s="143" t="s">
        <v>91</v>
      </c>
    </row>
    <row r="590" spans="2:13" x14ac:dyDescent="0.35">
      <c r="B590" s="145">
        <v>46044</v>
      </c>
      <c r="C590" s="146">
        <v>46044</v>
      </c>
      <c r="D590" s="147" t="s">
        <v>184</v>
      </c>
      <c r="E590" s="148">
        <v>389</v>
      </c>
      <c r="F590" s="147" t="s">
        <v>1094</v>
      </c>
      <c r="G590" s="147"/>
      <c r="H590" s="149">
        <v>0</v>
      </c>
      <c r="I590" s="149">
        <v>451000</v>
      </c>
      <c r="J590" s="141">
        <f>+J589+Tabla69[[#This Row],[DEBE]]-Tabla69[[#This Row],[HABER]]</f>
        <v>-183514544.42000002</v>
      </c>
      <c r="K590" s="142" t="s">
        <v>872</v>
      </c>
      <c r="L590" s="143" t="s">
        <v>714</v>
      </c>
      <c r="M590" s="143" t="s">
        <v>91</v>
      </c>
    </row>
    <row r="591" spans="2:13" x14ac:dyDescent="0.35">
      <c r="B591" s="145">
        <v>46044</v>
      </c>
      <c r="C591" s="146">
        <v>46044</v>
      </c>
      <c r="D591" s="147" t="s">
        <v>184</v>
      </c>
      <c r="E591" s="148">
        <v>390</v>
      </c>
      <c r="F591" s="147" t="s">
        <v>1095</v>
      </c>
      <c r="G591" s="147" t="s">
        <v>322</v>
      </c>
      <c r="H591" s="149">
        <v>0</v>
      </c>
      <c r="I591" s="149">
        <v>451000</v>
      </c>
      <c r="J591" s="141">
        <f>+J590+Tabla69[[#This Row],[DEBE]]-Tabla69[[#This Row],[HABER]]</f>
        <v>-183965544.42000002</v>
      </c>
      <c r="K591" s="142" t="s">
        <v>872</v>
      </c>
      <c r="L591" s="143" t="s">
        <v>714</v>
      </c>
      <c r="M591" s="143" t="s">
        <v>91</v>
      </c>
    </row>
    <row r="592" spans="2:13" x14ac:dyDescent="0.35">
      <c r="B592" s="145">
        <v>46044</v>
      </c>
      <c r="C592" s="146">
        <v>46044</v>
      </c>
      <c r="D592" s="147" t="s">
        <v>184</v>
      </c>
      <c r="E592" s="148">
        <v>391</v>
      </c>
      <c r="F592" s="147" t="s">
        <v>1097</v>
      </c>
      <c r="G592" s="147" t="s">
        <v>321</v>
      </c>
      <c r="H592" s="149">
        <v>0</v>
      </c>
      <c r="I592" s="149">
        <v>200000</v>
      </c>
      <c r="J592" s="141">
        <f>+J591+Tabla69[[#This Row],[DEBE]]-Tabla69[[#This Row],[HABER]]</f>
        <v>-184165544.42000002</v>
      </c>
      <c r="K592" s="142" t="s">
        <v>872</v>
      </c>
      <c r="L592" s="143" t="s">
        <v>714</v>
      </c>
      <c r="M592" s="143" t="s">
        <v>91</v>
      </c>
    </row>
    <row r="593" spans="2:13" x14ac:dyDescent="0.35">
      <c r="B593" s="145">
        <v>46044</v>
      </c>
      <c r="C593" s="146">
        <v>46044</v>
      </c>
      <c r="D593" s="147" t="s">
        <v>184</v>
      </c>
      <c r="E593" s="148">
        <v>392</v>
      </c>
      <c r="F593" s="147" t="s">
        <v>1096</v>
      </c>
      <c r="G593" s="147" t="s">
        <v>321</v>
      </c>
      <c r="H593" s="149">
        <v>0</v>
      </c>
      <c r="I593" s="149">
        <v>274500</v>
      </c>
      <c r="J593" s="141">
        <f>+J592+Tabla69[[#This Row],[DEBE]]-Tabla69[[#This Row],[HABER]]</f>
        <v>-184440044.42000002</v>
      </c>
      <c r="K593" s="142" t="s">
        <v>872</v>
      </c>
      <c r="L593" s="143" t="s">
        <v>714</v>
      </c>
      <c r="M593" s="143" t="s">
        <v>91</v>
      </c>
    </row>
    <row r="594" spans="2:13" x14ac:dyDescent="0.35">
      <c r="B594" s="145">
        <v>46044</v>
      </c>
      <c r="C594" s="146">
        <v>46044</v>
      </c>
      <c r="D594" s="147" t="s">
        <v>184</v>
      </c>
      <c r="E594" s="148">
        <v>393</v>
      </c>
      <c r="F594" s="147" t="s">
        <v>1098</v>
      </c>
      <c r="G594" s="147"/>
      <c r="H594" s="149">
        <v>0</v>
      </c>
      <c r="I594" s="149">
        <v>490000</v>
      </c>
      <c r="J594" s="141">
        <f>+J593+Tabla69[[#This Row],[DEBE]]-Tabla69[[#This Row],[HABER]]</f>
        <v>-184930044.42000002</v>
      </c>
      <c r="K594" s="142" t="s">
        <v>872</v>
      </c>
      <c r="L594" s="143" t="s">
        <v>714</v>
      </c>
      <c r="M594" s="143" t="s">
        <v>91</v>
      </c>
    </row>
    <row r="595" spans="2:13" x14ac:dyDescent="0.35">
      <c r="B595" s="145">
        <v>46044</v>
      </c>
      <c r="C595" s="146">
        <v>46044</v>
      </c>
      <c r="D595" s="147" t="s">
        <v>184</v>
      </c>
      <c r="E595" s="148">
        <v>394</v>
      </c>
      <c r="F595" s="147" t="s">
        <v>1099</v>
      </c>
      <c r="G595" s="147"/>
      <c r="H595" s="149">
        <v>0</v>
      </c>
      <c r="I595" s="149">
        <v>451000</v>
      </c>
      <c r="J595" s="141">
        <f>+J594+Tabla69[[#This Row],[DEBE]]-Tabla69[[#This Row],[HABER]]</f>
        <v>-185381044.42000002</v>
      </c>
      <c r="K595" s="142" t="s">
        <v>872</v>
      </c>
      <c r="L595" s="143" t="s">
        <v>714</v>
      </c>
      <c r="M595" s="143" t="s">
        <v>91</v>
      </c>
    </row>
    <row r="596" spans="2:13" x14ac:dyDescent="0.35">
      <c r="B596" s="145">
        <v>46044</v>
      </c>
      <c r="C596" s="146">
        <v>46044</v>
      </c>
      <c r="D596" s="147" t="s">
        <v>184</v>
      </c>
      <c r="E596" s="148">
        <v>395</v>
      </c>
      <c r="F596" s="147" t="s">
        <v>1100</v>
      </c>
      <c r="G596" s="147"/>
      <c r="H596" s="149">
        <v>0</v>
      </c>
      <c r="I596" s="149">
        <v>490000</v>
      </c>
      <c r="J596" s="141">
        <f>+J595+Tabla69[[#This Row],[DEBE]]-Tabla69[[#This Row],[HABER]]</f>
        <v>-185871044.42000002</v>
      </c>
      <c r="K596" s="142" t="s">
        <v>872</v>
      </c>
      <c r="L596" s="143" t="s">
        <v>714</v>
      </c>
      <c r="M596" s="143" t="s">
        <v>91</v>
      </c>
    </row>
    <row r="597" spans="2:13" x14ac:dyDescent="0.35">
      <c r="B597" s="145">
        <v>46044</v>
      </c>
      <c r="C597" s="146">
        <v>46044</v>
      </c>
      <c r="D597" s="147" t="s">
        <v>184</v>
      </c>
      <c r="E597" s="148">
        <v>396</v>
      </c>
      <c r="F597" s="147" t="s">
        <v>1101</v>
      </c>
      <c r="G597" s="147" t="s">
        <v>321</v>
      </c>
      <c r="H597" s="149">
        <v>0</v>
      </c>
      <c r="I597" s="149">
        <v>1299300</v>
      </c>
      <c r="J597" s="141">
        <f>+J596+Tabla69[[#This Row],[DEBE]]-Tabla69[[#This Row],[HABER]]</f>
        <v>-187170344.42000002</v>
      </c>
      <c r="K597" s="142" t="s">
        <v>872</v>
      </c>
      <c r="L597" s="143" t="s">
        <v>714</v>
      </c>
      <c r="M597" s="143" t="s">
        <v>91</v>
      </c>
    </row>
    <row r="598" spans="2:13" x14ac:dyDescent="0.35">
      <c r="B598" s="145">
        <v>46044</v>
      </c>
      <c r="C598" s="146">
        <v>46044</v>
      </c>
      <c r="D598" s="147" t="s">
        <v>184</v>
      </c>
      <c r="E598" s="148">
        <v>397</v>
      </c>
      <c r="F598" s="147" t="s">
        <v>1102</v>
      </c>
      <c r="G598" s="147" t="s">
        <v>323</v>
      </c>
      <c r="H598" s="149">
        <v>0</v>
      </c>
      <c r="I598" s="149">
        <v>490000</v>
      </c>
      <c r="J598" s="141">
        <f>+J597+Tabla69[[#This Row],[DEBE]]-Tabla69[[#This Row],[HABER]]</f>
        <v>-187660344.42000002</v>
      </c>
      <c r="K598" s="142" t="s">
        <v>872</v>
      </c>
      <c r="L598" s="143" t="s">
        <v>714</v>
      </c>
      <c r="M598" s="143" t="s">
        <v>91</v>
      </c>
    </row>
    <row r="599" spans="2:13" x14ac:dyDescent="0.35">
      <c r="B599" s="145">
        <v>46044</v>
      </c>
      <c r="C599" s="146">
        <v>46044</v>
      </c>
      <c r="D599" s="147" t="s">
        <v>184</v>
      </c>
      <c r="E599" s="148">
        <v>398</v>
      </c>
      <c r="F599" s="147" t="s">
        <v>1103</v>
      </c>
      <c r="G599" s="147" t="s">
        <v>321</v>
      </c>
      <c r="H599" s="149">
        <v>0</v>
      </c>
      <c r="I599" s="149">
        <v>457500</v>
      </c>
      <c r="J599" s="141">
        <f>+J598+Tabla69[[#This Row],[DEBE]]-Tabla69[[#This Row],[HABER]]</f>
        <v>-188117844.42000002</v>
      </c>
      <c r="K599" s="142" t="s">
        <v>872</v>
      </c>
      <c r="L599" s="143" t="s">
        <v>714</v>
      </c>
      <c r="M599" s="143" t="s">
        <v>91</v>
      </c>
    </row>
    <row r="600" spans="2:13" x14ac:dyDescent="0.35">
      <c r="B600" s="145">
        <v>46044</v>
      </c>
      <c r="C600" s="146">
        <v>46044</v>
      </c>
      <c r="D600" s="147" t="s">
        <v>184</v>
      </c>
      <c r="E600" s="148">
        <v>399</v>
      </c>
      <c r="F600" s="147" t="s">
        <v>1097</v>
      </c>
      <c r="G600" s="147" t="s">
        <v>321</v>
      </c>
      <c r="H600" s="149">
        <v>0</v>
      </c>
      <c r="I600" s="149">
        <v>128100</v>
      </c>
      <c r="J600" s="141">
        <f>+J599+Tabla69[[#This Row],[DEBE]]-Tabla69[[#This Row],[HABER]]</f>
        <v>-188245944.42000002</v>
      </c>
      <c r="K600" s="142" t="s">
        <v>872</v>
      </c>
      <c r="L600" s="143" t="s">
        <v>714</v>
      </c>
      <c r="M600" s="143" t="s">
        <v>91</v>
      </c>
    </row>
    <row r="601" spans="2:13" x14ac:dyDescent="0.35">
      <c r="B601" s="145">
        <v>46044</v>
      </c>
      <c r="C601" s="146">
        <v>46044</v>
      </c>
      <c r="D601" s="147" t="s">
        <v>184</v>
      </c>
      <c r="E601" s="148">
        <v>400</v>
      </c>
      <c r="F601" s="147" t="s">
        <v>1104</v>
      </c>
      <c r="G601" s="147"/>
      <c r="H601" s="149">
        <v>0</v>
      </c>
      <c r="I601" s="149">
        <v>451000</v>
      </c>
      <c r="J601" s="141">
        <f>+J600+Tabla69[[#This Row],[DEBE]]-Tabla69[[#This Row],[HABER]]</f>
        <v>-188696944.42000002</v>
      </c>
      <c r="K601" s="142" t="s">
        <v>872</v>
      </c>
      <c r="L601" s="143" t="s">
        <v>714</v>
      </c>
      <c r="M601" s="143" t="s">
        <v>91</v>
      </c>
    </row>
    <row r="602" spans="2:13" x14ac:dyDescent="0.35">
      <c r="B602" s="145">
        <v>46044</v>
      </c>
      <c r="C602" s="146">
        <v>46044</v>
      </c>
      <c r="D602" s="147" t="s">
        <v>184</v>
      </c>
      <c r="E602" s="148">
        <v>401</v>
      </c>
      <c r="F602" s="147" t="s">
        <v>1105</v>
      </c>
      <c r="G602" s="147"/>
      <c r="H602" s="149">
        <v>0</v>
      </c>
      <c r="I602" s="149">
        <v>451000</v>
      </c>
      <c r="J602" s="141">
        <f>+J601+Tabla69[[#This Row],[DEBE]]-Tabla69[[#This Row],[HABER]]</f>
        <v>-189147944.42000002</v>
      </c>
      <c r="K602" s="142" t="s">
        <v>872</v>
      </c>
      <c r="L602" s="143" t="s">
        <v>714</v>
      </c>
      <c r="M602" s="143" t="s">
        <v>91</v>
      </c>
    </row>
    <row r="603" spans="2:13" x14ac:dyDescent="0.35">
      <c r="B603" s="145">
        <v>46044</v>
      </c>
      <c r="C603" s="146">
        <v>46044</v>
      </c>
      <c r="D603" s="147" t="s">
        <v>184</v>
      </c>
      <c r="E603" s="148">
        <v>402</v>
      </c>
      <c r="F603" s="147" t="s">
        <v>1106</v>
      </c>
      <c r="G603" s="147"/>
      <c r="H603" s="149">
        <v>0</v>
      </c>
      <c r="I603" s="149">
        <v>451000</v>
      </c>
      <c r="J603" s="141">
        <f>+J602+Tabla69[[#This Row],[DEBE]]-Tabla69[[#This Row],[HABER]]</f>
        <v>-189598944.42000002</v>
      </c>
      <c r="K603" s="142" t="s">
        <v>872</v>
      </c>
      <c r="L603" s="143" t="s">
        <v>714</v>
      </c>
      <c r="M603" s="143" t="s">
        <v>91</v>
      </c>
    </row>
    <row r="604" spans="2:13" x14ac:dyDescent="0.35">
      <c r="B604" s="145">
        <v>46044</v>
      </c>
      <c r="C604" s="146">
        <v>46044</v>
      </c>
      <c r="D604" s="147" t="s">
        <v>184</v>
      </c>
      <c r="E604" s="148">
        <v>403</v>
      </c>
      <c r="F604" s="147" t="s">
        <v>1107</v>
      </c>
      <c r="G604" s="147" t="s">
        <v>321</v>
      </c>
      <c r="H604" s="149">
        <v>0</v>
      </c>
      <c r="I604" s="149">
        <v>915000</v>
      </c>
      <c r="J604" s="141">
        <f>+J603+Tabla69[[#This Row],[DEBE]]-Tabla69[[#This Row],[HABER]]</f>
        <v>-190513944.42000002</v>
      </c>
      <c r="K604" s="142" t="s">
        <v>872</v>
      </c>
      <c r="L604" s="143" t="s">
        <v>714</v>
      </c>
      <c r="M604" s="143" t="s">
        <v>91</v>
      </c>
    </row>
    <row r="605" spans="2:13" x14ac:dyDescent="0.35">
      <c r="B605" s="145">
        <v>46044</v>
      </c>
      <c r="C605" s="146">
        <v>46044</v>
      </c>
      <c r="D605" s="147" t="s">
        <v>184</v>
      </c>
      <c r="E605" s="148">
        <v>404</v>
      </c>
      <c r="F605" s="147" t="s">
        <v>1108</v>
      </c>
      <c r="G605" s="147"/>
      <c r="H605" s="149">
        <v>0</v>
      </c>
      <c r="I605" s="149">
        <v>451000</v>
      </c>
      <c r="J605" s="141">
        <f>+J604+Tabla69[[#This Row],[DEBE]]-Tabla69[[#This Row],[HABER]]</f>
        <v>-190964944.42000002</v>
      </c>
      <c r="K605" s="142" t="s">
        <v>872</v>
      </c>
      <c r="L605" s="143" t="s">
        <v>714</v>
      </c>
      <c r="M605" s="143" t="s">
        <v>91</v>
      </c>
    </row>
    <row r="606" spans="2:13" x14ac:dyDescent="0.35">
      <c r="B606" s="145">
        <v>46044</v>
      </c>
      <c r="C606" s="146">
        <v>46044</v>
      </c>
      <c r="D606" s="147" t="s">
        <v>184</v>
      </c>
      <c r="E606" s="148">
        <v>405</v>
      </c>
      <c r="F606" s="147" t="s">
        <v>1109</v>
      </c>
      <c r="G606" s="147"/>
      <c r="H606" s="149">
        <v>0</v>
      </c>
      <c r="I606" s="149">
        <v>490000</v>
      </c>
      <c r="J606" s="141">
        <f>+J605+Tabla69[[#This Row],[DEBE]]-Tabla69[[#This Row],[HABER]]</f>
        <v>-191454944.42000002</v>
      </c>
      <c r="K606" s="142" t="s">
        <v>872</v>
      </c>
      <c r="L606" s="143" t="s">
        <v>714</v>
      </c>
      <c r="M606" s="143" t="s">
        <v>91</v>
      </c>
    </row>
    <row r="607" spans="2:13" x14ac:dyDescent="0.35">
      <c r="B607" s="145">
        <v>46044</v>
      </c>
      <c r="C607" s="146">
        <v>46044</v>
      </c>
      <c r="D607" s="147" t="s">
        <v>184</v>
      </c>
      <c r="E607" s="148">
        <v>406</v>
      </c>
      <c r="F607" s="147" t="s">
        <v>1110</v>
      </c>
      <c r="G607" s="147" t="s">
        <v>321</v>
      </c>
      <c r="H607" s="149">
        <v>0</v>
      </c>
      <c r="I607" s="149">
        <v>490000</v>
      </c>
      <c r="J607" s="141">
        <f>+J606+Tabla69[[#This Row],[DEBE]]-Tabla69[[#This Row],[HABER]]</f>
        <v>-191944944.42000002</v>
      </c>
      <c r="K607" s="142" t="s">
        <v>872</v>
      </c>
      <c r="L607" s="143" t="s">
        <v>714</v>
      </c>
      <c r="M607" s="143" t="s">
        <v>91</v>
      </c>
    </row>
    <row r="608" spans="2:13" x14ac:dyDescent="0.35">
      <c r="B608" s="145">
        <v>46044</v>
      </c>
      <c r="C608" s="146">
        <v>46044</v>
      </c>
      <c r="D608" s="147" t="s">
        <v>184</v>
      </c>
      <c r="E608" s="148">
        <v>407</v>
      </c>
      <c r="F608" s="147" t="s">
        <v>1111</v>
      </c>
      <c r="G608" s="147" t="s">
        <v>320</v>
      </c>
      <c r="H608" s="149">
        <v>0</v>
      </c>
      <c r="I608" s="149">
        <v>451000</v>
      </c>
      <c r="J608" s="141">
        <f>+J607+Tabla69[[#This Row],[DEBE]]-Tabla69[[#This Row],[HABER]]</f>
        <v>-192395944.42000002</v>
      </c>
      <c r="K608" s="142" t="s">
        <v>872</v>
      </c>
      <c r="L608" s="143" t="s">
        <v>714</v>
      </c>
      <c r="M608" s="143" t="s">
        <v>91</v>
      </c>
    </row>
    <row r="609" spans="2:13" x14ac:dyDescent="0.35">
      <c r="B609" s="145">
        <v>46044</v>
      </c>
      <c r="C609" s="146">
        <v>46044</v>
      </c>
      <c r="D609" s="147" t="s">
        <v>184</v>
      </c>
      <c r="E609" s="148">
        <v>408</v>
      </c>
      <c r="F609" s="147" t="s">
        <v>1112</v>
      </c>
      <c r="G609" s="147" t="s">
        <v>321</v>
      </c>
      <c r="H609" s="149">
        <v>0</v>
      </c>
      <c r="I609" s="149">
        <v>1830000</v>
      </c>
      <c r="J609" s="141">
        <f>+J608+Tabla69[[#This Row],[DEBE]]-Tabla69[[#This Row],[HABER]]</f>
        <v>-194225944.42000002</v>
      </c>
      <c r="K609" s="142" t="s">
        <v>872</v>
      </c>
      <c r="L609" s="143" t="s">
        <v>714</v>
      </c>
      <c r="M609" s="143" t="s">
        <v>91</v>
      </c>
    </row>
    <row r="610" spans="2:13" x14ac:dyDescent="0.35">
      <c r="B610" s="145">
        <v>46044</v>
      </c>
      <c r="C610" s="146">
        <v>46044</v>
      </c>
      <c r="D610" s="147" t="s">
        <v>184</v>
      </c>
      <c r="E610" s="148">
        <v>409</v>
      </c>
      <c r="F610" s="147" t="s">
        <v>1113</v>
      </c>
      <c r="G610" s="147" t="s">
        <v>320</v>
      </c>
      <c r="H610" s="149">
        <v>0</v>
      </c>
      <c r="I610" s="149">
        <v>451000</v>
      </c>
      <c r="J610" s="141">
        <f>+J609+Tabla69[[#This Row],[DEBE]]-Tabla69[[#This Row],[HABER]]</f>
        <v>-194676944.42000002</v>
      </c>
      <c r="K610" s="142" t="s">
        <v>872</v>
      </c>
      <c r="L610" s="143" t="s">
        <v>714</v>
      </c>
      <c r="M610" s="143" t="s">
        <v>91</v>
      </c>
    </row>
    <row r="611" spans="2:13" x14ac:dyDescent="0.35">
      <c r="B611" s="145">
        <v>46044</v>
      </c>
      <c r="C611" s="146">
        <v>46044</v>
      </c>
      <c r="D611" s="147" t="s">
        <v>184</v>
      </c>
      <c r="E611" s="148">
        <v>410</v>
      </c>
      <c r="F611" s="147" t="s">
        <v>1114</v>
      </c>
      <c r="G611" s="147"/>
      <c r="H611" s="149">
        <v>0</v>
      </c>
      <c r="I611" s="149">
        <v>490000</v>
      </c>
      <c r="J611" s="141">
        <f>+J610+Tabla69[[#This Row],[DEBE]]-Tabla69[[#This Row],[HABER]]</f>
        <v>-195166944.42000002</v>
      </c>
      <c r="K611" s="142" t="s">
        <v>872</v>
      </c>
      <c r="L611" s="143" t="s">
        <v>714</v>
      </c>
      <c r="M611" s="143" t="s">
        <v>91</v>
      </c>
    </row>
    <row r="612" spans="2:13" x14ac:dyDescent="0.35">
      <c r="B612" s="145">
        <v>46044</v>
      </c>
      <c r="C612" s="146">
        <v>46044</v>
      </c>
      <c r="D612" s="147" t="s">
        <v>184</v>
      </c>
      <c r="E612" s="148">
        <v>411</v>
      </c>
      <c r="F612" s="147" t="s">
        <v>1115</v>
      </c>
      <c r="G612" s="147"/>
      <c r="H612" s="149">
        <v>0</v>
      </c>
      <c r="I612" s="149">
        <v>451000</v>
      </c>
      <c r="J612" s="141">
        <f>+J611+Tabla69[[#This Row],[DEBE]]-Tabla69[[#This Row],[HABER]]</f>
        <v>-195617944.42000002</v>
      </c>
      <c r="K612" s="142" t="s">
        <v>872</v>
      </c>
      <c r="L612" s="143" t="s">
        <v>714</v>
      </c>
      <c r="M612" s="143" t="s">
        <v>91</v>
      </c>
    </row>
    <row r="613" spans="2:13" x14ac:dyDescent="0.35">
      <c r="B613" s="145">
        <v>46044</v>
      </c>
      <c r="C613" s="146">
        <v>46044</v>
      </c>
      <c r="D613" s="147" t="s">
        <v>184</v>
      </c>
      <c r="E613" s="148">
        <v>412</v>
      </c>
      <c r="F613" s="147" t="s">
        <v>1116</v>
      </c>
      <c r="G613" s="147"/>
      <c r="H613" s="149">
        <v>0</v>
      </c>
      <c r="I613" s="149">
        <v>451000</v>
      </c>
      <c r="J613" s="141">
        <f>+J612+Tabla69[[#This Row],[DEBE]]-Tabla69[[#This Row],[HABER]]</f>
        <v>-196068944.42000002</v>
      </c>
      <c r="K613" s="142" t="s">
        <v>872</v>
      </c>
      <c r="L613" s="143" t="s">
        <v>714</v>
      </c>
      <c r="M613" s="143" t="s">
        <v>91</v>
      </c>
    </row>
    <row r="614" spans="2:13" x14ac:dyDescent="0.35">
      <c r="B614" s="145">
        <v>46044</v>
      </c>
      <c r="C614" s="146">
        <v>46044</v>
      </c>
      <c r="D614" s="147" t="s">
        <v>184</v>
      </c>
      <c r="E614" s="148">
        <v>413</v>
      </c>
      <c r="F614" s="147" t="s">
        <v>1089</v>
      </c>
      <c r="G614" s="147" t="s">
        <v>321</v>
      </c>
      <c r="H614" s="149">
        <v>0</v>
      </c>
      <c r="I614" s="149">
        <v>366000</v>
      </c>
      <c r="J614" s="141">
        <f>+J613+Tabla69[[#This Row],[DEBE]]-Tabla69[[#This Row],[HABER]]</f>
        <v>-196434944.42000002</v>
      </c>
      <c r="K614" s="142" t="s">
        <v>872</v>
      </c>
      <c r="L614" s="143" t="s">
        <v>714</v>
      </c>
      <c r="M614" s="143" t="s">
        <v>91</v>
      </c>
    </row>
    <row r="615" spans="2:13" x14ac:dyDescent="0.35">
      <c r="B615" s="145">
        <v>46044</v>
      </c>
      <c r="C615" s="146">
        <v>46044</v>
      </c>
      <c r="D615" s="147" t="s">
        <v>184</v>
      </c>
      <c r="E615" s="148">
        <v>414</v>
      </c>
      <c r="F615" s="147" t="s">
        <v>1117</v>
      </c>
      <c r="G615" s="147" t="s">
        <v>321</v>
      </c>
      <c r="H615" s="149">
        <v>0</v>
      </c>
      <c r="I615" s="149">
        <v>713700</v>
      </c>
      <c r="J615" s="141">
        <f>+J614+Tabla69[[#This Row],[DEBE]]-Tabla69[[#This Row],[HABER]]</f>
        <v>-197148644.42000002</v>
      </c>
      <c r="K615" s="142" t="s">
        <v>872</v>
      </c>
      <c r="L615" s="143" t="s">
        <v>714</v>
      </c>
      <c r="M615" s="143" t="s">
        <v>91</v>
      </c>
    </row>
    <row r="616" spans="2:13" x14ac:dyDescent="0.35">
      <c r="B616" s="145">
        <v>46044</v>
      </c>
      <c r="C616" s="146">
        <v>46044</v>
      </c>
      <c r="D616" s="147" t="s">
        <v>184</v>
      </c>
      <c r="E616" s="148">
        <v>415</v>
      </c>
      <c r="F616" s="147" t="s">
        <v>1118</v>
      </c>
      <c r="G616" s="147" t="s">
        <v>324</v>
      </c>
      <c r="H616" s="149">
        <v>0</v>
      </c>
      <c r="I616" s="149">
        <v>451000</v>
      </c>
      <c r="J616" s="141">
        <f>+J615+Tabla69[[#This Row],[DEBE]]-Tabla69[[#This Row],[HABER]]</f>
        <v>-197599644.42000002</v>
      </c>
      <c r="K616" s="142" t="s">
        <v>872</v>
      </c>
      <c r="L616" s="143" t="s">
        <v>714</v>
      </c>
      <c r="M616" s="143" t="s">
        <v>91</v>
      </c>
    </row>
    <row r="617" spans="2:13" x14ac:dyDescent="0.35">
      <c r="B617" s="145">
        <v>46044</v>
      </c>
      <c r="C617" s="146">
        <v>46044</v>
      </c>
      <c r="D617" s="147" t="s">
        <v>184</v>
      </c>
      <c r="E617" s="148">
        <v>416</v>
      </c>
      <c r="F617" s="147" t="s">
        <v>1119</v>
      </c>
      <c r="G617" s="147" t="s">
        <v>323</v>
      </c>
      <c r="H617" s="149">
        <v>0</v>
      </c>
      <c r="I617" s="149">
        <v>128100</v>
      </c>
      <c r="J617" s="141">
        <f>+J616+Tabla69[[#This Row],[DEBE]]-Tabla69[[#This Row],[HABER]]</f>
        <v>-197727744.42000002</v>
      </c>
      <c r="K617" s="142" t="s">
        <v>872</v>
      </c>
      <c r="L617" s="143" t="s">
        <v>714</v>
      </c>
      <c r="M617" s="143" t="s">
        <v>91</v>
      </c>
    </row>
    <row r="618" spans="2:13" x14ac:dyDescent="0.35">
      <c r="B618" s="145">
        <v>46044</v>
      </c>
      <c r="C618" s="146">
        <v>46044</v>
      </c>
      <c r="D618" s="147" t="s">
        <v>184</v>
      </c>
      <c r="E618" s="148">
        <v>417</v>
      </c>
      <c r="F618" s="147" t="s">
        <v>1120</v>
      </c>
      <c r="G618" s="147" t="s">
        <v>321</v>
      </c>
      <c r="H618" s="149">
        <v>0</v>
      </c>
      <c r="I618" s="149">
        <v>128100</v>
      </c>
      <c r="J618" s="141">
        <f>+J617+Tabla69[[#This Row],[DEBE]]-Tabla69[[#This Row],[HABER]]</f>
        <v>-197855844.42000002</v>
      </c>
      <c r="K618" s="142" t="s">
        <v>872</v>
      </c>
      <c r="L618" s="143" t="s">
        <v>714</v>
      </c>
      <c r="M618" s="143" t="s">
        <v>91</v>
      </c>
    </row>
    <row r="619" spans="2:13" x14ac:dyDescent="0.35">
      <c r="B619" s="145">
        <v>46044</v>
      </c>
      <c r="C619" s="146">
        <v>46044</v>
      </c>
      <c r="D619" s="147" t="s">
        <v>184</v>
      </c>
      <c r="E619" s="148">
        <v>418</v>
      </c>
      <c r="F619" s="147" t="s">
        <v>1121</v>
      </c>
      <c r="G619" s="147"/>
      <c r="H619" s="149">
        <v>0</v>
      </c>
      <c r="I619" s="149">
        <v>451000</v>
      </c>
      <c r="J619" s="141">
        <f>+J618+Tabla69[[#This Row],[DEBE]]-Tabla69[[#This Row],[HABER]]</f>
        <v>-198306844.42000002</v>
      </c>
      <c r="K619" s="142" t="s">
        <v>872</v>
      </c>
      <c r="L619" s="143" t="s">
        <v>714</v>
      </c>
      <c r="M619" s="143" t="s">
        <v>91</v>
      </c>
    </row>
    <row r="620" spans="2:13" x14ac:dyDescent="0.35">
      <c r="B620" s="145">
        <v>46044</v>
      </c>
      <c r="C620" s="146">
        <v>46044</v>
      </c>
      <c r="D620" s="147" t="s">
        <v>184</v>
      </c>
      <c r="E620" s="148">
        <v>419</v>
      </c>
      <c r="F620" s="147" t="s">
        <v>1302</v>
      </c>
      <c r="G620" s="147"/>
      <c r="H620" s="149">
        <v>0</v>
      </c>
      <c r="I620" s="149">
        <v>451000</v>
      </c>
      <c r="J620" s="141">
        <f>+J619+Tabla69[[#This Row],[DEBE]]-Tabla69[[#This Row],[HABER]]</f>
        <v>-198757844.42000002</v>
      </c>
      <c r="K620" s="142" t="s">
        <v>872</v>
      </c>
      <c r="L620" s="143" t="s">
        <v>714</v>
      </c>
      <c r="M620" s="143" t="s">
        <v>91</v>
      </c>
    </row>
    <row r="621" spans="2:13" x14ac:dyDescent="0.35">
      <c r="B621" s="145">
        <v>46044</v>
      </c>
      <c r="C621" s="146">
        <v>46044</v>
      </c>
      <c r="D621" s="147" t="s">
        <v>184</v>
      </c>
      <c r="E621" s="148">
        <v>420</v>
      </c>
      <c r="F621" s="147" t="s">
        <v>1303</v>
      </c>
      <c r="G621" s="147"/>
      <c r="H621" s="149">
        <v>0</v>
      </c>
      <c r="I621" s="149">
        <v>490000</v>
      </c>
      <c r="J621" s="141">
        <f>+J620+Tabla69[[#This Row],[DEBE]]-Tabla69[[#This Row],[HABER]]</f>
        <v>-199247844.42000002</v>
      </c>
      <c r="K621" s="142" t="s">
        <v>872</v>
      </c>
      <c r="L621" s="143" t="s">
        <v>714</v>
      </c>
      <c r="M621" s="143" t="s">
        <v>91</v>
      </c>
    </row>
    <row r="622" spans="2:13" x14ac:dyDescent="0.35">
      <c r="B622" s="145">
        <v>46044</v>
      </c>
      <c r="C622" s="146">
        <v>46044</v>
      </c>
      <c r="D622" s="147" t="s">
        <v>184</v>
      </c>
      <c r="E622" s="148">
        <v>421</v>
      </c>
      <c r="F622" s="147" t="s">
        <v>1304</v>
      </c>
      <c r="G622" s="147" t="s">
        <v>324</v>
      </c>
      <c r="H622" s="149">
        <v>0</v>
      </c>
      <c r="I622" s="149">
        <v>451000</v>
      </c>
      <c r="J622" s="141">
        <f>+J621+Tabla69[[#This Row],[DEBE]]-Tabla69[[#This Row],[HABER]]</f>
        <v>-199698844.42000002</v>
      </c>
      <c r="K622" s="142" t="s">
        <v>872</v>
      </c>
      <c r="L622" s="143" t="s">
        <v>714</v>
      </c>
      <c r="M622" s="143" t="s">
        <v>91</v>
      </c>
    </row>
    <row r="623" spans="2:13" x14ac:dyDescent="0.35">
      <c r="B623" s="145">
        <v>46044</v>
      </c>
      <c r="C623" s="146">
        <v>46044</v>
      </c>
      <c r="D623" s="147" t="s">
        <v>184</v>
      </c>
      <c r="E623" s="148">
        <v>422</v>
      </c>
      <c r="F623" s="147" t="s">
        <v>1305</v>
      </c>
      <c r="G623" s="147" t="s">
        <v>323</v>
      </c>
      <c r="H623" s="149">
        <v>0</v>
      </c>
      <c r="I623" s="149">
        <v>549000</v>
      </c>
      <c r="J623" s="141">
        <f>+J622+Tabla69[[#This Row],[DEBE]]-Tabla69[[#This Row],[HABER]]</f>
        <v>-200247844.42000002</v>
      </c>
      <c r="K623" s="142" t="s">
        <v>872</v>
      </c>
      <c r="L623" s="143" t="s">
        <v>714</v>
      </c>
      <c r="M623" s="143" t="s">
        <v>91</v>
      </c>
    </row>
    <row r="624" spans="2:13" x14ac:dyDescent="0.35">
      <c r="B624" s="145">
        <v>46044</v>
      </c>
      <c r="C624" s="146">
        <v>46044</v>
      </c>
      <c r="D624" s="147" t="s">
        <v>184</v>
      </c>
      <c r="E624" s="148">
        <v>423</v>
      </c>
      <c r="F624" s="147" t="s">
        <v>1306</v>
      </c>
      <c r="G624" s="147" t="s">
        <v>324</v>
      </c>
      <c r="H624" s="149">
        <v>0</v>
      </c>
      <c r="I624" s="149">
        <v>451000</v>
      </c>
      <c r="J624" s="141">
        <f>+J623+Tabla69[[#This Row],[DEBE]]-Tabla69[[#This Row],[HABER]]</f>
        <v>-200698844.42000002</v>
      </c>
      <c r="K624" s="142" t="s">
        <v>872</v>
      </c>
      <c r="L624" s="143" t="s">
        <v>714</v>
      </c>
      <c r="M624" s="143" t="s">
        <v>91</v>
      </c>
    </row>
    <row r="625" spans="2:13" x14ac:dyDescent="0.35">
      <c r="B625" s="145">
        <v>46044</v>
      </c>
      <c r="C625" s="146">
        <v>46044</v>
      </c>
      <c r="D625" s="147" t="s">
        <v>184</v>
      </c>
      <c r="E625" s="148">
        <v>424</v>
      </c>
      <c r="F625" s="147" t="s">
        <v>1307</v>
      </c>
      <c r="G625" s="147" t="s">
        <v>323</v>
      </c>
      <c r="H625" s="149">
        <v>0</v>
      </c>
      <c r="I625" s="149">
        <v>164700</v>
      </c>
      <c r="J625" s="141">
        <f>+J624+Tabla69[[#This Row],[DEBE]]-Tabla69[[#This Row],[HABER]]</f>
        <v>-200863544.42000002</v>
      </c>
      <c r="K625" s="142" t="s">
        <v>872</v>
      </c>
      <c r="L625" s="143" t="s">
        <v>714</v>
      </c>
      <c r="M625" s="143" t="s">
        <v>91</v>
      </c>
    </row>
    <row r="626" spans="2:13" x14ac:dyDescent="0.35">
      <c r="B626" s="145">
        <v>46044</v>
      </c>
      <c r="C626" s="146">
        <v>46044</v>
      </c>
      <c r="D626" s="147" t="s">
        <v>184</v>
      </c>
      <c r="E626" s="148">
        <v>425</v>
      </c>
      <c r="F626" s="147" t="s">
        <v>1308</v>
      </c>
      <c r="G626" s="147" t="s">
        <v>321</v>
      </c>
      <c r="H626" s="149">
        <v>0</v>
      </c>
      <c r="I626" s="149">
        <v>1830000</v>
      </c>
      <c r="J626" s="141">
        <f>+J625+Tabla69[[#This Row],[DEBE]]-Tabla69[[#This Row],[HABER]]</f>
        <v>-202693544.42000002</v>
      </c>
      <c r="K626" s="142" t="s">
        <v>872</v>
      </c>
      <c r="L626" s="143" t="s">
        <v>714</v>
      </c>
      <c r="M626" s="143" t="s">
        <v>91</v>
      </c>
    </row>
    <row r="627" spans="2:13" x14ac:dyDescent="0.35">
      <c r="B627" s="145">
        <v>46044</v>
      </c>
      <c r="C627" s="146">
        <v>46044</v>
      </c>
      <c r="D627" s="147" t="s">
        <v>184</v>
      </c>
      <c r="E627" s="148">
        <v>426</v>
      </c>
      <c r="F627" s="147" t="s">
        <v>1309</v>
      </c>
      <c r="G627" s="147" t="s">
        <v>320</v>
      </c>
      <c r="H627" s="149">
        <v>0</v>
      </c>
      <c r="I627" s="149">
        <v>451000</v>
      </c>
      <c r="J627" s="141">
        <f>+J626+Tabla69[[#This Row],[DEBE]]-Tabla69[[#This Row],[HABER]]</f>
        <v>-203144544.42000002</v>
      </c>
      <c r="K627" s="142" t="s">
        <v>872</v>
      </c>
      <c r="L627" s="143" t="s">
        <v>714</v>
      </c>
      <c r="M627" s="143" t="s">
        <v>91</v>
      </c>
    </row>
    <row r="628" spans="2:13" x14ac:dyDescent="0.35">
      <c r="B628" s="145">
        <v>46044</v>
      </c>
      <c r="C628" s="146">
        <v>46044</v>
      </c>
      <c r="D628" s="147" t="s">
        <v>184</v>
      </c>
      <c r="E628" s="148">
        <v>427</v>
      </c>
      <c r="F628" s="147" t="s">
        <v>1310</v>
      </c>
      <c r="G628" s="147"/>
      <c r="H628" s="149">
        <v>0</v>
      </c>
      <c r="I628" s="149">
        <v>554520.19999999995</v>
      </c>
      <c r="J628" s="141">
        <f>+J627+Tabla69[[#This Row],[DEBE]]-Tabla69[[#This Row],[HABER]]</f>
        <v>-203699064.62</v>
      </c>
      <c r="K628" s="142" t="s">
        <v>872</v>
      </c>
      <c r="L628" s="143" t="s">
        <v>714</v>
      </c>
      <c r="M628" s="143" t="s">
        <v>91</v>
      </c>
    </row>
    <row r="629" spans="2:13" x14ac:dyDescent="0.35">
      <c r="B629" s="145">
        <v>46044</v>
      </c>
      <c r="C629" s="146">
        <v>46044</v>
      </c>
      <c r="D629" s="147" t="s">
        <v>184</v>
      </c>
      <c r="E629" s="148">
        <v>428</v>
      </c>
      <c r="F629" s="147" t="s">
        <v>1311</v>
      </c>
      <c r="G629" s="147"/>
      <c r="H629" s="149">
        <v>0</v>
      </c>
      <c r="I629" s="149">
        <v>1446783.19</v>
      </c>
      <c r="J629" s="141">
        <f>+J628+Tabla69[[#This Row],[DEBE]]-Tabla69[[#This Row],[HABER]]</f>
        <v>-205145847.81</v>
      </c>
      <c r="K629" s="142" t="s">
        <v>872</v>
      </c>
      <c r="L629" s="143" t="s">
        <v>714</v>
      </c>
      <c r="M629" s="143" t="s">
        <v>91</v>
      </c>
    </row>
    <row r="630" spans="2:13" x14ac:dyDescent="0.35">
      <c r="B630" s="145">
        <v>46044</v>
      </c>
      <c r="C630" s="146">
        <v>46044</v>
      </c>
      <c r="D630" s="147" t="s">
        <v>184</v>
      </c>
      <c r="E630" s="148">
        <v>429</v>
      </c>
      <c r="F630" s="147" t="s">
        <v>1312</v>
      </c>
      <c r="G630" s="147" t="s">
        <v>321</v>
      </c>
      <c r="H630" s="149">
        <v>0</v>
      </c>
      <c r="I630" s="149">
        <v>1830000</v>
      </c>
      <c r="J630" s="141">
        <f>+J629+Tabla69[[#This Row],[DEBE]]-Tabla69[[#This Row],[HABER]]</f>
        <v>-206975847.81</v>
      </c>
      <c r="K630" s="142" t="s">
        <v>872</v>
      </c>
      <c r="L630" s="143" t="s">
        <v>714</v>
      </c>
      <c r="M630" s="143" t="s">
        <v>91</v>
      </c>
    </row>
    <row r="631" spans="2:13" x14ac:dyDescent="0.35">
      <c r="B631" s="145">
        <v>46044</v>
      </c>
      <c r="C631" s="146">
        <v>46044</v>
      </c>
      <c r="D631" s="147" t="s">
        <v>184</v>
      </c>
      <c r="E631" s="148">
        <v>430</v>
      </c>
      <c r="F631" s="147" t="s">
        <v>1313</v>
      </c>
      <c r="G631" s="147" t="s">
        <v>323</v>
      </c>
      <c r="H631" s="149">
        <v>0</v>
      </c>
      <c r="I631" s="149">
        <v>733098</v>
      </c>
      <c r="J631" s="141">
        <f>+J630+Tabla69[[#This Row],[DEBE]]-Tabla69[[#This Row],[HABER]]</f>
        <v>-207708945.81</v>
      </c>
      <c r="K631" s="142" t="s">
        <v>872</v>
      </c>
      <c r="L631" s="143" t="s">
        <v>714</v>
      </c>
      <c r="M631" s="143" t="s">
        <v>91</v>
      </c>
    </row>
    <row r="632" spans="2:13" x14ac:dyDescent="0.35">
      <c r="B632" s="145">
        <v>46044</v>
      </c>
      <c r="C632" s="146">
        <v>46044</v>
      </c>
      <c r="D632" s="147" t="s">
        <v>184</v>
      </c>
      <c r="E632" s="148">
        <v>431</v>
      </c>
      <c r="F632" s="147" t="s">
        <v>1314</v>
      </c>
      <c r="G632" s="147"/>
      <c r="H632" s="149">
        <v>0</v>
      </c>
      <c r="I632" s="149">
        <v>1073925</v>
      </c>
      <c r="J632" s="141">
        <f>+J631+Tabla69[[#This Row],[DEBE]]-Tabla69[[#This Row],[HABER]]</f>
        <v>-208782870.81</v>
      </c>
      <c r="K632" s="142" t="s">
        <v>872</v>
      </c>
      <c r="L632" s="143" t="s">
        <v>714</v>
      </c>
      <c r="M632" s="143" t="s">
        <v>91</v>
      </c>
    </row>
    <row r="633" spans="2:13" x14ac:dyDescent="0.35">
      <c r="B633" s="145">
        <v>46044</v>
      </c>
      <c r="C633" s="146">
        <v>46044</v>
      </c>
      <c r="D633" s="147" t="s">
        <v>184</v>
      </c>
      <c r="E633" s="148">
        <v>432</v>
      </c>
      <c r="F633" s="147" t="s">
        <v>1315</v>
      </c>
      <c r="G633" s="147"/>
      <c r="H633" s="149">
        <v>0</v>
      </c>
      <c r="I633" s="149">
        <v>1073925</v>
      </c>
      <c r="J633" s="141">
        <f>+J632+Tabla69[[#This Row],[DEBE]]-Tabla69[[#This Row],[HABER]]</f>
        <v>-209856795.81</v>
      </c>
      <c r="K633" s="142" t="s">
        <v>872</v>
      </c>
      <c r="L633" s="143" t="s">
        <v>714</v>
      </c>
      <c r="M633" s="143" t="s">
        <v>91</v>
      </c>
    </row>
    <row r="634" spans="2:13" x14ac:dyDescent="0.35">
      <c r="B634" s="145">
        <v>46044</v>
      </c>
      <c r="C634" s="146">
        <v>46044</v>
      </c>
      <c r="D634" s="147" t="s">
        <v>184</v>
      </c>
      <c r="E634" s="148">
        <v>433</v>
      </c>
      <c r="F634" s="147" t="s">
        <v>1316</v>
      </c>
      <c r="G634" s="147"/>
      <c r="H634" s="149">
        <v>0</v>
      </c>
      <c r="I634" s="149">
        <v>645000</v>
      </c>
      <c r="J634" s="141">
        <f>+J633+Tabla69[[#This Row],[DEBE]]-Tabla69[[#This Row],[HABER]]</f>
        <v>-210501795.81</v>
      </c>
      <c r="K634" s="142" t="s">
        <v>872</v>
      </c>
      <c r="L634" s="143" t="s">
        <v>714</v>
      </c>
      <c r="M634" s="143" t="s">
        <v>91</v>
      </c>
    </row>
    <row r="635" spans="2:13" x14ac:dyDescent="0.35">
      <c r="B635" s="145">
        <v>46044</v>
      </c>
      <c r="C635" s="146">
        <v>46044</v>
      </c>
      <c r="D635" s="147" t="s">
        <v>184</v>
      </c>
      <c r="E635" s="148">
        <v>434</v>
      </c>
      <c r="F635" s="147" t="s">
        <v>1317</v>
      </c>
      <c r="G635" s="147" t="s">
        <v>325</v>
      </c>
      <c r="H635" s="149">
        <v>0</v>
      </c>
      <c r="I635" s="149">
        <v>490000</v>
      </c>
      <c r="J635" s="141">
        <f>+J634+Tabla69[[#This Row],[DEBE]]-Tabla69[[#This Row],[HABER]]</f>
        <v>-210991795.81</v>
      </c>
      <c r="K635" s="142" t="s">
        <v>872</v>
      </c>
      <c r="L635" s="143" t="s">
        <v>714</v>
      </c>
      <c r="M635" s="143" t="s">
        <v>91</v>
      </c>
    </row>
    <row r="636" spans="2:13" x14ac:dyDescent="0.35">
      <c r="B636" s="145">
        <v>46044</v>
      </c>
      <c r="C636" s="146">
        <v>46044</v>
      </c>
      <c r="D636" s="147" t="s">
        <v>184</v>
      </c>
      <c r="E636" s="148">
        <v>435</v>
      </c>
      <c r="F636" s="147" t="s">
        <v>1318</v>
      </c>
      <c r="G636" s="147" t="s">
        <v>321</v>
      </c>
      <c r="H636" s="149">
        <v>0</v>
      </c>
      <c r="I636" s="149">
        <v>1830000</v>
      </c>
      <c r="J636" s="141">
        <f>+J635+Tabla69[[#This Row],[DEBE]]-Tabla69[[#This Row],[HABER]]</f>
        <v>-212821795.81</v>
      </c>
      <c r="K636" s="142" t="s">
        <v>872</v>
      </c>
      <c r="L636" s="143" t="s">
        <v>714</v>
      </c>
      <c r="M636" s="143" t="s">
        <v>91</v>
      </c>
    </row>
    <row r="637" spans="2:13" x14ac:dyDescent="0.35">
      <c r="B637" s="145">
        <v>46044</v>
      </c>
      <c r="C637" s="146">
        <v>46044</v>
      </c>
      <c r="D637" s="147" t="s">
        <v>184</v>
      </c>
      <c r="E637" s="148">
        <v>436</v>
      </c>
      <c r="F637" s="147" t="s">
        <v>1319</v>
      </c>
      <c r="G637" s="147" t="s">
        <v>321</v>
      </c>
      <c r="H637" s="149">
        <v>0</v>
      </c>
      <c r="I637" s="149">
        <v>1830000</v>
      </c>
      <c r="J637" s="141">
        <f>+J636+Tabla69[[#This Row],[DEBE]]-Tabla69[[#This Row],[HABER]]</f>
        <v>-214651795.81</v>
      </c>
      <c r="K637" s="142" t="s">
        <v>872</v>
      </c>
      <c r="L637" s="143" t="s">
        <v>714</v>
      </c>
      <c r="M637" s="143" t="s">
        <v>91</v>
      </c>
    </row>
    <row r="638" spans="2:13" x14ac:dyDescent="0.35">
      <c r="B638" s="145">
        <v>46044</v>
      </c>
      <c r="C638" s="146">
        <v>46044</v>
      </c>
      <c r="D638" s="147" t="s">
        <v>184</v>
      </c>
      <c r="E638" s="148">
        <v>437</v>
      </c>
      <c r="F638" s="147" t="s">
        <v>1320</v>
      </c>
      <c r="G638" s="147" t="s">
        <v>321</v>
      </c>
      <c r="H638" s="149">
        <v>0</v>
      </c>
      <c r="I638" s="149">
        <v>730902</v>
      </c>
      <c r="J638" s="141">
        <f>+J637+Tabla69[[#This Row],[DEBE]]-Tabla69[[#This Row],[HABER]]</f>
        <v>-215382697.81</v>
      </c>
      <c r="K638" s="142" t="s">
        <v>872</v>
      </c>
      <c r="L638" s="143" t="s">
        <v>714</v>
      </c>
      <c r="M638" s="143" t="s">
        <v>91</v>
      </c>
    </row>
    <row r="639" spans="2:13" x14ac:dyDescent="0.35">
      <c r="B639" s="145">
        <v>46044</v>
      </c>
      <c r="C639" s="146">
        <v>46044</v>
      </c>
      <c r="D639" s="147" t="s">
        <v>184</v>
      </c>
      <c r="E639" s="148">
        <v>438</v>
      </c>
      <c r="F639" s="147" t="s">
        <v>1321</v>
      </c>
      <c r="G639" s="147" t="s">
        <v>324</v>
      </c>
      <c r="H639" s="149">
        <v>0</v>
      </c>
      <c r="I639" s="149">
        <v>490000</v>
      </c>
      <c r="J639" s="141">
        <f>+J638+Tabla69[[#This Row],[DEBE]]-Tabla69[[#This Row],[HABER]]</f>
        <v>-215872697.81</v>
      </c>
      <c r="K639" s="142" t="s">
        <v>872</v>
      </c>
      <c r="L639" s="143" t="s">
        <v>714</v>
      </c>
      <c r="M639" s="143" t="s">
        <v>91</v>
      </c>
    </row>
    <row r="640" spans="2:13" x14ac:dyDescent="0.35">
      <c r="B640" s="145">
        <v>46044</v>
      </c>
      <c r="C640" s="146">
        <v>46044</v>
      </c>
      <c r="D640" s="147" t="s">
        <v>184</v>
      </c>
      <c r="E640" s="148">
        <v>439</v>
      </c>
      <c r="F640" s="147" t="s">
        <v>1322</v>
      </c>
      <c r="G640" s="147"/>
      <c r="H640" s="149">
        <v>0</v>
      </c>
      <c r="I640" s="149">
        <v>670800</v>
      </c>
      <c r="J640" s="141">
        <f>+J639+Tabla69[[#This Row],[DEBE]]-Tabla69[[#This Row],[HABER]]</f>
        <v>-216543497.81</v>
      </c>
      <c r="K640" s="142" t="s">
        <v>872</v>
      </c>
      <c r="L640" s="143" t="s">
        <v>714</v>
      </c>
      <c r="M640" s="143" t="s">
        <v>91</v>
      </c>
    </row>
    <row r="641" spans="2:13" x14ac:dyDescent="0.35">
      <c r="B641" s="145">
        <v>46044</v>
      </c>
      <c r="C641" s="146">
        <v>46044</v>
      </c>
      <c r="D641" s="147" t="s">
        <v>184</v>
      </c>
      <c r="E641" s="148">
        <v>440</v>
      </c>
      <c r="F641" s="147" t="s">
        <v>1323</v>
      </c>
      <c r="G641" s="147"/>
      <c r="H641" s="149">
        <v>0</v>
      </c>
      <c r="I641" s="149">
        <v>670800</v>
      </c>
      <c r="J641" s="141">
        <f>+J640+Tabla69[[#This Row],[DEBE]]-Tabla69[[#This Row],[HABER]]</f>
        <v>-217214297.81</v>
      </c>
      <c r="K641" s="142" t="s">
        <v>872</v>
      </c>
      <c r="L641" s="143" t="s">
        <v>714</v>
      </c>
      <c r="M641" s="143" t="s">
        <v>91</v>
      </c>
    </row>
    <row r="642" spans="2:13" x14ac:dyDescent="0.35">
      <c r="B642" s="145">
        <v>46044</v>
      </c>
      <c r="C642" s="146">
        <v>46044</v>
      </c>
      <c r="D642" s="147" t="s">
        <v>184</v>
      </c>
      <c r="E642" s="148">
        <v>441</v>
      </c>
      <c r="F642" s="147" t="s">
        <v>1324</v>
      </c>
      <c r="G642" s="147"/>
      <c r="H642" s="149">
        <v>0</v>
      </c>
      <c r="I642" s="149">
        <v>930735</v>
      </c>
      <c r="J642" s="141">
        <f>+J641+Tabla69[[#This Row],[DEBE]]-Tabla69[[#This Row],[HABER]]</f>
        <v>-218145032.81</v>
      </c>
      <c r="K642" s="142" t="s">
        <v>872</v>
      </c>
      <c r="L642" s="143" t="s">
        <v>714</v>
      </c>
      <c r="M642" s="143" t="s">
        <v>91</v>
      </c>
    </row>
    <row r="643" spans="2:13" x14ac:dyDescent="0.35">
      <c r="B643" s="145">
        <v>46044</v>
      </c>
      <c r="C643" s="146">
        <v>46044</v>
      </c>
      <c r="D643" s="147" t="s">
        <v>184</v>
      </c>
      <c r="E643" s="148">
        <v>442</v>
      </c>
      <c r="F643" s="147" t="s">
        <v>1325</v>
      </c>
      <c r="G643" s="147" t="s">
        <v>326</v>
      </c>
      <c r="H643" s="149">
        <v>0</v>
      </c>
      <c r="I643" s="149">
        <v>915000</v>
      </c>
      <c r="J643" s="141">
        <f>+J642+Tabla69[[#This Row],[DEBE]]-Tabla69[[#This Row],[HABER]]</f>
        <v>-219060032.81</v>
      </c>
      <c r="K643" s="142" t="s">
        <v>872</v>
      </c>
      <c r="L643" s="143" t="s">
        <v>714</v>
      </c>
      <c r="M643" s="143" t="s">
        <v>91</v>
      </c>
    </row>
    <row r="644" spans="2:13" x14ac:dyDescent="0.35">
      <c r="B644" s="145">
        <v>46044</v>
      </c>
      <c r="C644" s="146">
        <v>46044</v>
      </c>
      <c r="D644" s="147" t="s">
        <v>184</v>
      </c>
      <c r="E644" s="148">
        <v>443</v>
      </c>
      <c r="F644" s="147" t="s">
        <v>1326</v>
      </c>
      <c r="G644" s="147" t="s">
        <v>327</v>
      </c>
      <c r="H644" s="149">
        <v>0</v>
      </c>
      <c r="I644" s="149">
        <v>451000</v>
      </c>
      <c r="J644" s="141">
        <f>+J643+Tabla69[[#This Row],[DEBE]]-Tabla69[[#This Row],[HABER]]</f>
        <v>-219511032.81</v>
      </c>
      <c r="K644" s="142" t="s">
        <v>872</v>
      </c>
      <c r="L644" s="143" t="s">
        <v>714</v>
      </c>
      <c r="M644" s="143" t="s">
        <v>91</v>
      </c>
    </row>
    <row r="645" spans="2:13" x14ac:dyDescent="0.35">
      <c r="B645" s="145">
        <v>46044</v>
      </c>
      <c r="C645" s="146">
        <v>46044</v>
      </c>
      <c r="D645" s="147" t="s">
        <v>184</v>
      </c>
      <c r="E645" s="148">
        <v>444</v>
      </c>
      <c r="F645" s="147" t="s">
        <v>1327</v>
      </c>
      <c r="G645" s="147" t="s">
        <v>321</v>
      </c>
      <c r="H645" s="149">
        <v>0</v>
      </c>
      <c r="I645" s="149">
        <v>915000</v>
      </c>
      <c r="J645" s="141">
        <f>+J644+Tabla69[[#This Row],[DEBE]]-Tabla69[[#This Row],[HABER]]</f>
        <v>-220426032.81</v>
      </c>
      <c r="K645" s="142" t="s">
        <v>872</v>
      </c>
      <c r="L645" s="143" t="s">
        <v>714</v>
      </c>
      <c r="M645" s="143" t="s">
        <v>91</v>
      </c>
    </row>
    <row r="646" spans="2:13" x14ac:dyDescent="0.35">
      <c r="B646" s="145">
        <v>46044</v>
      </c>
      <c r="C646" s="146">
        <v>46044</v>
      </c>
      <c r="D646" s="147" t="s">
        <v>184</v>
      </c>
      <c r="E646" s="148">
        <v>445</v>
      </c>
      <c r="F646" s="147" t="s">
        <v>1328</v>
      </c>
      <c r="G646" s="147"/>
      <c r="H646" s="149">
        <v>0</v>
      </c>
      <c r="I646" s="149">
        <v>200000</v>
      </c>
      <c r="J646" s="141">
        <f>+J645+Tabla69[[#This Row],[DEBE]]-Tabla69[[#This Row],[HABER]]</f>
        <v>-220626032.81</v>
      </c>
      <c r="K646" s="142" t="s">
        <v>872</v>
      </c>
      <c r="L646" s="143" t="s">
        <v>714</v>
      </c>
      <c r="M646" s="143" t="s">
        <v>91</v>
      </c>
    </row>
    <row r="647" spans="2:13" x14ac:dyDescent="0.35">
      <c r="B647" s="145">
        <v>46044</v>
      </c>
      <c r="C647" s="146">
        <v>46044</v>
      </c>
      <c r="D647" s="147" t="s">
        <v>184</v>
      </c>
      <c r="E647" s="148">
        <v>446</v>
      </c>
      <c r="F647" s="147" t="s">
        <v>1329</v>
      </c>
      <c r="G647" s="147" t="s">
        <v>328</v>
      </c>
      <c r="H647" s="149">
        <v>0</v>
      </c>
      <c r="I647" s="149">
        <v>451000</v>
      </c>
      <c r="J647" s="141">
        <f>+J646+Tabla69[[#This Row],[DEBE]]-Tabla69[[#This Row],[HABER]]</f>
        <v>-221077032.81</v>
      </c>
      <c r="K647" s="142" t="s">
        <v>872</v>
      </c>
      <c r="L647" s="143" t="s">
        <v>714</v>
      </c>
      <c r="M647" s="143" t="s">
        <v>91</v>
      </c>
    </row>
    <row r="648" spans="2:13" x14ac:dyDescent="0.35">
      <c r="B648" s="145">
        <v>46044</v>
      </c>
      <c r="C648" s="146">
        <v>46044</v>
      </c>
      <c r="D648" s="147" t="s">
        <v>184</v>
      </c>
      <c r="E648" s="148">
        <v>447</v>
      </c>
      <c r="F648" s="147" t="s">
        <v>1330</v>
      </c>
      <c r="G648" s="147"/>
      <c r="H648" s="149">
        <v>0</v>
      </c>
      <c r="I648" s="149">
        <v>200000</v>
      </c>
      <c r="J648" s="141">
        <f>+J647+Tabla69[[#This Row],[DEBE]]-Tabla69[[#This Row],[HABER]]</f>
        <v>-221277032.81</v>
      </c>
      <c r="K648" s="142" t="s">
        <v>872</v>
      </c>
      <c r="L648" s="143" t="s">
        <v>714</v>
      </c>
      <c r="M648" s="143" t="s">
        <v>91</v>
      </c>
    </row>
    <row r="649" spans="2:13" x14ac:dyDescent="0.35">
      <c r="B649" s="145">
        <v>46044</v>
      </c>
      <c r="C649" s="146">
        <v>46044</v>
      </c>
      <c r="D649" s="147" t="s">
        <v>184</v>
      </c>
      <c r="E649" s="148">
        <v>448</v>
      </c>
      <c r="F649" s="147" t="s">
        <v>1314</v>
      </c>
      <c r="G649" s="147"/>
      <c r="H649" s="149">
        <v>0</v>
      </c>
      <c r="I649" s="149">
        <v>200000</v>
      </c>
      <c r="J649" s="141">
        <f>+J648+Tabla69[[#This Row],[DEBE]]-Tabla69[[#This Row],[HABER]]</f>
        <v>-221477032.81</v>
      </c>
      <c r="K649" s="142" t="s">
        <v>872</v>
      </c>
      <c r="L649" s="143" t="s">
        <v>714</v>
      </c>
      <c r="M649" s="143" t="s">
        <v>91</v>
      </c>
    </row>
    <row r="650" spans="2:13" x14ac:dyDescent="0.35">
      <c r="B650" s="145">
        <v>46044</v>
      </c>
      <c r="C650" s="146">
        <v>46044</v>
      </c>
      <c r="D650" s="147" t="s">
        <v>184</v>
      </c>
      <c r="E650" s="148">
        <v>449</v>
      </c>
      <c r="F650" s="147" t="s">
        <v>1331</v>
      </c>
      <c r="G650" s="147" t="s">
        <v>321</v>
      </c>
      <c r="H650" s="149">
        <v>0</v>
      </c>
      <c r="I650" s="149">
        <v>915000</v>
      </c>
      <c r="J650" s="141">
        <f>+J649+Tabla69[[#This Row],[DEBE]]-Tabla69[[#This Row],[HABER]]</f>
        <v>-222392032.81</v>
      </c>
      <c r="K650" s="142" t="s">
        <v>872</v>
      </c>
      <c r="L650" s="143" t="s">
        <v>714</v>
      </c>
      <c r="M650" s="143" t="s">
        <v>91</v>
      </c>
    </row>
    <row r="651" spans="2:13" x14ac:dyDescent="0.35">
      <c r="B651" s="145">
        <v>46044</v>
      </c>
      <c r="C651" s="146">
        <v>46044</v>
      </c>
      <c r="D651" s="147" t="s">
        <v>184</v>
      </c>
      <c r="E651" s="148">
        <v>450</v>
      </c>
      <c r="F651" s="147" t="s">
        <v>1332</v>
      </c>
      <c r="G651" s="147" t="s">
        <v>320</v>
      </c>
      <c r="H651" s="149">
        <v>0</v>
      </c>
      <c r="I651" s="149">
        <v>477750</v>
      </c>
      <c r="J651" s="141">
        <f>+J650+Tabla69[[#This Row],[DEBE]]-Tabla69[[#This Row],[HABER]]</f>
        <v>-222869782.81</v>
      </c>
      <c r="K651" s="142" t="s">
        <v>872</v>
      </c>
      <c r="L651" s="143" t="s">
        <v>714</v>
      </c>
      <c r="M651" s="143" t="s">
        <v>91</v>
      </c>
    </row>
    <row r="652" spans="2:13" x14ac:dyDescent="0.35">
      <c r="B652" s="145">
        <v>46044</v>
      </c>
      <c r="C652" s="146">
        <v>46044</v>
      </c>
      <c r="D652" s="147" t="s">
        <v>184</v>
      </c>
      <c r="E652" s="148">
        <v>451</v>
      </c>
      <c r="F652" s="147" t="s">
        <v>1333</v>
      </c>
      <c r="G652" s="147"/>
      <c r="H652" s="149">
        <v>0</v>
      </c>
      <c r="I652" s="149">
        <v>200000</v>
      </c>
      <c r="J652" s="141">
        <f>+J651+Tabla69[[#This Row],[DEBE]]-Tabla69[[#This Row],[HABER]]</f>
        <v>-223069782.81</v>
      </c>
      <c r="K652" s="142" t="s">
        <v>872</v>
      </c>
      <c r="L652" s="143" t="s">
        <v>714</v>
      </c>
      <c r="M652" s="143" t="s">
        <v>91</v>
      </c>
    </row>
    <row r="653" spans="2:13" x14ac:dyDescent="0.35">
      <c r="B653" s="145">
        <v>46044</v>
      </c>
      <c r="C653" s="146">
        <v>46044</v>
      </c>
      <c r="D653" s="147" t="s">
        <v>184</v>
      </c>
      <c r="E653" s="148">
        <v>452</v>
      </c>
      <c r="F653" s="147" t="s">
        <v>1324</v>
      </c>
      <c r="G653" s="147"/>
      <c r="H653" s="149">
        <v>0</v>
      </c>
      <c r="I653" s="149">
        <v>200000</v>
      </c>
      <c r="J653" s="141">
        <f>+J652+Tabla69[[#This Row],[DEBE]]-Tabla69[[#This Row],[HABER]]</f>
        <v>-223269782.81</v>
      </c>
      <c r="K653" s="142" t="s">
        <v>872</v>
      </c>
      <c r="L653" s="143" t="s">
        <v>714</v>
      </c>
      <c r="M653" s="143" t="s">
        <v>91</v>
      </c>
    </row>
    <row r="654" spans="2:13" x14ac:dyDescent="0.35">
      <c r="B654" s="145">
        <v>46044</v>
      </c>
      <c r="C654" s="146">
        <v>46044</v>
      </c>
      <c r="D654" s="147" t="s">
        <v>184</v>
      </c>
      <c r="E654" s="148">
        <v>453</v>
      </c>
      <c r="F654" s="147" t="s">
        <v>1334</v>
      </c>
      <c r="G654" s="147"/>
      <c r="H654" s="149">
        <v>0</v>
      </c>
      <c r="I654" s="149">
        <v>200000</v>
      </c>
      <c r="J654" s="141">
        <f>+J653+Tabla69[[#This Row],[DEBE]]-Tabla69[[#This Row],[HABER]]</f>
        <v>-223469782.81</v>
      </c>
      <c r="K654" s="142" t="s">
        <v>872</v>
      </c>
      <c r="L654" s="143" t="s">
        <v>714</v>
      </c>
      <c r="M654" s="143" t="s">
        <v>91</v>
      </c>
    </row>
    <row r="655" spans="2:13" x14ac:dyDescent="0.35">
      <c r="B655" s="145">
        <v>46044</v>
      </c>
      <c r="C655" s="146">
        <v>46044</v>
      </c>
      <c r="D655" s="147" t="s">
        <v>184</v>
      </c>
      <c r="E655" s="148">
        <v>454</v>
      </c>
      <c r="F655" s="147" t="s">
        <v>1335</v>
      </c>
      <c r="G655" s="147" t="s">
        <v>323</v>
      </c>
      <c r="H655" s="149">
        <v>0</v>
      </c>
      <c r="I655" s="149">
        <v>915000</v>
      </c>
      <c r="J655" s="141">
        <f>+J654+Tabla69[[#This Row],[DEBE]]-Tabla69[[#This Row],[HABER]]</f>
        <v>-224384782.81</v>
      </c>
      <c r="K655" s="142" t="s">
        <v>872</v>
      </c>
      <c r="L655" s="143" t="s">
        <v>714</v>
      </c>
      <c r="M655" s="143" t="s">
        <v>91</v>
      </c>
    </row>
    <row r="656" spans="2:13" x14ac:dyDescent="0.35">
      <c r="B656" s="145">
        <v>46044</v>
      </c>
      <c r="C656" s="146">
        <v>46044</v>
      </c>
      <c r="D656" s="147" t="s">
        <v>184</v>
      </c>
      <c r="E656" s="148">
        <v>455</v>
      </c>
      <c r="F656" s="147" t="s">
        <v>1336</v>
      </c>
      <c r="G656" s="147" t="s">
        <v>327</v>
      </c>
      <c r="H656" s="149">
        <v>0</v>
      </c>
      <c r="I656" s="149">
        <v>451000</v>
      </c>
      <c r="J656" s="141">
        <f>+J655+Tabla69[[#This Row],[DEBE]]-Tabla69[[#This Row],[HABER]]</f>
        <v>-224835782.81</v>
      </c>
      <c r="K656" s="142" t="s">
        <v>872</v>
      </c>
      <c r="L656" s="143" t="s">
        <v>714</v>
      </c>
      <c r="M656" s="143" t="s">
        <v>91</v>
      </c>
    </row>
    <row r="657" spans="2:13" x14ac:dyDescent="0.35">
      <c r="B657" s="165">
        <v>46044</v>
      </c>
      <c r="C657" s="166">
        <v>46044</v>
      </c>
      <c r="D657" s="167" t="s">
        <v>184</v>
      </c>
      <c r="E657" s="168">
        <v>456</v>
      </c>
      <c r="F657" s="167" t="s">
        <v>1337</v>
      </c>
      <c r="G657" s="167"/>
      <c r="H657" s="169">
        <v>0</v>
      </c>
      <c r="I657" s="169">
        <v>-200000</v>
      </c>
      <c r="J657" s="155">
        <f>+J656+Tabla69[[#This Row],[DEBE]]-Tabla69[[#This Row],[HABER]]</f>
        <v>-224635782.81</v>
      </c>
      <c r="K657" s="156" t="s">
        <v>871</v>
      </c>
      <c r="L657" s="157" t="s">
        <v>714</v>
      </c>
      <c r="M657" s="157"/>
    </row>
    <row r="658" spans="2:13" x14ac:dyDescent="0.35">
      <c r="B658" s="165">
        <v>46044</v>
      </c>
      <c r="C658" s="166">
        <v>46044</v>
      </c>
      <c r="D658" s="167" t="s">
        <v>184</v>
      </c>
      <c r="E658" s="168">
        <v>456</v>
      </c>
      <c r="F658" s="167" t="s">
        <v>1337</v>
      </c>
      <c r="G658" s="167"/>
      <c r="H658" s="169">
        <v>0</v>
      </c>
      <c r="I658" s="169">
        <v>200000</v>
      </c>
      <c r="J658" s="155">
        <f>+J657+Tabla69[[#This Row],[DEBE]]-Tabla69[[#This Row],[HABER]]</f>
        <v>-224835782.81</v>
      </c>
      <c r="K658" s="156" t="s">
        <v>871</v>
      </c>
      <c r="L658" s="157" t="s">
        <v>714</v>
      </c>
      <c r="M658" s="157"/>
    </row>
    <row r="659" spans="2:13" x14ac:dyDescent="0.35">
      <c r="B659" s="145">
        <v>46044</v>
      </c>
      <c r="C659" s="146">
        <v>46044</v>
      </c>
      <c r="D659" s="147" t="s">
        <v>184</v>
      </c>
      <c r="E659" s="148">
        <v>457</v>
      </c>
      <c r="F659" s="147" t="s">
        <v>1322</v>
      </c>
      <c r="G659" s="147"/>
      <c r="H659" s="149">
        <v>0</v>
      </c>
      <c r="I659" s="149">
        <v>200000</v>
      </c>
      <c r="J659" s="141">
        <f>+J658+Tabla69[[#This Row],[DEBE]]-Tabla69[[#This Row],[HABER]]</f>
        <v>-225035782.81</v>
      </c>
      <c r="K659" s="142" t="s">
        <v>872</v>
      </c>
      <c r="L659" s="143" t="s">
        <v>714</v>
      </c>
      <c r="M659" s="143" t="s">
        <v>91</v>
      </c>
    </row>
    <row r="660" spans="2:13" x14ac:dyDescent="0.35">
      <c r="B660" s="145">
        <v>46044</v>
      </c>
      <c r="C660" s="146">
        <v>46044</v>
      </c>
      <c r="D660" s="147" t="s">
        <v>184</v>
      </c>
      <c r="E660" s="148">
        <v>458</v>
      </c>
      <c r="F660" s="147" t="s">
        <v>1315</v>
      </c>
      <c r="G660" s="147"/>
      <c r="H660" s="149">
        <v>0</v>
      </c>
      <c r="I660" s="149">
        <v>200000</v>
      </c>
      <c r="J660" s="141">
        <f>+J659+Tabla69[[#This Row],[DEBE]]-Tabla69[[#This Row],[HABER]]</f>
        <v>-225235782.81</v>
      </c>
      <c r="K660" s="142" t="s">
        <v>872</v>
      </c>
      <c r="L660" s="143" t="s">
        <v>714</v>
      </c>
      <c r="M660" s="143" t="s">
        <v>91</v>
      </c>
    </row>
    <row r="661" spans="2:13" x14ac:dyDescent="0.35">
      <c r="B661" s="145">
        <v>46044</v>
      </c>
      <c r="C661" s="146">
        <v>46044</v>
      </c>
      <c r="D661" s="147" t="s">
        <v>184</v>
      </c>
      <c r="E661" s="148">
        <v>459</v>
      </c>
      <c r="F661" s="147" t="s">
        <v>1338</v>
      </c>
      <c r="G661" s="147" t="s">
        <v>327</v>
      </c>
      <c r="H661" s="149">
        <v>0</v>
      </c>
      <c r="I661" s="149">
        <v>451000</v>
      </c>
      <c r="J661" s="141">
        <f>+J660+Tabla69[[#This Row],[DEBE]]-Tabla69[[#This Row],[HABER]]</f>
        <v>-225686782.81</v>
      </c>
      <c r="K661" s="142" t="s">
        <v>872</v>
      </c>
      <c r="L661" s="143" t="s">
        <v>714</v>
      </c>
      <c r="M661" s="143" t="s">
        <v>91</v>
      </c>
    </row>
    <row r="662" spans="2:13" x14ac:dyDescent="0.35">
      <c r="B662" s="145">
        <v>46044</v>
      </c>
      <c r="C662" s="146">
        <v>46044</v>
      </c>
      <c r="D662" s="147" t="s">
        <v>184</v>
      </c>
      <c r="E662" s="148">
        <v>460</v>
      </c>
      <c r="F662" s="147" t="s">
        <v>1339</v>
      </c>
      <c r="G662" s="147" t="s">
        <v>323</v>
      </c>
      <c r="H662" s="149">
        <v>0</v>
      </c>
      <c r="I662" s="149">
        <v>1830000</v>
      </c>
      <c r="J662" s="141">
        <f>+J661+Tabla69[[#This Row],[DEBE]]-Tabla69[[#This Row],[HABER]]</f>
        <v>-227516782.81</v>
      </c>
      <c r="K662" s="142" t="s">
        <v>872</v>
      </c>
      <c r="L662" s="143" t="s">
        <v>714</v>
      </c>
      <c r="M662" s="143" t="s">
        <v>91</v>
      </c>
    </row>
    <row r="663" spans="2:13" x14ac:dyDescent="0.35">
      <c r="B663" s="145">
        <v>46044</v>
      </c>
      <c r="C663" s="146">
        <v>46044</v>
      </c>
      <c r="D663" s="147" t="s">
        <v>184</v>
      </c>
      <c r="E663" s="148">
        <v>461</v>
      </c>
      <c r="F663" s="147" t="s">
        <v>1340</v>
      </c>
      <c r="G663" s="147" t="s">
        <v>327</v>
      </c>
      <c r="H663" s="149">
        <v>0</v>
      </c>
      <c r="I663" s="149">
        <v>451000</v>
      </c>
      <c r="J663" s="141">
        <f>+J662+Tabla69[[#This Row],[DEBE]]-Tabla69[[#This Row],[HABER]]</f>
        <v>-227967782.81</v>
      </c>
      <c r="K663" s="142" t="s">
        <v>872</v>
      </c>
      <c r="L663" s="143" t="s">
        <v>714</v>
      </c>
      <c r="M663" s="143" t="s">
        <v>91</v>
      </c>
    </row>
    <row r="664" spans="2:13" x14ac:dyDescent="0.35">
      <c r="B664" s="145">
        <v>46044</v>
      </c>
      <c r="C664" s="146">
        <v>46044</v>
      </c>
      <c r="D664" s="147" t="s">
        <v>184</v>
      </c>
      <c r="E664" s="148">
        <v>462</v>
      </c>
      <c r="F664" s="147" t="s">
        <v>1071</v>
      </c>
      <c r="G664" s="147" t="s">
        <v>321</v>
      </c>
      <c r="H664" s="149">
        <v>0</v>
      </c>
      <c r="I664" s="149">
        <v>915000</v>
      </c>
      <c r="J664" s="141">
        <f>+J663+Tabla69[[#This Row],[DEBE]]-Tabla69[[#This Row],[HABER]]</f>
        <v>-228882782.81</v>
      </c>
      <c r="K664" s="142" t="s">
        <v>872</v>
      </c>
      <c r="L664" s="143" t="s">
        <v>714</v>
      </c>
      <c r="M664" s="143" t="s">
        <v>91</v>
      </c>
    </row>
    <row r="665" spans="2:13" x14ac:dyDescent="0.35">
      <c r="B665" s="145">
        <v>46044</v>
      </c>
      <c r="C665" s="146">
        <v>46044</v>
      </c>
      <c r="D665" s="147" t="s">
        <v>184</v>
      </c>
      <c r="E665" s="148">
        <v>463</v>
      </c>
      <c r="F665" s="147" t="s">
        <v>1117</v>
      </c>
      <c r="G665" s="147"/>
      <c r="H665" s="149">
        <v>0</v>
      </c>
      <c r="I665" s="149">
        <v>200000</v>
      </c>
      <c r="J665" s="141">
        <f>+J664+Tabla69[[#This Row],[DEBE]]-Tabla69[[#This Row],[HABER]]</f>
        <v>-229082782.81</v>
      </c>
      <c r="K665" s="142" t="s">
        <v>872</v>
      </c>
      <c r="L665" s="143" t="s">
        <v>714</v>
      </c>
      <c r="M665" s="143" t="s">
        <v>91</v>
      </c>
    </row>
    <row r="666" spans="2:13" x14ac:dyDescent="0.35">
      <c r="B666" s="145">
        <v>46044</v>
      </c>
      <c r="C666" s="146">
        <v>46044</v>
      </c>
      <c r="D666" s="147" t="s">
        <v>184</v>
      </c>
      <c r="E666" s="148">
        <v>464</v>
      </c>
      <c r="F666" s="147" t="s">
        <v>1341</v>
      </c>
      <c r="G666" s="147"/>
      <c r="H666" s="149">
        <v>0</v>
      </c>
      <c r="I666" s="149">
        <v>200000</v>
      </c>
      <c r="J666" s="141">
        <f>+J665+Tabla69[[#This Row],[DEBE]]-Tabla69[[#This Row],[HABER]]</f>
        <v>-229282782.81</v>
      </c>
      <c r="K666" s="142" t="s">
        <v>872</v>
      </c>
      <c r="L666" s="143" t="s">
        <v>714</v>
      </c>
      <c r="M666" s="143" t="s">
        <v>91</v>
      </c>
    </row>
    <row r="667" spans="2:13" x14ac:dyDescent="0.35">
      <c r="B667" s="145">
        <v>46044</v>
      </c>
      <c r="C667" s="146">
        <v>46044</v>
      </c>
      <c r="D667" s="147" t="s">
        <v>184</v>
      </c>
      <c r="E667" s="148">
        <v>465</v>
      </c>
      <c r="F667" s="147" t="s">
        <v>1307</v>
      </c>
      <c r="G667" s="147"/>
      <c r="H667" s="149">
        <v>0</v>
      </c>
      <c r="I667" s="149">
        <v>200000</v>
      </c>
      <c r="J667" s="141">
        <f>+J666+Tabla69[[#This Row],[DEBE]]-Tabla69[[#This Row],[HABER]]</f>
        <v>-229482782.81</v>
      </c>
      <c r="K667" s="142" t="s">
        <v>872</v>
      </c>
      <c r="L667" s="143" t="s">
        <v>714</v>
      </c>
      <c r="M667" s="143" t="s">
        <v>91</v>
      </c>
    </row>
    <row r="668" spans="2:13" x14ac:dyDescent="0.35">
      <c r="B668" s="145">
        <v>46044</v>
      </c>
      <c r="C668" s="146">
        <v>46044</v>
      </c>
      <c r="D668" s="147" t="s">
        <v>184</v>
      </c>
      <c r="E668" s="148">
        <v>466</v>
      </c>
      <c r="F668" s="147" t="s">
        <v>1342</v>
      </c>
      <c r="G668" s="147" t="s">
        <v>320</v>
      </c>
      <c r="H668" s="149">
        <v>0</v>
      </c>
      <c r="I668" s="149">
        <v>490000</v>
      </c>
      <c r="J668" s="141">
        <f>+J667+Tabla69[[#This Row],[DEBE]]-Tabla69[[#This Row],[HABER]]</f>
        <v>-229972782.81</v>
      </c>
      <c r="K668" s="142" t="s">
        <v>872</v>
      </c>
      <c r="L668" s="143" t="s">
        <v>714</v>
      </c>
      <c r="M668" s="143" t="s">
        <v>91</v>
      </c>
    </row>
    <row r="669" spans="2:13" x14ac:dyDescent="0.35">
      <c r="B669" s="145">
        <v>46044</v>
      </c>
      <c r="C669" s="146">
        <v>46044</v>
      </c>
      <c r="D669" s="147" t="s">
        <v>184</v>
      </c>
      <c r="E669" s="148">
        <v>467</v>
      </c>
      <c r="F669" s="147" t="s">
        <v>1096</v>
      </c>
      <c r="G669" s="147"/>
      <c r="H669" s="149">
        <v>0</v>
      </c>
      <c r="I669" s="149">
        <v>200000</v>
      </c>
      <c r="J669" s="141">
        <f>+J668+Tabla69[[#This Row],[DEBE]]-Tabla69[[#This Row],[HABER]]</f>
        <v>-230172782.81</v>
      </c>
      <c r="K669" s="142" t="s">
        <v>872</v>
      </c>
      <c r="L669" s="143" t="s">
        <v>714</v>
      </c>
      <c r="M669" s="143" t="s">
        <v>91</v>
      </c>
    </row>
    <row r="670" spans="2:13" x14ac:dyDescent="0.35">
      <c r="B670" s="145">
        <v>46044</v>
      </c>
      <c r="C670" s="146">
        <v>46044</v>
      </c>
      <c r="D670" s="147" t="s">
        <v>184</v>
      </c>
      <c r="E670" s="148">
        <v>468</v>
      </c>
      <c r="F670" s="147" t="s">
        <v>1090</v>
      </c>
      <c r="G670" s="147"/>
      <c r="H670" s="149">
        <v>0</v>
      </c>
      <c r="I670" s="149">
        <v>200000</v>
      </c>
      <c r="J670" s="141">
        <f>+J669+Tabla69[[#This Row],[DEBE]]-Tabla69[[#This Row],[HABER]]</f>
        <v>-230372782.81</v>
      </c>
      <c r="K670" s="142" t="s">
        <v>872</v>
      </c>
      <c r="L670" s="143" t="s">
        <v>714</v>
      </c>
      <c r="M670" s="143" t="s">
        <v>91</v>
      </c>
    </row>
    <row r="671" spans="2:13" x14ac:dyDescent="0.35">
      <c r="B671" s="145">
        <v>46044</v>
      </c>
      <c r="C671" s="146">
        <v>46044</v>
      </c>
      <c r="D671" s="147" t="s">
        <v>184</v>
      </c>
      <c r="E671" s="148">
        <v>469</v>
      </c>
      <c r="F671" s="147" t="s">
        <v>1120</v>
      </c>
      <c r="G671" s="147"/>
      <c r="H671" s="149">
        <v>0</v>
      </c>
      <c r="I671" s="149">
        <v>200000</v>
      </c>
      <c r="J671" s="141">
        <f>+J670+Tabla69[[#This Row],[DEBE]]-Tabla69[[#This Row],[HABER]]</f>
        <v>-230572782.81</v>
      </c>
      <c r="K671" s="142" t="s">
        <v>872</v>
      </c>
      <c r="L671" s="143" t="s">
        <v>714</v>
      </c>
      <c r="M671" s="143" t="s">
        <v>91</v>
      </c>
    </row>
    <row r="672" spans="2:13" x14ac:dyDescent="0.35">
      <c r="B672" s="145">
        <v>46044</v>
      </c>
      <c r="C672" s="146">
        <v>46044</v>
      </c>
      <c r="D672" s="147" t="s">
        <v>184</v>
      </c>
      <c r="E672" s="148">
        <v>470</v>
      </c>
      <c r="F672" s="147" t="s">
        <v>1343</v>
      </c>
      <c r="G672" s="147" t="s">
        <v>320</v>
      </c>
      <c r="H672" s="149">
        <v>0</v>
      </c>
      <c r="I672" s="149">
        <v>490000</v>
      </c>
      <c r="J672" s="141">
        <f>+J671+Tabla69[[#This Row],[DEBE]]-Tabla69[[#This Row],[HABER]]</f>
        <v>-231062782.81</v>
      </c>
      <c r="K672" s="142" t="s">
        <v>872</v>
      </c>
      <c r="L672" s="143" t="s">
        <v>714</v>
      </c>
      <c r="M672" s="143" t="s">
        <v>91</v>
      </c>
    </row>
    <row r="673" spans="2:13" x14ac:dyDescent="0.35">
      <c r="B673" s="145">
        <v>46044</v>
      </c>
      <c r="C673" s="146">
        <v>46044</v>
      </c>
      <c r="D673" s="147" t="s">
        <v>184</v>
      </c>
      <c r="E673" s="148">
        <v>471</v>
      </c>
      <c r="F673" s="147" t="s">
        <v>1335</v>
      </c>
      <c r="G673" s="147"/>
      <c r="H673" s="149">
        <v>0</v>
      </c>
      <c r="I673" s="149">
        <v>200000</v>
      </c>
      <c r="J673" s="141">
        <f>+J672+Tabla69[[#This Row],[DEBE]]-Tabla69[[#This Row],[HABER]]</f>
        <v>-231262782.81</v>
      </c>
      <c r="K673" s="142" t="s">
        <v>872</v>
      </c>
      <c r="L673" s="143" t="s">
        <v>714</v>
      </c>
      <c r="M673" s="143" t="s">
        <v>91</v>
      </c>
    </row>
    <row r="674" spans="2:13" x14ac:dyDescent="0.35">
      <c r="B674" s="145">
        <v>46044</v>
      </c>
      <c r="C674" s="146">
        <v>46044</v>
      </c>
      <c r="D674" s="147" t="s">
        <v>184</v>
      </c>
      <c r="E674" s="148">
        <v>472</v>
      </c>
      <c r="F674" s="147" t="s">
        <v>1305</v>
      </c>
      <c r="G674" s="147"/>
      <c r="H674" s="149">
        <v>0</v>
      </c>
      <c r="I674" s="149">
        <v>200000</v>
      </c>
      <c r="J674" s="141">
        <f>+J673+Tabla69[[#This Row],[DEBE]]-Tabla69[[#This Row],[HABER]]</f>
        <v>-231462782.81</v>
      </c>
      <c r="K674" s="142" t="s">
        <v>872</v>
      </c>
      <c r="L674" s="143" t="s">
        <v>714</v>
      </c>
      <c r="M674" s="143" t="s">
        <v>91</v>
      </c>
    </row>
    <row r="675" spans="2:13" x14ac:dyDescent="0.35">
      <c r="B675" s="145">
        <v>46044</v>
      </c>
      <c r="C675" s="146">
        <v>46044</v>
      </c>
      <c r="D675" s="147" t="s">
        <v>184</v>
      </c>
      <c r="E675" s="148">
        <v>473</v>
      </c>
      <c r="F675" s="147" t="s">
        <v>1119</v>
      </c>
      <c r="G675" s="147"/>
      <c r="H675" s="149">
        <v>0</v>
      </c>
      <c r="I675" s="149">
        <v>200000</v>
      </c>
      <c r="J675" s="141">
        <f>+J674+Tabla69[[#This Row],[DEBE]]-Tabla69[[#This Row],[HABER]]</f>
        <v>-231662782.81</v>
      </c>
      <c r="K675" s="142" t="s">
        <v>872</v>
      </c>
      <c r="L675" s="143" t="s">
        <v>714</v>
      </c>
      <c r="M675" s="143" t="s">
        <v>91</v>
      </c>
    </row>
    <row r="676" spans="2:13" x14ac:dyDescent="0.35">
      <c r="B676" s="145">
        <v>46044</v>
      </c>
      <c r="C676" s="146">
        <v>46044</v>
      </c>
      <c r="D676" s="147" t="s">
        <v>184</v>
      </c>
      <c r="E676" s="148">
        <v>474</v>
      </c>
      <c r="F676" s="147" t="s">
        <v>1344</v>
      </c>
      <c r="G676" s="147" t="s">
        <v>320</v>
      </c>
      <c r="H676" s="149">
        <v>0</v>
      </c>
      <c r="I676" s="149">
        <v>451000</v>
      </c>
      <c r="J676" s="141">
        <f>+J675+Tabla69[[#This Row],[DEBE]]-Tabla69[[#This Row],[HABER]]</f>
        <v>-232113782.81</v>
      </c>
      <c r="K676" s="142" t="s">
        <v>872</v>
      </c>
      <c r="L676" s="143" t="s">
        <v>714</v>
      </c>
      <c r="M676" s="143" t="s">
        <v>91</v>
      </c>
    </row>
    <row r="677" spans="2:13" x14ac:dyDescent="0.35">
      <c r="B677" s="145">
        <v>46044</v>
      </c>
      <c r="C677" s="146">
        <v>46044</v>
      </c>
      <c r="D677" s="147" t="s">
        <v>184</v>
      </c>
      <c r="E677" s="148">
        <v>475</v>
      </c>
      <c r="F677" s="147" t="s">
        <v>1325</v>
      </c>
      <c r="G677" s="147"/>
      <c r="H677" s="149">
        <v>0</v>
      </c>
      <c r="I677" s="149">
        <v>200000</v>
      </c>
      <c r="J677" s="141">
        <f>+J676+Tabla69[[#This Row],[DEBE]]-Tabla69[[#This Row],[HABER]]</f>
        <v>-232313782.81</v>
      </c>
      <c r="K677" s="142" t="s">
        <v>872</v>
      </c>
      <c r="L677" s="143" t="s">
        <v>714</v>
      </c>
      <c r="M677" s="143" t="s">
        <v>91</v>
      </c>
    </row>
    <row r="678" spans="2:13" x14ac:dyDescent="0.35">
      <c r="B678" s="145">
        <v>46044</v>
      </c>
      <c r="C678" s="146">
        <v>46044</v>
      </c>
      <c r="D678" s="147" t="s">
        <v>184</v>
      </c>
      <c r="E678" s="148">
        <v>476</v>
      </c>
      <c r="F678" s="147" t="s">
        <v>1313</v>
      </c>
      <c r="G678" s="147"/>
      <c r="H678" s="149">
        <v>0</v>
      </c>
      <c r="I678" s="149">
        <v>200000</v>
      </c>
      <c r="J678" s="141">
        <f>+J677+Tabla69[[#This Row],[DEBE]]-Tabla69[[#This Row],[HABER]]</f>
        <v>-232513782.81</v>
      </c>
      <c r="K678" s="142" t="s">
        <v>872</v>
      </c>
      <c r="L678" s="143" t="s">
        <v>714</v>
      </c>
      <c r="M678" s="143" t="s">
        <v>91</v>
      </c>
    </row>
    <row r="679" spans="2:13" x14ac:dyDescent="0.35">
      <c r="B679" s="145">
        <v>46044</v>
      </c>
      <c r="C679" s="146">
        <v>46044</v>
      </c>
      <c r="D679" s="147" t="s">
        <v>184</v>
      </c>
      <c r="E679" s="148">
        <v>477</v>
      </c>
      <c r="F679" s="147" t="s">
        <v>1320</v>
      </c>
      <c r="G679" s="147"/>
      <c r="H679" s="149">
        <v>0</v>
      </c>
      <c r="I679" s="149">
        <v>200000</v>
      </c>
      <c r="J679" s="141">
        <f>+J678+Tabla69[[#This Row],[DEBE]]-Tabla69[[#This Row],[HABER]]</f>
        <v>-232713782.81</v>
      </c>
      <c r="K679" s="142" t="s">
        <v>872</v>
      </c>
      <c r="L679" s="143" t="s">
        <v>714</v>
      </c>
      <c r="M679" s="143" t="s">
        <v>91</v>
      </c>
    </row>
    <row r="680" spans="2:13" x14ac:dyDescent="0.35">
      <c r="B680" s="145">
        <v>46044</v>
      </c>
      <c r="C680" s="146">
        <v>46044</v>
      </c>
      <c r="D680" s="147" t="s">
        <v>184</v>
      </c>
      <c r="E680" s="148">
        <v>478</v>
      </c>
      <c r="F680" s="147" t="s">
        <v>1103</v>
      </c>
      <c r="G680" s="147"/>
      <c r="H680" s="149">
        <v>0</v>
      </c>
      <c r="I680" s="149">
        <v>200000</v>
      </c>
      <c r="J680" s="141">
        <f>+J679+Tabla69[[#This Row],[DEBE]]-Tabla69[[#This Row],[HABER]]</f>
        <v>-232913782.81</v>
      </c>
      <c r="K680" s="142" t="s">
        <v>872</v>
      </c>
      <c r="L680" s="143" t="s">
        <v>714</v>
      </c>
      <c r="M680" s="143" t="s">
        <v>91</v>
      </c>
    </row>
    <row r="681" spans="2:13" x14ac:dyDescent="0.35">
      <c r="B681" s="145">
        <v>46044</v>
      </c>
      <c r="C681" s="146">
        <v>46044</v>
      </c>
      <c r="D681" s="147" t="s">
        <v>184</v>
      </c>
      <c r="E681" s="148">
        <v>479</v>
      </c>
      <c r="F681" s="147" t="s">
        <v>1107</v>
      </c>
      <c r="G681" s="147"/>
      <c r="H681" s="149">
        <v>0</v>
      </c>
      <c r="I681" s="149">
        <v>200000</v>
      </c>
      <c r="J681" s="141">
        <f>+J680+Tabla69[[#This Row],[DEBE]]-Tabla69[[#This Row],[HABER]]</f>
        <v>-233113782.81</v>
      </c>
      <c r="K681" s="142" t="s">
        <v>872</v>
      </c>
      <c r="L681" s="143" t="s">
        <v>714</v>
      </c>
      <c r="M681" s="143" t="s">
        <v>91</v>
      </c>
    </row>
    <row r="682" spans="2:13" x14ac:dyDescent="0.35">
      <c r="B682" s="145">
        <v>46044</v>
      </c>
      <c r="C682" s="146">
        <v>46044</v>
      </c>
      <c r="D682" s="147" t="s">
        <v>184</v>
      </c>
      <c r="E682" s="148">
        <v>480</v>
      </c>
      <c r="F682" s="147" t="s">
        <v>1327</v>
      </c>
      <c r="G682" s="147"/>
      <c r="H682" s="149">
        <v>0</v>
      </c>
      <c r="I682" s="149">
        <v>200000</v>
      </c>
      <c r="J682" s="141">
        <f>+J681+Tabla69[[#This Row],[DEBE]]-Tabla69[[#This Row],[HABER]]</f>
        <v>-233313782.81</v>
      </c>
      <c r="K682" s="142" t="s">
        <v>872</v>
      </c>
      <c r="L682" s="143" t="s">
        <v>714</v>
      </c>
      <c r="M682" s="143" t="s">
        <v>91</v>
      </c>
    </row>
    <row r="683" spans="2:13" x14ac:dyDescent="0.35">
      <c r="B683" s="145">
        <v>46044</v>
      </c>
      <c r="C683" s="146">
        <v>46044</v>
      </c>
      <c r="D683" s="147" t="s">
        <v>184</v>
      </c>
      <c r="E683" s="148">
        <v>481</v>
      </c>
      <c r="F683" s="147" t="s">
        <v>1331</v>
      </c>
      <c r="G683" s="147"/>
      <c r="H683" s="149">
        <v>0</v>
      </c>
      <c r="I683" s="149">
        <v>200000</v>
      </c>
      <c r="J683" s="141">
        <f>+J682+Tabla69[[#This Row],[DEBE]]-Tabla69[[#This Row],[HABER]]</f>
        <v>-233513782.81</v>
      </c>
      <c r="K683" s="142" t="s">
        <v>872</v>
      </c>
      <c r="L683" s="143" t="s">
        <v>714</v>
      </c>
      <c r="M683" s="143" t="s">
        <v>91</v>
      </c>
    </row>
    <row r="684" spans="2:13" x14ac:dyDescent="0.35">
      <c r="B684" s="145">
        <v>46044</v>
      </c>
      <c r="C684" s="146">
        <v>46044</v>
      </c>
      <c r="D684" s="147" t="s">
        <v>184</v>
      </c>
      <c r="E684" s="148">
        <v>482</v>
      </c>
      <c r="F684" s="147" t="s">
        <v>1345</v>
      </c>
      <c r="G684" s="147" t="s">
        <v>321</v>
      </c>
      <c r="H684" s="149">
        <v>0</v>
      </c>
      <c r="I684" s="149">
        <v>200000</v>
      </c>
      <c r="J684" s="141">
        <f>+J683+Tabla69[[#This Row],[DEBE]]-Tabla69[[#This Row],[HABER]]</f>
        <v>-233713782.81</v>
      </c>
      <c r="K684" s="142" t="s">
        <v>872</v>
      </c>
      <c r="L684" s="143" t="s">
        <v>714</v>
      </c>
      <c r="M684" s="143" t="s">
        <v>91</v>
      </c>
    </row>
    <row r="685" spans="2:13" x14ac:dyDescent="0.35">
      <c r="B685" s="145">
        <v>46044</v>
      </c>
      <c r="C685" s="146">
        <v>46044</v>
      </c>
      <c r="D685" s="147" t="s">
        <v>184</v>
      </c>
      <c r="E685" s="148">
        <v>483</v>
      </c>
      <c r="F685" s="147" t="s">
        <v>1338</v>
      </c>
      <c r="G685" s="147" t="s">
        <v>321</v>
      </c>
      <c r="H685" s="149">
        <v>0</v>
      </c>
      <c r="I685" s="149">
        <v>200000</v>
      </c>
      <c r="J685" s="141">
        <f>+J684+Tabla69[[#This Row],[DEBE]]-Tabla69[[#This Row],[HABER]]</f>
        <v>-233913782.81</v>
      </c>
      <c r="K685" s="142" t="s">
        <v>872</v>
      </c>
      <c r="L685" s="143" t="s">
        <v>714</v>
      </c>
      <c r="M685" s="143" t="s">
        <v>91</v>
      </c>
    </row>
    <row r="686" spans="2:13" x14ac:dyDescent="0.35">
      <c r="B686" s="145">
        <v>46044</v>
      </c>
      <c r="C686" s="146">
        <v>46044</v>
      </c>
      <c r="D686" s="147" t="s">
        <v>184</v>
      </c>
      <c r="E686" s="148">
        <v>484</v>
      </c>
      <c r="F686" s="147" t="s">
        <v>1346</v>
      </c>
      <c r="G686" s="147" t="s">
        <v>321</v>
      </c>
      <c r="H686" s="149">
        <v>0</v>
      </c>
      <c r="I686" s="149">
        <v>200000</v>
      </c>
      <c r="J686" s="141">
        <f>+J685+Tabla69[[#This Row],[DEBE]]-Tabla69[[#This Row],[HABER]]</f>
        <v>-234113782.81</v>
      </c>
      <c r="K686" s="142" t="s">
        <v>872</v>
      </c>
      <c r="L686" s="143" t="s">
        <v>714</v>
      </c>
      <c r="M686" s="143" t="s">
        <v>91</v>
      </c>
    </row>
    <row r="687" spans="2:13" x14ac:dyDescent="0.35">
      <c r="B687" s="145">
        <v>46044</v>
      </c>
      <c r="C687" s="146">
        <v>46044</v>
      </c>
      <c r="D687" s="147" t="s">
        <v>184</v>
      </c>
      <c r="E687" s="148">
        <v>485</v>
      </c>
      <c r="F687" s="147" t="s">
        <v>1347</v>
      </c>
      <c r="G687" s="147" t="s">
        <v>321</v>
      </c>
      <c r="H687" s="149">
        <v>0</v>
      </c>
      <c r="I687" s="149">
        <v>451500</v>
      </c>
      <c r="J687" s="141">
        <f>+J686+Tabla69[[#This Row],[DEBE]]-Tabla69[[#This Row],[HABER]]</f>
        <v>-234565282.81</v>
      </c>
      <c r="K687" s="142" t="s">
        <v>872</v>
      </c>
      <c r="L687" s="143" t="s">
        <v>714</v>
      </c>
      <c r="M687" s="143" t="s">
        <v>91</v>
      </c>
    </row>
    <row r="688" spans="2:13" x14ac:dyDescent="0.35">
      <c r="B688" s="145">
        <v>46044</v>
      </c>
      <c r="C688" s="146">
        <v>46044</v>
      </c>
      <c r="D688" s="147" t="s">
        <v>184</v>
      </c>
      <c r="E688" s="148">
        <v>486</v>
      </c>
      <c r="F688" s="147" t="s">
        <v>1348</v>
      </c>
      <c r="G688" s="147" t="s">
        <v>321</v>
      </c>
      <c r="H688" s="149">
        <v>0</v>
      </c>
      <c r="I688" s="149">
        <v>1620000</v>
      </c>
      <c r="J688" s="141">
        <f>+J687+Tabla69[[#This Row],[DEBE]]-Tabla69[[#This Row],[HABER]]</f>
        <v>-236185282.81</v>
      </c>
      <c r="K688" s="142" t="s">
        <v>872</v>
      </c>
      <c r="L688" s="143" t="s">
        <v>714</v>
      </c>
      <c r="M688" s="143" t="s">
        <v>91</v>
      </c>
    </row>
    <row r="689" spans="2:13" x14ac:dyDescent="0.35">
      <c r="B689" s="145">
        <v>46044</v>
      </c>
      <c r="C689" s="146">
        <v>46044</v>
      </c>
      <c r="D689" s="147" t="s">
        <v>184</v>
      </c>
      <c r="E689" s="148">
        <v>487</v>
      </c>
      <c r="F689" s="147" t="s">
        <v>1349</v>
      </c>
      <c r="G689" s="147" t="s">
        <v>321</v>
      </c>
      <c r="H689" s="149">
        <v>0</v>
      </c>
      <c r="I689" s="149">
        <v>1040778.51</v>
      </c>
      <c r="J689" s="141">
        <f>+J688+Tabla69[[#This Row],[DEBE]]-Tabla69[[#This Row],[HABER]]</f>
        <v>-237226061.31999999</v>
      </c>
      <c r="K689" s="142" t="s">
        <v>872</v>
      </c>
      <c r="L689" s="143" t="s">
        <v>714</v>
      </c>
      <c r="M689" s="143" t="s">
        <v>91</v>
      </c>
    </row>
    <row r="690" spans="2:13" x14ac:dyDescent="0.35">
      <c r="B690" s="145">
        <v>46044</v>
      </c>
      <c r="C690" s="146">
        <v>46044</v>
      </c>
      <c r="D690" s="147" t="s">
        <v>184</v>
      </c>
      <c r="E690" s="148">
        <v>488</v>
      </c>
      <c r="F690" s="147" t="s">
        <v>1350</v>
      </c>
      <c r="G690" s="147" t="s">
        <v>321</v>
      </c>
      <c r="H690" s="149">
        <v>0</v>
      </c>
      <c r="I690" s="149">
        <v>200000</v>
      </c>
      <c r="J690" s="141">
        <f>+J689+Tabla69[[#This Row],[DEBE]]-Tabla69[[#This Row],[HABER]]</f>
        <v>-237426061.31999999</v>
      </c>
      <c r="K690" s="142" t="s">
        <v>872</v>
      </c>
      <c r="L690" s="143" t="s">
        <v>714</v>
      </c>
      <c r="M690" s="143" t="s">
        <v>91</v>
      </c>
    </row>
    <row r="691" spans="2:13" x14ac:dyDescent="0.35">
      <c r="B691" s="145">
        <v>46044</v>
      </c>
      <c r="C691" s="146">
        <v>46044</v>
      </c>
      <c r="D691" s="147" t="s">
        <v>184</v>
      </c>
      <c r="E691" s="148">
        <v>489</v>
      </c>
      <c r="F691" s="147" t="s">
        <v>1349</v>
      </c>
      <c r="G691" s="147" t="s">
        <v>321</v>
      </c>
      <c r="H691" s="149">
        <v>0</v>
      </c>
      <c r="I691" s="149">
        <v>200000</v>
      </c>
      <c r="J691" s="141">
        <f>+J690+Tabla69[[#This Row],[DEBE]]-Tabla69[[#This Row],[HABER]]</f>
        <v>-237626061.31999999</v>
      </c>
      <c r="K691" s="142" t="s">
        <v>872</v>
      </c>
      <c r="L691" s="143" t="s">
        <v>714</v>
      </c>
      <c r="M691" s="143" t="s">
        <v>91</v>
      </c>
    </row>
    <row r="692" spans="2:13" x14ac:dyDescent="0.35">
      <c r="B692" s="145">
        <v>46044</v>
      </c>
      <c r="C692" s="146">
        <v>46044</v>
      </c>
      <c r="D692" s="147" t="s">
        <v>184</v>
      </c>
      <c r="E692" s="148">
        <v>490</v>
      </c>
      <c r="F692" s="147" t="s">
        <v>1347</v>
      </c>
      <c r="G692" s="147" t="s">
        <v>321</v>
      </c>
      <c r="H692" s="149">
        <v>0</v>
      </c>
      <c r="I692" s="149">
        <v>200000</v>
      </c>
      <c r="J692" s="141">
        <f>+J691+Tabla69[[#This Row],[DEBE]]-Tabla69[[#This Row],[HABER]]</f>
        <v>-237826061.31999999</v>
      </c>
      <c r="K692" s="142" t="s">
        <v>872</v>
      </c>
      <c r="L692" s="143" t="s">
        <v>714</v>
      </c>
      <c r="M692" s="143" t="s">
        <v>91</v>
      </c>
    </row>
    <row r="693" spans="2:13" x14ac:dyDescent="0.35">
      <c r="B693" s="145">
        <v>46044</v>
      </c>
      <c r="C693" s="146">
        <v>46044</v>
      </c>
      <c r="D693" s="147" t="s">
        <v>184</v>
      </c>
      <c r="E693" s="148">
        <v>491</v>
      </c>
      <c r="F693" s="147" t="s">
        <v>1351</v>
      </c>
      <c r="G693" s="147" t="s">
        <v>321</v>
      </c>
      <c r="H693" s="149">
        <v>0</v>
      </c>
      <c r="I693" s="149">
        <v>200000</v>
      </c>
      <c r="J693" s="141">
        <f>+J692+Tabla69[[#This Row],[DEBE]]-Tabla69[[#This Row],[HABER]]</f>
        <v>-238026061.31999999</v>
      </c>
      <c r="K693" s="142" t="s">
        <v>872</v>
      </c>
      <c r="L693" s="143" t="s">
        <v>714</v>
      </c>
      <c r="M693" s="143" t="s">
        <v>91</v>
      </c>
    </row>
    <row r="694" spans="2:13" x14ac:dyDescent="0.35">
      <c r="B694" s="145">
        <v>46044</v>
      </c>
      <c r="C694" s="146">
        <v>46044</v>
      </c>
      <c r="D694" s="147" t="s">
        <v>184</v>
      </c>
      <c r="E694" s="148">
        <v>492</v>
      </c>
      <c r="F694" s="147" t="s">
        <v>1075</v>
      </c>
      <c r="G694" s="147"/>
      <c r="H694" s="149">
        <v>0</v>
      </c>
      <c r="I694" s="149">
        <v>1193250</v>
      </c>
      <c r="J694" s="141">
        <f>+J693+Tabla69[[#This Row],[DEBE]]-Tabla69[[#This Row],[HABER]]</f>
        <v>-239219311.31999999</v>
      </c>
      <c r="K694" s="142" t="s">
        <v>872</v>
      </c>
      <c r="L694" s="143" t="s">
        <v>714</v>
      </c>
      <c r="M694" s="143" t="s">
        <v>91</v>
      </c>
    </row>
    <row r="695" spans="2:13" x14ac:dyDescent="0.35">
      <c r="B695" s="145">
        <v>46044</v>
      </c>
      <c r="C695" s="146">
        <v>46044</v>
      </c>
      <c r="D695" s="147" t="s">
        <v>184</v>
      </c>
      <c r="E695" s="148">
        <v>493</v>
      </c>
      <c r="F695" s="147" t="s">
        <v>1352</v>
      </c>
      <c r="G695" s="147" t="s">
        <v>321</v>
      </c>
      <c r="H695" s="149">
        <v>0</v>
      </c>
      <c r="I695" s="149">
        <v>1458151.5</v>
      </c>
      <c r="J695" s="141">
        <f>+J694+Tabla69[[#This Row],[DEBE]]-Tabla69[[#This Row],[HABER]]</f>
        <v>-240677462.81999999</v>
      </c>
      <c r="K695" s="142" t="s">
        <v>872</v>
      </c>
      <c r="L695" s="143" t="s">
        <v>714</v>
      </c>
      <c r="M695" s="143" t="s">
        <v>91</v>
      </c>
    </row>
    <row r="696" spans="2:13" x14ac:dyDescent="0.35">
      <c r="B696" s="145">
        <v>46044</v>
      </c>
      <c r="C696" s="146">
        <v>46044</v>
      </c>
      <c r="D696" s="147" t="s">
        <v>184</v>
      </c>
      <c r="E696" s="148">
        <v>494</v>
      </c>
      <c r="F696" s="147" t="s">
        <v>1353</v>
      </c>
      <c r="G696" s="147" t="s">
        <v>321</v>
      </c>
      <c r="H696" s="149">
        <v>0</v>
      </c>
      <c r="I696" s="149">
        <v>1458151</v>
      </c>
      <c r="J696" s="141">
        <f>+J695+Tabla69[[#This Row],[DEBE]]-Tabla69[[#This Row],[HABER]]</f>
        <v>-242135613.81999999</v>
      </c>
      <c r="K696" s="142" t="s">
        <v>872</v>
      </c>
      <c r="L696" s="143" t="s">
        <v>714</v>
      </c>
      <c r="M696" s="143" t="s">
        <v>91</v>
      </c>
    </row>
    <row r="697" spans="2:13" x14ac:dyDescent="0.35">
      <c r="B697" s="145">
        <v>46044</v>
      </c>
      <c r="C697" s="146">
        <v>46044</v>
      </c>
      <c r="D697" s="147" t="s">
        <v>184</v>
      </c>
      <c r="E697" s="148">
        <v>495</v>
      </c>
      <c r="F697" s="147" t="s">
        <v>1354</v>
      </c>
      <c r="G697" s="147" t="s">
        <v>321</v>
      </c>
      <c r="H697" s="149">
        <v>0</v>
      </c>
      <c r="I697" s="149">
        <v>200000</v>
      </c>
      <c r="J697" s="141">
        <f>+J696+Tabla69[[#This Row],[DEBE]]-Tabla69[[#This Row],[HABER]]</f>
        <v>-242335613.81999999</v>
      </c>
      <c r="K697" s="142" t="s">
        <v>872</v>
      </c>
      <c r="L697" s="143" t="s">
        <v>714</v>
      </c>
      <c r="M697" s="143" t="s">
        <v>91</v>
      </c>
    </row>
    <row r="698" spans="2:13" x14ac:dyDescent="0.35">
      <c r="B698" s="145">
        <v>46044</v>
      </c>
      <c r="C698" s="146">
        <v>46044</v>
      </c>
      <c r="D698" s="147" t="s">
        <v>184</v>
      </c>
      <c r="E698" s="148">
        <v>496</v>
      </c>
      <c r="F698" s="147" t="s">
        <v>1355</v>
      </c>
      <c r="G698" s="147" t="s">
        <v>321</v>
      </c>
      <c r="H698" s="149">
        <v>0</v>
      </c>
      <c r="I698" s="149">
        <v>200000</v>
      </c>
      <c r="J698" s="141">
        <f>+J697+Tabla69[[#This Row],[DEBE]]-Tabla69[[#This Row],[HABER]]</f>
        <v>-242535613.81999999</v>
      </c>
      <c r="K698" s="142" t="s">
        <v>872</v>
      </c>
      <c r="L698" s="143" t="s">
        <v>714</v>
      </c>
      <c r="M698" s="143" t="s">
        <v>91</v>
      </c>
    </row>
    <row r="699" spans="2:13" x14ac:dyDescent="0.35">
      <c r="B699" s="145">
        <v>46044</v>
      </c>
      <c r="C699" s="146">
        <v>46044</v>
      </c>
      <c r="D699" s="147" t="s">
        <v>184</v>
      </c>
      <c r="E699" s="148">
        <v>497</v>
      </c>
      <c r="F699" s="147" t="s">
        <v>1356</v>
      </c>
      <c r="G699" s="147" t="s">
        <v>321</v>
      </c>
      <c r="H699" s="149">
        <v>0</v>
      </c>
      <c r="I699" s="149">
        <v>1100000</v>
      </c>
      <c r="J699" s="141">
        <f>+J698+Tabla69[[#This Row],[DEBE]]-Tabla69[[#This Row],[HABER]]</f>
        <v>-243635613.81999999</v>
      </c>
      <c r="K699" s="142" t="s">
        <v>872</v>
      </c>
      <c r="L699" s="143" t="s">
        <v>714</v>
      </c>
      <c r="M699" s="143" t="s">
        <v>91</v>
      </c>
    </row>
    <row r="700" spans="2:13" x14ac:dyDescent="0.35">
      <c r="B700" s="145">
        <v>46044</v>
      </c>
      <c r="C700" s="146">
        <v>46044</v>
      </c>
      <c r="D700" s="147" t="s">
        <v>184</v>
      </c>
      <c r="E700" s="148">
        <v>498</v>
      </c>
      <c r="F700" s="147" t="s">
        <v>1357</v>
      </c>
      <c r="G700" s="147" t="s">
        <v>321</v>
      </c>
      <c r="H700" s="149">
        <v>0</v>
      </c>
      <c r="I700" s="149">
        <v>600000</v>
      </c>
      <c r="J700" s="141">
        <f>+J699+Tabla69[[#This Row],[DEBE]]-Tabla69[[#This Row],[HABER]]</f>
        <v>-244235613.81999999</v>
      </c>
      <c r="K700" s="142" t="s">
        <v>872</v>
      </c>
      <c r="L700" s="143" t="s">
        <v>714</v>
      </c>
      <c r="M700" s="143" t="s">
        <v>91</v>
      </c>
    </row>
    <row r="701" spans="2:13" x14ac:dyDescent="0.35">
      <c r="B701" s="145">
        <v>46044</v>
      </c>
      <c r="C701" s="146">
        <v>46044</v>
      </c>
      <c r="D701" s="147" t="s">
        <v>184</v>
      </c>
      <c r="E701" s="148">
        <v>499</v>
      </c>
      <c r="F701" s="147" t="s">
        <v>1356</v>
      </c>
      <c r="G701" s="147" t="s">
        <v>321</v>
      </c>
      <c r="H701" s="149">
        <v>0</v>
      </c>
      <c r="I701" s="149">
        <v>200000</v>
      </c>
      <c r="J701" s="141">
        <f>+J700+Tabla69[[#This Row],[DEBE]]-Tabla69[[#This Row],[HABER]]</f>
        <v>-244435613.81999999</v>
      </c>
      <c r="K701" s="142" t="s">
        <v>872</v>
      </c>
      <c r="L701" s="143" t="s">
        <v>714</v>
      </c>
      <c r="M701" s="143" t="s">
        <v>91</v>
      </c>
    </row>
    <row r="702" spans="2:13" x14ac:dyDescent="0.35">
      <c r="B702" s="145">
        <v>46044</v>
      </c>
      <c r="C702" s="146">
        <v>46044</v>
      </c>
      <c r="D702" s="147" t="s">
        <v>184</v>
      </c>
      <c r="E702" s="148">
        <v>500</v>
      </c>
      <c r="F702" s="147" t="s">
        <v>1358</v>
      </c>
      <c r="G702" s="147" t="s">
        <v>321</v>
      </c>
      <c r="H702" s="149">
        <v>0</v>
      </c>
      <c r="I702" s="149">
        <v>200000</v>
      </c>
      <c r="J702" s="141">
        <f>+J701+Tabla69[[#This Row],[DEBE]]-Tabla69[[#This Row],[HABER]]</f>
        <v>-244635613.81999999</v>
      </c>
      <c r="K702" s="142" t="s">
        <v>872</v>
      </c>
      <c r="L702" s="143" t="s">
        <v>714</v>
      </c>
      <c r="M702" s="143" t="s">
        <v>91</v>
      </c>
    </row>
    <row r="703" spans="2:13" x14ac:dyDescent="0.35">
      <c r="B703" s="145">
        <v>46044</v>
      </c>
      <c r="C703" s="146">
        <v>46044</v>
      </c>
      <c r="D703" s="147" t="s">
        <v>184</v>
      </c>
      <c r="E703" s="148">
        <v>501</v>
      </c>
      <c r="F703" s="147" t="s">
        <v>1357</v>
      </c>
      <c r="G703" s="147" t="s">
        <v>321</v>
      </c>
      <c r="H703" s="149">
        <v>0</v>
      </c>
      <c r="I703" s="149">
        <v>200000</v>
      </c>
      <c r="J703" s="141">
        <f>+J702+Tabla69[[#This Row],[DEBE]]-Tabla69[[#This Row],[HABER]]</f>
        <v>-244835613.81999999</v>
      </c>
      <c r="K703" s="142" t="s">
        <v>872</v>
      </c>
      <c r="L703" s="143" t="s">
        <v>714</v>
      </c>
      <c r="M703" s="143" t="s">
        <v>91</v>
      </c>
    </row>
    <row r="704" spans="2:13" x14ac:dyDescent="0.35">
      <c r="B704" s="145">
        <v>46044</v>
      </c>
      <c r="C704" s="146">
        <v>46044</v>
      </c>
      <c r="D704" s="147" t="s">
        <v>184</v>
      </c>
      <c r="E704" s="148">
        <v>502</v>
      </c>
      <c r="F704" s="147" t="s">
        <v>1358</v>
      </c>
      <c r="G704" s="147" t="s">
        <v>321</v>
      </c>
      <c r="H704" s="149">
        <v>0</v>
      </c>
      <c r="I704" s="149">
        <v>729075.75</v>
      </c>
      <c r="J704" s="141">
        <f>+J703+Tabla69[[#This Row],[DEBE]]-Tabla69[[#This Row],[HABER]]</f>
        <v>-245564689.56999999</v>
      </c>
      <c r="K704" s="142" t="s">
        <v>872</v>
      </c>
      <c r="L704" s="143" t="s">
        <v>714</v>
      </c>
      <c r="M704" s="143" t="s">
        <v>91</v>
      </c>
    </row>
    <row r="705" spans="2:13" x14ac:dyDescent="0.35">
      <c r="B705" s="145">
        <v>46044</v>
      </c>
      <c r="C705" s="146">
        <v>46044</v>
      </c>
      <c r="D705" s="147" t="s">
        <v>184</v>
      </c>
      <c r="E705" s="148">
        <v>503</v>
      </c>
      <c r="F705" s="147" t="s">
        <v>1354</v>
      </c>
      <c r="G705" s="147" t="s">
        <v>321</v>
      </c>
      <c r="H705" s="149">
        <v>0</v>
      </c>
      <c r="I705" s="149">
        <v>460819.39</v>
      </c>
      <c r="J705" s="141">
        <f>+J704+Tabla69[[#This Row],[DEBE]]-Tabla69[[#This Row],[HABER]]</f>
        <v>-246025508.95999998</v>
      </c>
      <c r="K705" s="142" t="s">
        <v>872</v>
      </c>
      <c r="L705" s="143" t="s">
        <v>714</v>
      </c>
      <c r="M705" s="143" t="s">
        <v>91</v>
      </c>
    </row>
    <row r="706" spans="2:13" x14ac:dyDescent="0.35">
      <c r="B706" s="145">
        <v>46044</v>
      </c>
      <c r="C706" s="146">
        <v>46044</v>
      </c>
      <c r="D706" s="147" t="s">
        <v>184</v>
      </c>
      <c r="E706" s="148">
        <v>504</v>
      </c>
      <c r="F706" s="147" t="s">
        <v>1359</v>
      </c>
      <c r="G706" s="147" t="s">
        <v>321</v>
      </c>
      <c r="H706" s="149">
        <v>0</v>
      </c>
      <c r="I706" s="149">
        <v>721500</v>
      </c>
      <c r="J706" s="141">
        <f>+J705+Tabla69[[#This Row],[DEBE]]-Tabla69[[#This Row],[HABER]]</f>
        <v>-246747008.95999998</v>
      </c>
      <c r="K706" s="142" t="s">
        <v>872</v>
      </c>
      <c r="L706" s="143" t="s">
        <v>714</v>
      </c>
      <c r="M706" s="143" t="s">
        <v>91</v>
      </c>
    </row>
    <row r="707" spans="2:13" x14ac:dyDescent="0.35">
      <c r="B707" s="145">
        <v>46044</v>
      </c>
      <c r="C707" s="146">
        <v>46044</v>
      </c>
      <c r="D707" s="147" t="s">
        <v>184</v>
      </c>
      <c r="E707" s="148">
        <v>505</v>
      </c>
      <c r="F707" s="147" t="s">
        <v>1360</v>
      </c>
      <c r="G707" s="147" t="s">
        <v>321</v>
      </c>
      <c r="H707" s="149">
        <v>0</v>
      </c>
      <c r="I707" s="149">
        <v>715950</v>
      </c>
      <c r="J707" s="141">
        <f>+J706+Tabla69[[#This Row],[DEBE]]-Tabla69[[#This Row],[HABER]]</f>
        <v>-247462958.95999998</v>
      </c>
      <c r="K707" s="142" t="s">
        <v>872</v>
      </c>
      <c r="L707" s="143" t="s">
        <v>714</v>
      </c>
      <c r="M707" s="143" t="s">
        <v>91</v>
      </c>
    </row>
    <row r="708" spans="2:13" x14ac:dyDescent="0.35">
      <c r="B708" s="145">
        <v>46044</v>
      </c>
      <c r="C708" s="146">
        <v>46044</v>
      </c>
      <c r="D708" s="147" t="s">
        <v>184</v>
      </c>
      <c r="E708" s="148">
        <v>506</v>
      </c>
      <c r="F708" s="147" t="s">
        <v>1361</v>
      </c>
      <c r="G708" s="147" t="s">
        <v>321</v>
      </c>
      <c r="H708" s="149">
        <v>0</v>
      </c>
      <c r="I708" s="149">
        <v>954600</v>
      </c>
      <c r="J708" s="141">
        <f>+J707+Tabla69[[#This Row],[DEBE]]-Tabla69[[#This Row],[HABER]]</f>
        <v>-248417558.95999998</v>
      </c>
      <c r="K708" s="142" t="s">
        <v>872</v>
      </c>
      <c r="L708" s="143" t="s">
        <v>714</v>
      </c>
      <c r="M708" s="143" t="s">
        <v>91</v>
      </c>
    </row>
    <row r="709" spans="2:13" x14ac:dyDescent="0.35">
      <c r="B709" s="145">
        <v>46044</v>
      </c>
      <c r="C709" s="146">
        <v>46044</v>
      </c>
      <c r="D709" s="147" t="s">
        <v>184</v>
      </c>
      <c r="E709" s="148">
        <v>507</v>
      </c>
      <c r="F709" s="147" t="s">
        <v>1350</v>
      </c>
      <c r="G709" s="147" t="s">
        <v>321</v>
      </c>
      <c r="H709" s="149">
        <v>0</v>
      </c>
      <c r="I709" s="149">
        <v>715950</v>
      </c>
      <c r="J709" s="141">
        <f>+J708+Tabla69[[#This Row],[DEBE]]-Tabla69[[#This Row],[HABER]]</f>
        <v>-249133508.95999998</v>
      </c>
      <c r="K709" s="142" t="s">
        <v>872</v>
      </c>
      <c r="L709" s="143" t="s">
        <v>714</v>
      </c>
      <c r="M709" s="143" t="s">
        <v>91</v>
      </c>
    </row>
    <row r="710" spans="2:13" x14ac:dyDescent="0.35">
      <c r="B710" s="145">
        <v>46044</v>
      </c>
      <c r="C710" s="146">
        <v>46044</v>
      </c>
      <c r="D710" s="147" t="s">
        <v>184</v>
      </c>
      <c r="E710" s="148">
        <v>508</v>
      </c>
      <c r="F710" s="147" t="s">
        <v>1078</v>
      </c>
      <c r="G710" s="147" t="s">
        <v>321</v>
      </c>
      <c r="H710" s="149">
        <v>0</v>
      </c>
      <c r="I710" s="149">
        <v>464399.54</v>
      </c>
      <c r="J710" s="141">
        <f>+J709+Tabla69[[#This Row],[DEBE]]-Tabla69[[#This Row],[HABER]]</f>
        <v>-249597908.49999997</v>
      </c>
      <c r="K710" s="142" t="s">
        <v>872</v>
      </c>
      <c r="L710" s="143" t="s">
        <v>714</v>
      </c>
      <c r="M710" s="143" t="s">
        <v>91</v>
      </c>
    </row>
    <row r="711" spans="2:13" x14ac:dyDescent="0.35">
      <c r="B711" s="145">
        <v>46044</v>
      </c>
      <c r="C711" s="146">
        <v>46044</v>
      </c>
      <c r="D711" s="147" t="s">
        <v>184</v>
      </c>
      <c r="E711" s="148">
        <v>509</v>
      </c>
      <c r="F711" s="147" t="s">
        <v>1361</v>
      </c>
      <c r="G711" s="147" t="s">
        <v>321</v>
      </c>
      <c r="H711" s="149">
        <v>0</v>
      </c>
      <c r="I711" s="149">
        <v>200000</v>
      </c>
      <c r="J711" s="141">
        <f>+J710+Tabla69[[#This Row],[DEBE]]-Tabla69[[#This Row],[HABER]]</f>
        <v>-249797908.49999997</v>
      </c>
      <c r="K711" s="142" t="s">
        <v>872</v>
      </c>
      <c r="L711" s="143" t="s">
        <v>714</v>
      </c>
      <c r="M711" s="143" t="s">
        <v>91</v>
      </c>
    </row>
    <row r="712" spans="2:13" x14ac:dyDescent="0.35">
      <c r="B712" s="145">
        <v>46044</v>
      </c>
      <c r="C712" s="146">
        <v>46044</v>
      </c>
      <c r="D712" s="147" t="s">
        <v>184</v>
      </c>
      <c r="E712" s="148">
        <v>510</v>
      </c>
      <c r="F712" s="147" t="s">
        <v>1073</v>
      </c>
      <c r="G712" s="147" t="s">
        <v>321</v>
      </c>
      <c r="H712" s="149">
        <v>0</v>
      </c>
      <c r="I712" s="149">
        <v>200000</v>
      </c>
      <c r="J712" s="141">
        <f>+J711+Tabla69[[#This Row],[DEBE]]-Tabla69[[#This Row],[HABER]]</f>
        <v>-249997908.49999997</v>
      </c>
      <c r="K712" s="142" t="s">
        <v>872</v>
      </c>
      <c r="L712" s="143" t="s">
        <v>714</v>
      </c>
      <c r="M712" s="143" t="s">
        <v>91</v>
      </c>
    </row>
    <row r="713" spans="2:13" x14ac:dyDescent="0.35">
      <c r="B713" s="145">
        <v>46044</v>
      </c>
      <c r="C713" s="146">
        <v>46044</v>
      </c>
      <c r="D713" s="147" t="s">
        <v>184</v>
      </c>
      <c r="E713" s="148">
        <v>511</v>
      </c>
      <c r="F713" s="147" t="s">
        <v>1355</v>
      </c>
      <c r="G713" s="147" t="s">
        <v>321</v>
      </c>
      <c r="H713" s="149">
        <v>0</v>
      </c>
      <c r="I713" s="149">
        <v>460819.39</v>
      </c>
      <c r="J713" s="141">
        <f>+J712+Tabla69[[#This Row],[DEBE]]-Tabla69[[#This Row],[HABER]]</f>
        <v>-250458727.88999996</v>
      </c>
      <c r="K713" s="142" t="s">
        <v>872</v>
      </c>
      <c r="L713" s="143" t="s">
        <v>714</v>
      </c>
      <c r="M713" s="143" t="s">
        <v>91</v>
      </c>
    </row>
    <row r="714" spans="2:13" x14ac:dyDescent="0.35">
      <c r="B714" s="145">
        <v>46044</v>
      </c>
      <c r="C714" s="146">
        <v>46044</v>
      </c>
      <c r="D714" s="147" t="s">
        <v>184</v>
      </c>
      <c r="E714" s="148">
        <v>512</v>
      </c>
      <c r="F714" s="147" t="s">
        <v>1087</v>
      </c>
      <c r="G714" s="147"/>
      <c r="H714" s="149">
        <v>0</v>
      </c>
      <c r="I714" s="149">
        <v>200000</v>
      </c>
      <c r="J714" s="141">
        <f>+J713+Tabla69[[#This Row],[DEBE]]-Tabla69[[#This Row],[HABER]]</f>
        <v>-250658727.88999996</v>
      </c>
      <c r="K714" s="142" t="s">
        <v>872</v>
      </c>
      <c r="L714" s="143" t="s">
        <v>714</v>
      </c>
      <c r="M714" s="143" t="s">
        <v>91</v>
      </c>
    </row>
    <row r="715" spans="2:13" x14ac:dyDescent="0.35">
      <c r="B715" s="145">
        <v>46044</v>
      </c>
      <c r="C715" s="146">
        <v>46044</v>
      </c>
      <c r="D715" s="147" t="s">
        <v>184</v>
      </c>
      <c r="E715" s="148">
        <v>513</v>
      </c>
      <c r="F715" s="147" t="s">
        <v>1336</v>
      </c>
      <c r="G715" s="147"/>
      <c r="H715" s="149">
        <v>0</v>
      </c>
      <c r="I715" s="149">
        <v>200000</v>
      </c>
      <c r="J715" s="141">
        <f>+J714+Tabla69[[#This Row],[DEBE]]-Tabla69[[#This Row],[HABER]]</f>
        <v>-250858727.88999996</v>
      </c>
      <c r="K715" s="142" t="s">
        <v>872</v>
      </c>
      <c r="L715" s="143" t="s">
        <v>714</v>
      </c>
      <c r="M715" s="143" t="s">
        <v>91</v>
      </c>
    </row>
    <row r="716" spans="2:13" x14ac:dyDescent="0.35">
      <c r="B716" s="145">
        <v>46044</v>
      </c>
      <c r="C716" s="146">
        <v>46044</v>
      </c>
      <c r="D716" s="147" t="s">
        <v>184</v>
      </c>
      <c r="E716" s="148">
        <v>514</v>
      </c>
      <c r="F716" s="147" t="s">
        <v>1303</v>
      </c>
      <c r="G716" s="147"/>
      <c r="H716" s="149">
        <v>0</v>
      </c>
      <c r="I716" s="149">
        <v>200000</v>
      </c>
      <c r="J716" s="141">
        <f>+J715+Tabla69[[#This Row],[DEBE]]-Tabla69[[#This Row],[HABER]]</f>
        <v>-251058727.88999996</v>
      </c>
      <c r="K716" s="142" t="s">
        <v>872</v>
      </c>
      <c r="L716" s="143" t="s">
        <v>714</v>
      </c>
      <c r="M716" s="143" t="s">
        <v>91</v>
      </c>
    </row>
    <row r="717" spans="2:13" x14ac:dyDescent="0.35">
      <c r="B717" s="145">
        <v>46044</v>
      </c>
      <c r="C717" s="146">
        <v>46044</v>
      </c>
      <c r="D717" s="147" t="s">
        <v>184</v>
      </c>
      <c r="E717" s="148">
        <v>515</v>
      </c>
      <c r="F717" s="147" t="s">
        <v>1109</v>
      </c>
      <c r="G717" s="147"/>
      <c r="H717" s="149">
        <v>0</v>
      </c>
      <c r="I717" s="149">
        <v>200000</v>
      </c>
      <c r="J717" s="141">
        <f>+J716+Tabla69[[#This Row],[DEBE]]-Tabla69[[#This Row],[HABER]]</f>
        <v>-251258727.88999996</v>
      </c>
      <c r="K717" s="142" t="s">
        <v>872</v>
      </c>
      <c r="L717" s="143" t="s">
        <v>714</v>
      </c>
      <c r="M717" s="143" t="s">
        <v>91</v>
      </c>
    </row>
    <row r="718" spans="2:13" x14ac:dyDescent="0.35">
      <c r="B718" s="145">
        <v>46044</v>
      </c>
      <c r="C718" s="146">
        <v>46044</v>
      </c>
      <c r="D718" s="147" t="s">
        <v>184</v>
      </c>
      <c r="E718" s="148">
        <v>516</v>
      </c>
      <c r="F718" s="147" t="s">
        <v>1085</v>
      </c>
      <c r="G718" s="147"/>
      <c r="H718" s="149">
        <v>0</v>
      </c>
      <c r="I718" s="149">
        <v>200000</v>
      </c>
      <c r="J718" s="141">
        <f>+J717+Tabla69[[#This Row],[DEBE]]-Tabla69[[#This Row],[HABER]]</f>
        <v>-251458727.88999996</v>
      </c>
      <c r="K718" s="142" t="s">
        <v>872</v>
      </c>
      <c r="L718" s="143" t="s">
        <v>714</v>
      </c>
      <c r="M718" s="143" t="s">
        <v>91</v>
      </c>
    </row>
    <row r="719" spans="2:13" x14ac:dyDescent="0.35">
      <c r="B719" s="145">
        <v>46044</v>
      </c>
      <c r="C719" s="146">
        <v>46044</v>
      </c>
      <c r="D719" s="147" t="s">
        <v>184</v>
      </c>
      <c r="E719" s="148">
        <v>517</v>
      </c>
      <c r="F719" s="147" t="s">
        <v>1317</v>
      </c>
      <c r="G719" s="147"/>
      <c r="H719" s="149">
        <v>0</v>
      </c>
      <c r="I719" s="149">
        <v>200000</v>
      </c>
      <c r="J719" s="141">
        <f>+J718+Tabla69[[#This Row],[DEBE]]-Tabla69[[#This Row],[HABER]]</f>
        <v>-251658727.88999996</v>
      </c>
      <c r="K719" s="142" t="s">
        <v>872</v>
      </c>
      <c r="L719" s="143" t="s">
        <v>714</v>
      </c>
      <c r="M719" s="143" t="s">
        <v>91</v>
      </c>
    </row>
    <row r="720" spans="2:13" x14ac:dyDescent="0.35">
      <c r="B720" s="145">
        <v>46044</v>
      </c>
      <c r="C720" s="146">
        <v>46044</v>
      </c>
      <c r="D720" s="147" t="s">
        <v>184</v>
      </c>
      <c r="E720" s="148">
        <v>518</v>
      </c>
      <c r="F720" s="147" t="s">
        <v>1362</v>
      </c>
      <c r="G720" s="147"/>
      <c r="H720" s="149">
        <v>0</v>
      </c>
      <c r="I720" s="149">
        <v>200000</v>
      </c>
      <c r="J720" s="141">
        <f>+J719+Tabla69[[#This Row],[DEBE]]-Tabla69[[#This Row],[HABER]]</f>
        <v>-251858727.88999996</v>
      </c>
      <c r="K720" s="142" t="s">
        <v>872</v>
      </c>
      <c r="L720" s="143" t="s">
        <v>714</v>
      </c>
      <c r="M720" s="143" t="s">
        <v>91</v>
      </c>
    </row>
    <row r="721" spans="2:13" x14ac:dyDescent="0.35">
      <c r="B721" s="145">
        <v>46044</v>
      </c>
      <c r="C721" s="146">
        <v>46044</v>
      </c>
      <c r="D721" s="147" t="s">
        <v>184</v>
      </c>
      <c r="E721" s="148">
        <v>519</v>
      </c>
      <c r="F721" s="147" t="s">
        <v>1094</v>
      </c>
      <c r="G721" s="147"/>
      <c r="H721" s="149">
        <v>0</v>
      </c>
      <c r="I721" s="149">
        <v>200000</v>
      </c>
      <c r="J721" s="141">
        <f>+J720+Tabla69[[#This Row],[DEBE]]-Tabla69[[#This Row],[HABER]]</f>
        <v>-252058727.88999996</v>
      </c>
      <c r="K721" s="142" t="s">
        <v>872</v>
      </c>
      <c r="L721" s="143" t="s">
        <v>714</v>
      </c>
      <c r="M721" s="143" t="s">
        <v>91</v>
      </c>
    </row>
    <row r="722" spans="2:13" x14ac:dyDescent="0.35">
      <c r="B722" s="145">
        <v>46044</v>
      </c>
      <c r="C722" s="146">
        <v>46044</v>
      </c>
      <c r="D722" s="147" t="s">
        <v>184</v>
      </c>
      <c r="E722" s="148">
        <v>520</v>
      </c>
      <c r="F722" s="147" t="s">
        <v>1363</v>
      </c>
      <c r="G722" s="147"/>
      <c r="H722" s="149">
        <v>0</v>
      </c>
      <c r="I722" s="149">
        <v>200000</v>
      </c>
      <c r="J722" s="141">
        <f>+J721+Tabla69[[#This Row],[DEBE]]-Tabla69[[#This Row],[HABER]]</f>
        <v>-252258727.88999996</v>
      </c>
      <c r="K722" s="142" t="s">
        <v>872</v>
      </c>
      <c r="L722" s="143" t="s">
        <v>714</v>
      </c>
      <c r="M722" s="143" t="s">
        <v>91</v>
      </c>
    </row>
    <row r="723" spans="2:13" x14ac:dyDescent="0.35">
      <c r="B723" s="145">
        <v>46044</v>
      </c>
      <c r="C723" s="146">
        <v>46044</v>
      </c>
      <c r="D723" s="147" t="s">
        <v>184</v>
      </c>
      <c r="E723" s="148">
        <v>521</v>
      </c>
      <c r="F723" s="147" t="s">
        <v>1072</v>
      </c>
      <c r="G723" s="147"/>
      <c r="H723" s="149">
        <v>0</v>
      </c>
      <c r="I723" s="149">
        <v>200000</v>
      </c>
      <c r="J723" s="141">
        <f>+J722+Tabla69[[#This Row],[DEBE]]-Tabla69[[#This Row],[HABER]]</f>
        <v>-252458727.88999996</v>
      </c>
      <c r="K723" s="142" t="s">
        <v>872</v>
      </c>
      <c r="L723" s="143" t="s">
        <v>714</v>
      </c>
      <c r="M723" s="143" t="s">
        <v>91</v>
      </c>
    </row>
    <row r="724" spans="2:13" x14ac:dyDescent="0.35">
      <c r="B724" s="145">
        <v>46044</v>
      </c>
      <c r="C724" s="146">
        <v>46044</v>
      </c>
      <c r="D724" s="147" t="s">
        <v>184</v>
      </c>
      <c r="E724" s="148">
        <v>522</v>
      </c>
      <c r="F724" s="147" t="s">
        <v>1121</v>
      </c>
      <c r="G724" s="147"/>
      <c r="H724" s="149">
        <v>0</v>
      </c>
      <c r="I724" s="149">
        <v>200000</v>
      </c>
      <c r="J724" s="141">
        <f>+J723+Tabla69[[#This Row],[DEBE]]-Tabla69[[#This Row],[HABER]]</f>
        <v>-252658727.88999996</v>
      </c>
      <c r="K724" s="142" t="s">
        <v>872</v>
      </c>
      <c r="L724" s="143" t="s">
        <v>714</v>
      </c>
      <c r="M724" s="143" t="s">
        <v>91</v>
      </c>
    </row>
    <row r="725" spans="2:13" x14ac:dyDescent="0.35">
      <c r="B725" s="145">
        <v>46044</v>
      </c>
      <c r="C725" s="146">
        <v>46044</v>
      </c>
      <c r="D725" s="147" t="s">
        <v>184</v>
      </c>
      <c r="E725" s="148">
        <v>523</v>
      </c>
      <c r="F725" s="147" t="s">
        <v>1364</v>
      </c>
      <c r="G725" s="147"/>
      <c r="H725" s="149">
        <v>0</v>
      </c>
      <c r="I725" s="149">
        <v>200000</v>
      </c>
      <c r="J725" s="141">
        <f>+J724+Tabla69[[#This Row],[DEBE]]-Tabla69[[#This Row],[HABER]]</f>
        <v>-252858727.88999996</v>
      </c>
      <c r="K725" s="142" t="s">
        <v>872</v>
      </c>
      <c r="L725" s="143" t="s">
        <v>714</v>
      </c>
      <c r="M725" s="143" t="s">
        <v>91</v>
      </c>
    </row>
    <row r="726" spans="2:13" x14ac:dyDescent="0.35">
      <c r="B726" s="145">
        <v>46044</v>
      </c>
      <c r="C726" s="146">
        <v>46044</v>
      </c>
      <c r="D726" s="147" t="s">
        <v>184</v>
      </c>
      <c r="E726" s="148">
        <v>524</v>
      </c>
      <c r="F726" s="147" t="s">
        <v>1343</v>
      </c>
      <c r="G726" s="147"/>
      <c r="H726" s="149">
        <v>0</v>
      </c>
      <c r="I726" s="149">
        <v>200000</v>
      </c>
      <c r="J726" s="141">
        <f>+J725+Tabla69[[#This Row],[DEBE]]-Tabla69[[#This Row],[HABER]]</f>
        <v>-253058727.88999996</v>
      </c>
      <c r="K726" s="142" t="s">
        <v>872</v>
      </c>
      <c r="L726" s="143" t="s">
        <v>714</v>
      </c>
      <c r="M726" s="143" t="s">
        <v>91</v>
      </c>
    </row>
    <row r="727" spans="2:13" x14ac:dyDescent="0.35">
      <c r="B727" s="145">
        <v>46044</v>
      </c>
      <c r="C727" s="146">
        <v>46044</v>
      </c>
      <c r="D727" s="147" t="s">
        <v>184</v>
      </c>
      <c r="E727" s="148">
        <v>525</v>
      </c>
      <c r="F727" s="147" t="s">
        <v>1302</v>
      </c>
      <c r="G727" s="147"/>
      <c r="H727" s="149">
        <v>0</v>
      </c>
      <c r="I727" s="149">
        <v>200000</v>
      </c>
      <c r="J727" s="141">
        <f>+J726+Tabla69[[#This Row],[DEBE]]-Tabla69[[#This Row],[HABER]]</f>
        <v>-253258727.88999996</v>
      </c>
      <c r="K727" s="142" t="s">
        <v>872</v>
      </c>
      <c r="L727" s="143" t="s">
        <v>714</v>
      </c>
      <c r="M727" s="143" t="s">
        <v>91</v>
      </c>
    </row>
    <row r="728" spans="2:13" x14ac:dyDescent="0.35">
      <c r="B728" s="145">
        <v>46044</v>
      </c>
      <c r="C728" s="146">
        <v>46044</v>
      </c>
      <c r="D728" s="147" t="s">
        <v>184</v>
      </c>
      <c r="E728" s="148">
        <v>526</v>
      </c>
      <c r="F728" s="147" t="s">
        <v>1365</v>
      </c>
      <c r="G728" s="147"/>
      <c r="H728" s="149">
        <v>0</v>
      </c>
      <c r="I728" s="149">
        <v>200000</v>
      </c>
      <c r="J728" s="141">
        <f>+J727+Tabla69[[#This Row],[DEBE]]-Tabla69[[#This Row],[HABER]]</f>
        <v>-253458727.88999996</v>
      </c>
      <c r="K728" s="142" t="s">
        <v>872</v>
      </c>
      <c r="L728" s="143" t="s">
        <v>714</v>
      </c>
      <c r="M728" s="143" t="s">
        <v>91</v>
      </c>
    </row>
    <row r="729" spans="2:13" x14ac:dyDescent="0.35">
      <c r="B729" s="145">
        <v>46044</v>
      </c>
      <c r="C729" s="146">
        <v>46044</v>
      </c>
      <c r="D729" s="147" t="s">
        <v>184</v>
      </c>
      <c r="E729" s="148">
        <v>527</v>
      </c>
      <c r="F729" s="147" t="s">
        <v>1306</v>
      </c>
      <c r="G729" s="147"/>
      <c r="H729" s="149">
        <v>0</v>
      </c>
      <c r="I729" s="149">
        <v>200000</v>
      </c>
      <c r="J729" s="141">
        <f>+J728+Tabla69[[#This Row],[DEBE]]-Tabla69[[#This Row],[HABER]]</f>
        <v>-253658727.88999996</v>
      </c>
      <c r="K729" s="142" t="s">
        <v>872</v>
      </c>
      <c r="L729" s="143" t="s">
        <v>714</v>
      </c>
      <c r="M729" s="143" t="s">
        <v>91</v>
      </c>
    </row>
    <row r="730" spans="2:13" x14ac:dyDescent="0.35">
      <c r="B730" s="145">
        <v>46044</v>
      </c>
      <c r="C730" s="146">
        <v>46044</v>
      </c>
      <c r="D730" s="147" t="s">
        <v>184</v>
      </c>
      <c r="E730" s="148">
        <v>528</v>
      </c>
      <c r="F730" s="147" t="s">
        <v>1332</v>
      </c>
      <c r="G730" s="147" t="s">
        <v>320</v>
      </c>
      <c r="H730" s="149">
        <v>0</v>
      </c>
      <c r="I730" s="149">
        <v>195000</v>
      </c>
      <c r="J730" s="141">
        <f>+J729+Tabla69[[#This Row],[DEBE]]-Tabla69[[#This Row],[HABER]]</f>
        <v>-253853727.88999996</v>
      </c>
      <c r="K730" s="142" t="s">
        <v>872</v>
      </c>
      <c r="L730" s="143" t="s">
        <v>714</v>
      </c>
      <c r="M730" s="143" t="s">
        <v>91</v>
      </c>
    </row>
    <row r="731" spans="2:13" x14ac:dyDescent="0.35">
      <c r="B731" s="145">
        <v>46044</v>
      </c>
      <c r="C731" s="146">
        <v>46044</v>
      </c>
      <c r="D731" s="147" t="s">
        <v>184</v>
      </c>
      <c r="E731" s="148">
        <v>529</v>
      </c>
      <c r="F731" s="147" t="s">
        <v>1116</v>
      </c>
      <c r="G731" s="147"/>
      <c r="H731" s="149">
        <v>0</v>
      </c>
      <c r="I731" s="149">
        <v>200000</v>
      </c>
      <c r="J731" s="141">
        <f>+J730+Tabla69[[#This Row],[DEBE]]-Tabla69[[#This Row],[HABER]]</f>
        <v>-254053727.88999996</v>
      </c>
      <c r="K731" s="142" t="s">
        <v>872</v>
      </c>
      <c r="L731" s="143" t="s">
        <v>714</v>
      </c>
      <c r="M731" s="143" t="s">
        <v>91</v>
      </c>
    </row>
    <row r="732" spans="2:13" x14ac:dyDescent="0.35">
      <c r="B732" s="145">
        <v>46044</v>
      </c>
      <c r="C732" s="146">
        <v>46044</v>
      </c>
      <c r="D732" s="147" t="s">
        <v>184</v>
      </c>
      <c r="E732" s="148">
        <v>530</v>
      </c>
      <c r="F732" s="147" t="s">
        <v>1366</v>
      </c>
      <c r="G732" s="147" t="s">
        <v>320</v>
      </c>
      <c r="H732" s="149">
        <v>0</v>
      </c>
      <c r="I732" s="149">
        <v>451000</v>
      </c>
      <c r="J732" s="141">
        <f>+J731+Tabla69[[#This Row],[DEBE]]-Tabla69[[#This Row],[HABER]]</f>
        <v>-254504727.88999996</v>
      </c>
      <c r="K732" s="142" t="s">
        <v>872</v>
      </c>
      <c r="L732" s="143" t="s">
        <v>714</v>
      </c>
      <c r="M732" s="143" t="s">
        <v>91</v>
      </c>
    </row>
    <row r="733" spans="2:13" x14ac:dyDescent="0.35">
      <c r="B733" s="145">
        <v>46044</v>
      </c>
      <c r="C733" s="146">
        <v>46044</v>
      </c>
      <c r="D733" s="147" t="s">
        <v>184</v>
      </c>
      <c r="E733" s="148">
        <v>531</v>
      </c>
      <c r="F733" s="147" t="s">
        <v>1316</v>
      </c>
      <c r="G733" s="147"/>
      <c r="H733" s="149">
        <v>0</v>
      </c>
      <c r="I733" s="149">
        <v>200000</v>
      </c>
      <c r="J733" s="141">
        <f>+J732+Tabla69[[#This Row],[DEBE]]-Tabla69[[#This Row],[HABER]]</f>
        <v>-254704727.88999996</v>
      </c>
      <c r="K733" s="142" t="s">
        <v>872</v>
      </c>
      <c r="L733" s="143" t="s">
        <v>714</v>
      </c>
      <c r="M733" s="143" t="s">
        <v>91</v>
      </c>
    </row>
    <row r="734" spans="2:13" x14ac:dyDescent="0.35">
      <c r="B734" s="145">
        <v>46044</v>
      </c>
      <c r="C734" s="146">
        <v>46044</v>
      </c>
      <c r="D734" s="147" t="s">
        <v>184</v>
      </c>
      <c r="E734" s="148">
        <v>532</v>
      </c>
      <c r="F734" s="147" t="s">
        <v>1323</v>
      </c>
      <c r="G734" s="147"/>
      <c r="H734" s="149">
        <v>0</v>
      </c>
      <c r="I734" s="149">
        <v>200000</v>
      </c>
      <c r="J734" s="141">
        <f>+J733+Tabla69[[#This Row],[DEBE]]-Tabla69[[#This Row],[HABER]]</f>
        <v>-254904727.88999996</v>
      </c>
      <c r="K734" s="142" t="s">
        <v>872</v>
      </c>
      <c r="L734" s="143" t="s">
        <v>714</v>
      </c>
      <c r="M734" s="143" t="s">
        <v>91</v>
      </c>
    </row>
    <row r="735" spans="2:13" x14ac:dyDescent="0.35">
      <c r="B735" s="145">
        <v>46044</v>
      </c>
      <c r="C735" s="146">
        <v>46044</v>
      </c>
      <c r="D735" s="147" t="s">
        <v>184</v>
      </c>
      <c r="E735" s="148">
        <v>533</v>
      </c>
      <c r="F735" s="147" t="s">
        <v>1367</v>
      </c>
      <c r="G735" s="147"/>
      <c r="H735" s="149">
        <v>0</v>
      </c>
      <c r="I735" s="149">
        <v>200000</v>
      </c>
      <c r="J735" s="141">
        <f>+J734+Tabla69[[#This Row],[DEBE]]-Tabla69[[#This Row],[HABER]]</f>
        <v>-255104727.88999996</v>
      </c>
      <c r="K735" s="142" t="s">
        <v>872</v>
      </c>
      <c r="L735" s="143" t="s">
        <v>714</v>
      </c>
      <c r="M735" s="143" t="s">
        <v>91</v>
      </c>
    </row>
    <row r="736" spans="2:13" x14ac:dyDescent="0.35">
      <c r="B736" s="145">
        <v>46044</v>
      </c>
      <c r="C736" s="146">
        <v>46044</v>
      </c>
      <c r="D736" s="147" t="s">
        <v>184</v>
      </c>
      <c r="E736" s="148">
        <v>534</v>
      </c>
      <c r="F736" s="147" t="s">
        <v>1368</v>
      </c>
      <c r="G736" s="147"/>
      <c r="H736" s="149">
        <v>0</v>
      </c>
      <c r="I736" s="149">
        <v>200000</v>
      </c>
      <c r="J736" s="141">
        <f>+J735+Tabla69[[#This Row],[DEBE]]-Tabla69[[#This Row],[HABER]]</f>
        <v>-255304727.88999996</v>
      </c>
      <c r="K736" s="142" t="s">
        <v>872</v>
      </c>
      <c r="L736" s="143" t="s">
        <v>714</v>
      </c>
      <c r="M736" s="143" t="s">
        <v>91</v>
      </c>
    </row>
    <row r="737" spans="2:13" x14ac:dyDescent="0.35">
      <c r="B737" s="145">
        <v>46044</v>
      </c>
      <c r="C737" s="146">
        <v>46044</v>
      </c>
      <c r="D737" s="147" t="s">
        <v>184</v>
      </c>
      <c r="E737" s="148">
        <v>535</v>
      </c>
      <c r="F737" s="147" t="s">
        <v>1369</v>
      </c>
      <c r="G737" s="147"/>
      <c r="H737" s="149">
        <v>0</v>
      </c>
      <c r="I737" s="149">
        <v>451000</v>
      </c>
      <c r="J737" s="141">
        <f>+J736+Tabla69[[#This Row],[DEBE]]-Tabla69[[#This Row],[HABER]]</f>
        <v>-255755727.88999996</v>
      </c>
      <c r="K737" s="142" t="s">
        <v>872</v>
      </c>
      <c r="L737" s="143" t="s">
        <v>714</v>
      </c>
      <c r="M737" s="143" t="s">
        <v>91</v>
      </c>
    </row>
    <row r="738" spans="2:13" x14ac:dyDescent="0.35">
      <c r="B738" s="145">
        <v>46044</v>
      </c>
      <c r="C738" s="146">
        <v>46044</v>
      </c>
      <c r="D738" s="147" t="s">
        <v>184</v>
      </c>
      <c r="E738" s="148">
        <v>536</v>
      </c>
      <c r="F738" s="147" t="s">
        <v>1370</v>
      </c>
      <c r="G738" s="147"/>
      <c r="H738" s="149">
        <v>0</v>
      </c>
      <c r="I738" s="149">
        <v>451000</v>
      </c>
      <c r="J738" s="141">
        <f>+J737+Tabla69[[#This Row],[DEBE]]-Tabla69[[#This Row],[HABER]]</f>
        <v>-256206727.88999996</v>
      </c>
      <c r="K738" s="142" t="s">
        <v>872</v>
      </c>
      <c r="L738" s="143" t="s">
        <v>714</v>
      </c>
      <c r="M738" s="143" t="s">
        <v>91</v>
      </c>
    </row>
    <row r="739" spans="2:13" x14ac:dyDescent="0.35">
      <c r="B739" s="145">
        <v>46044</v>
      </c>
      <c r="C739" s="146">
        <v>46044</v>
      </c>
      <c r="D739" s="147" t="s">
        <v>184</v>
      </c>
      <c r="E739" s="148">
        <v>537</v>
      </c>
      <c r="F739" s="147" t="s">
        <v>1371</v>
      </c>
      <c r="G739" s="147"/>
      <c r="H739" s="149">
        <v>0</v>
      </c>
      <c r="I739" s="149">
        <v>490000</v>
      </c>
      <c r="J739" s="141">
        <f>+J738+Tabla69[[#This Row],[DEBE]]-Tabla69[[#This Row],[HABER]]</f>
        <v>-256696727.88999996</v>
      </c>
      <c r="K739" s="142" t="s">
        <v>872</v>
      </c>
      <c r="L739" s="143" t="s">
        <v>714</v>
      </c>
      <c r="M739" s="143" t="s">
        <v>91</v>
      </c>
    </row>
    <row r="740" spans="2:13" x14ac:dyDescent="0.35">
      <c r="B740" s="145">
        <v>46044</v>
      </c>
      <c r="C740" s="146">
        <v>46044</v>
      </c>
      <c r="D740" s="147" t="s">
        <v>184</v>
      </c>
      <c r="E740" s="148">
        <v>538</v>
      </c>
      <c r="F740" s="147" t="s">
        <v>1368</v>
      </c>
      <c r="G740" s="147"/>
      <c r="H740" s="149">
        <v>0</v>
      </c>
      <c r="I740" s="149">
        <v>451000</v>
      </c>
      <c r="J740" s="141">
        <f>+J739+Tabla69[[#This Row],[DEBE]]-Tabla69[[#This Row],[HABER]]</f>
        <v>-257147727.88999996</v>
      </c>
      <c r="K740" s="142" t="s">
        <v>872</v>
      </c>
      <c r="L740" s="143" t="s">
        <v>714</v>
      </c>
      <c r="M740" s="143" t="s">
        <v>91</v>
      </c>
    </row>
    <row r="741" spans="2:13" x14ac:dyDescent="0.35">
      <c r="B741" s="145">
        <v>46044</v>
      </c>
      <c r="C741" s="146">
        <v>46044</v>
      </c>
      <c r="D741" s="147" t="s">
        <v>184</v>
      </c>
      <c r="E741" s="148">
        <v>539</v>
      </c>
      <c r="F741" s="147" t="s">
        <v>1365</v>
      </c>
      <c r="G741" s="147"/>
      <c r="H741" s="149">
        <v>0</v>
      </c>
      <c r="I741" s="149">
        <v>451000</v>
      </c>
      <c r="J741" s="141">
        <f>+J740+Tabla69[[#This Row],[DEBE]]-Tabla69[[#This Row],[HABER]]</f>
        <v>-257598727.88999996</v>
      </c>
      <c r="K741" s="142" t="s">
        <v>872</v>
      </c>
      <c r="L741" s="143" t="s">
        <v>714</v>
      </c>
      <c r="M741" s="143" t="s">
        <v>91</v>
      </c>
    </row>
    <row r="742" spans="2:13" x14ac:dyDescent="0.35">
      <c r="B742" s="145">
        <v>46044</v>
      </c>
      <c r="C742" s="146">
        <v>46044</v>
      </c>
      <c r="D742" s="147" t="s">
        <v>184</v>
      </c>
      <c r="E742" s="148">
        <v>540</v>
      </c>
      <c r="F742" s="147" t="s">
        <v>1362</v>
      </c>
      <c r="G742" s="147"/>
      <c r="H742" s="149">
        <v>0</v>
      </c>
      <c r="I742" s="149">
        <v>490000</v>
      </c>
      <c r="J742" s="141">
        <f>+J741+Tabla69[[#This Row],[DEBE]]-Tabla69[[#This Row],[HABER]]</f>
        <v>-258088727.88999996</v>
      </c>
      <c r="K742" s="142" t="s">
        <v>872</v>
      </c>
      <c r="L742" s="143" t="s">
        <v>714</v>
      </c>
      <c r="M742" s="143" t="s">
        <v>91</v>
      </c>
    </row>
    <row r="743" spans="2:13" x14ac:dyDescent="0.35">
      <c r="B743" s="145">
        <v>46044</v>
      </c>
      <c r="C743" s="146">
        <v>46044</v>
      </c>
      <c r="D743" s="147" t="s">
        <v>184</v>
      </c>
      <c r="E743" s="148">
        <v>541</v>
      </c>
      <c r="F743" s="147" t="s">
        <v>1372</v>
      </c>
      <c r="G743" s="147"/>
      <c r="H743" s="149">
        <v>0</v>
      </c>
      <c r="I743" s="149">
        <v>490000</v>
      </c>
      <c r="J743" s="141">
        <f>+J742+Tabla69[[#This Row],[DEBE]]-Tabla69[[#This Row],[HABER]]</f>
        <v>-258578727.88999996</v>
      </c>
      <c r="K743" s="142" t="s">
        <v>872</v>
      </c>
      <c r="L743" s="143" t="s">
        <v>714</v>
      </c>
      <c r="M743" s="143" t="s">
        <v>91</v>
      </c>
    </row>
    <row r="744" spans="2:13" x14ac:dyDescent="0.35">
      <c r="B744" s="145">
        <v>46044</v>
      </c>
      <c r="C744" s="146">
        <v>46044</v>
      </c>
      <c r="D744" s="147" t="s">
        <v>184</v>
      </c>
      <c r="E744" s="148">
        <v>542</v>
      </c>
      <c r="F744" s="147" t="s">
        <v>1373</v>
      </c>
      <c r="G744" s="147"/>
      <c r="H744" s="149">
        <v>0</v>
      </c>
      <c r="I744" s="149">
        <v>451000</v>
      </c>
      <c r="J744" s="141">
        <f>+J743+Tabla69[[#This Row],[DEBE]]-Tabla69[[#This Row],[HABER]]</f>
        <v>-259029727.88999996</v>
      </c>
      <c r="K744" s="142" t="s">
        <v>872</v>
      </c>
      <c r="L744" s="143" t="s">
        <v>714</v>
      </c>
      <c r="M744" s="143" t="s">
        <v>91</v>
      </c>
    </row>
    <row r="745" spans="2:13" x14ac:dyDescent="0.35">
      <c r="B745" s="165">
        <v>46044</v>
      </c>
      <c r="C745" s="166">
        <v>46044</v>
      </c>
      <c r="D745" s="167" t="s">
        <v>184</v>
      </c>
      <c r="E745" s="168">
        <v>543</v>
      </c>
      <c r="F745" s="167" t="s">
        <v>1122</v>
      </c>
      <c r="G745" s="167"/>
      <c r="H745" s="169">
        <v>0</v>
      </c>
      <c r="I745" s="169">
        <v>-451000</v>
      </c>
      <c r="J745" s="155">
        <f>+J744+Tabla69[[#This Row],[DEBE]]-Tabla69[[#This Row],[HABER]]</f>
        <v>-258578727.88999996</v>
      </c>
      <c r="K745" s="156" t="s">
        <v>871</v>
      </c>
      <c r="L745" s="157" t="s">
        <v>714</v>
      </c>
      <c r="M745" s="157"/>
    </row>
    <row r="746" spans="2:13" x14ac:dyDescent="0.35">
      <c r="B746" s="165">
        <v>46044</v>
      </c>
      <c r="C746" s="166">
        <v>46044</v>
      </c>
      <c r="D746" s="167" t="s">
        <v>184</v>
      </c>
      <c r="E746" s="168">
        <v>543</v>
      </c>
      <c r="F746" s="167" t="s">
        <v>1122</v>
      </c>
      <c r="G746" s="167"/>
      <c r="H746" s="169">
        <v>0</v>
      </c>
      <c r="I746" s="169">
        <v>451000</v>
      </c>
      <c r="J746" s="155">
        <f>+J745+Tabla69[[#This Row],[DEBE]]-Tabla69[[#This Row],[HABER]]</f>
        <v>-259029727.88999996</v>
      </c>
      <c r="K746" s="156" t="s">
        <v>871</v>
      </c>
      <c r="L746" s="157" t="s">
        <v>714</v>
      </c>
      <c r="M746" s="157"/>
    </row>
    <row r="747" spans="2:13" x14ac:dyDescent="0.35">
      <c r="B747" s="145">
        <v>46044</v>
      </c>
      <c r="C747" s="146">
        <v>46044</v>
      </c>
      <c r="D747" s="147" t="s">
        <v>184</v>
      </c>
      <c r="E747" s="148">
        <v>544</v>
      </c>
      <c r="F747" s="147" t="s">
        <v>1374</v>
      </c>
      <c r="G747" s="147"/>
      <c r="H747" s="149">
        <v>0</v>
      </c>
      <c r="I747" s="149">
        <v>451000</v>
      </c>
      <c r="J747" s="141">
        <f>+J746+Tabla69[[#This Row],[DEBE]]-Tabla69[[#This Row],[HABER]]</f>
        <v>-259480727.88999996</v>
      </c>
      <c r="K747" s="142" t="s">
        <v>872</v>
      </c>
      <c r="L747" s="143" t="s">
        <v>714</v>
      </c>
      <c r="M747" s="143" t="s">
        <v>91</v>
      </c>
    </row>
    <row r="748" spans="2:13" x14ac:dyDescent="0.35">
      <c r="B748" s="145">
        <v>46044</v>
      </c>
      <c r="C748" s="146">
        <v>46044</v>
      </c>
      <c r="D748" s="147" t="s">
        <v>184</v>
      </c>
      <c r="E748" s="148">
        <v>545</v>
      </c>
      <c r="F748" s="147" t="s">
        <v>1375</v>
      </c>
      <c r="G748" s="147"/>
      <c r="H748" s="149">
        <v>0</v>
      </c>
      <c r="I748" s="149">
        <v>451000</v>
      </c>
      <c r="J748" s="141">
        <f>+J747+Tabla69[[#This Row],[DEBE]]-Tabla69[[#This Row],[HABER]]</f>
        <v>-259931727.88999996</v>
      </c>
      <c r="K748" s="142" t="s">
        <v>872</v>
      </c>
      <c r="L748" s="143" t="s">
        <v>714</v>
      </c>
      <c r="M748" s="143" t="s">
        <v>91</v>
      </c>
    </row>
    <row r="749" spans="2:13" x14ac:dyDescent="0.35">
      <c r="B749" s="145">
        <v>46044</v>
      </c>
      <c r="C749" s="146">
        <v>46044</v>
      </c>
      <c r="D749" s="147" t="s">
        <v>184</v>
      </c>
      <c r="E749" s="148">
        <v>546</v>
      </c>
      <c r="F749" s="147" t="s">
        <v>1376</v>
      </c>
      <c r="G749" s="147"/>
      <c r="H749" s="149">
        <v>0</v>
      </c>
      <c r="I749" s="149">
        <v>451000</v>
      </c>
      <c r="J749" s="141">
        <f>+J748+Tabla69[[#This Row],[DEBE]]-Tabla69[[#This Row],[HABER]]</f>
        <v>-260382727.88999996</v>
      </c>
      <c r="K749" s="142" t="s">
        <v>872</v>
      </c>
      <c r="L749" s="143" t="s">
        <v>714</v>
      </c>
      <c r="M749" s="143" t="s">
        <v>91</v>
      </c>
    </row>
    <row r="750" spans="2:13" x14ac:dyDescent="0.35">
      <c r="B750" s="145">
        <v>46044</v>
      </c>
      <c r="C750" s="146">
        <v>46044</v>
      </c>
      <c r="D750" s="147" t="s">
        <v>184</v>
      </c>
      <c r="E750" s="148">
        <v>547</v>
      </c>
      <c r="F750" s="147" t="s">
        <v>1377</v>
      </c>
      <c r="G750" s="147"/>
      <c r="H750" s="149">
        <v>0</v>
      </c>
      <c r="I750" s="149">
        <v>490000</v>
      </c>
      <c r="J750" s="141">
        <f>+J749+Tabla69[[#This Row],[DEBE]]-Tabla69[[#This Row],[HABER]]</f>
        <v>-260872727.88999996</v>
      </c>
      <c r="K750" s="142" t="s">
        <v>872</v>
      </c>
      <c r="L750" s="143" t="s">
        <v>714</v>
      </c>
      <c r="M750" s="143" t="s">
        <v>91</v>
      </c>
    </row>
    <row r="751" spans="2:13" x14ac:dyDescent="0.35">
      <c r="B751" s="145">
        <v>46044</v>
      </c>
      <c r="C751" s="146">
        <v>46044</v>
      </c>
      <c r="D751" s="147" t="s">
        <v>184</v>
      </c>
      <c r="E751" s="148">
        <v>548</v>
      </c>
      <c r="F751" s="147" t="s">
        <v>1378</v>
      </c>
      <c r="G751" s="147"/>
      <c r="H751" s="149">
        <v>0</v>
      </c>
      <c r="I751" s="149">
        <v>451000</v>
      </c>
      <c r="J751" s="141">
        <f>+J750+Tabla69[[#This Row],[DEBE]]-Tabla69[[#This Row],[HABER]]</f>
        <v>-261323727.88999996</v>
      </c>
      <c r="K751" s="142" t="s">
        <v>872</v>
      </c>
      <c r="L751" s="143" t="s">
        <v>714</v>
      </c>
      <c r="M751" s="143" t="s">
        <v>91</v>
      </c>
    </row>
    <row r="752" spans="2:13" x14ac:dyDescent="0.35">
      <c r="B752" s="145">
        <v>46044</v>
      </c>
      <c r="C752" s="146">
        <v>46044</v>
      </c>
      <c r="D752" s="147" t="s">
        <v>184</v>
      </c>
      <c r="E752" s="148">
        <v>549</v>
      </c>
      <c r="F752" s="147" t="s">
        <v>1363</v>
      </c>
      <c r="G752" s="147"/>
      <c r="H752" s="149">
        <v>0</v>
      </c>
      <c r="I752" s="149">
        <v>451000</v>
      </c>
      <c r="J752" s="141">
        <f>+J751+Tabla69[[#This Row],[DEBE]]-Tabla69[[#This Row],[HABER]]</f>
        <v>-261774727.88999996</v>
      </c>
      <c r="K752" s="142" t="s">
        <v>872</v>
      </c>
      <c r="L752" s="143" t="s">
        <v>714</v>
      </c>
      <c r="M752" s="143" t="s">
        <v>91</v>
      </c>
    </row>
    <row r="753" spans="2:13" x14ac:dyDescent="0.35">
      <c r="B753" s="145">
        <v>46044</v>
      </c>
      <c r="C753" s="146">
        <v>46044</v>
      </c>
      <c r="D753" s="147" t="s">
        <v>184</v>
      </c>
      <c r="E753" s="148">
        <v>550</v>
      </c>
      <c r="F753" s="147" t="s">
        <v>1364</v>
      </c>
      <c r="G753" s="147"/>
      <c r="H753" s="149">
        <v>0</v>
      </c>
      <c r="I753" s="149">
        <v>490000</v>
      </c>
      <c r="J753" s="141">
        <f>+J752+Tabla69[[#This Row],[DEBE]]-Tabla69[[#This Row],[HABER]]</f>
        <v>-262264727.88999996</v>
      </c>
      <c r="K753" s="142" t="s">
        <v>872</v>
      </c>
      <c r="L753" s="143" t="s">
        <v>714</v>
      </c>
      <c r="M753" s="143" t="s">
        <v>91</v>
      </c>
    </row>
    <row r="754" spans="2:13" x14ac:dyDescent="0.35">
      <c r="B754" s="145">
        <v>46044</v>
      </c>
      <c r="C754" s="146">
        <v>46044</v>
      </c>
      <c r="D754" s="147" t="s">
        <v>184</v>
      </c>
      <c r="E754" s="148">
        <v>551</v>
      </c>
      <c r="F754" s="147" t="s">
        <v>1379</v>
      </c>
      <c r="G754" s="147"/>
      <c r="H754" s="149">
        <v>0</v>
      </c>
      <c r="I754" s="149">
        <v>490000</v>
      </c>
      <c r="J754" s="141">
        <f>+J753+Tabla69[[#This Row],[DEBE]]-Tabla69[[#This Row],[HABER]]</f>
        <v>-262754727.88999996</v>
      </c>
      <c r="K754" s="142" t="s">
        <v>872</v>
      </c>
      <c r="L754" s="143" t="s">
        <v>714</v>
      </c>
      <c r="M754" s="143" t="s">
        <v>91</v>
      </c>
    </row>
    <row r="755" spans="2:13" x14ac:dyDescent="0.35">
      <c r="B755" s="145">
        <v>46044</v>
      </c>
      <c r="C755" s="146">
        <v>46044</v>
      </c>
      <c r="D755" s="147" t="s">
        <v>184</v>
      </c>
      <c r="E755" s="148">
        <v>552</v>
      </c>
      <c r="F755" s="147" t="s">
        <v>1367</v>
      </c>
      <c r="G755" s="147"/>
      <c r="H755" s="149">
        <v>0</v>
      </c>
      <c r="I755" s="149">
        <v>451000</v>
      </c>
      <c r="J755" s="141">
        <f>+J754+Tabla69[[#This Row],[DEBE]]-Tabla69[[#This Row],[HABER]]</f>
        <v>-263205727.88999996</v>
      </c>
      <c r="K755" s="142" t="s">
        <v>872</v>
      </c>
      <c r="L755" s="143" t="s">
        <v>714</v>
      </c>
      <c r="M755" s="143" t="s">
        <v>91</v>
      </c>
    </row>
    <row r="756" spans="2:13" x14ac:dyDescent="0.35">
      <c r="B756" s="145">
        <v>46044</v>
      </c>
      <c r="C756" s="146">
        <v>46044</v>
      </c>
      <c r="D756" s="147" t="s">
        <v>184</v>
      </c>
      <c r="E756" s="148">
        <v>553</v>
      </c>
      <c r="F756" s="147" t="s">
        <v>1076</v>
      </c>
      <c r="G756" s="147" t="s">
        <v>321</v>
      </c>
      <c r="H756" s="149">
        <v>0</v>
      </c>
      <c r="I756" s="149">
        <v>400614.23</v>
      </c>
      <c r="J756" s="141">
        <f>+J755+Tabla69[[#This Row],[DEBE]]-Tabla69[[#This Row],[HABER]]</f>
        <v>-263606342.11999995</v>
      </c>
      <c r="K756" s="142" t="s">
        <v>872</v>
      </c>
      <c r="L756" s="143" t="s">
        <v>714</v>
      </c>
      <c r="M756" s="143" t="s">
        <v>91</v>
      </c>
    </row>
    <row r="757" spans="2:13" x14ac:dyDescent="0.35">
      <c r="B757" s="145">
        <v>46044</v>
      </c>
      <c r="C757" s="146">
        <v>46044</v>
      </c>
      <c r="D757" s="147" t="s">
        <v>184</v>
      </c>
      <c r="E757" s="148">
        <v>554</v>
      </c>
      <c r="F757" s="147" t="s">
        <v>1380</v>
      </c>
      <c r="G757" s="147" t="s">
        <v>321</v>
      </c>
      <c r="H757" s="149">
        <v>0</v>
      </c>
      <c r="I757" s="149">
        <v>729075.75</v>
      </c>
      <c r="J757" s="141">
        <f>+J756+Tabla69[[#This Row],[DEBE]]-Tabla69[[#This Row],[HABER]]</f>
        <v>-264335417.86999995</v>
      </c>
      <c r="K757" s="142" t="s">
        <v>872</v>
      </c>
      <c r="L757" s="143" t="s">
        <v>714</v>
      </c>
      <c r="M757" s="143" t="s">
        <v>91</v>
      </c>
    </row>
    <row r="758" spans="2:13" x14ac:dyDescent="0.35">
      <c r="B758" s="145">
        <v>46044</v>
      </c>
      <c r="C758" s="146">
        <v>46044</v>
      </c>
      <c r="D758" s="147" t="s">
        <v>184</v>
      </c>
      <c r="E758" s="148">
        <v>555</v>
      </c>
      <c r="F758" s="147" t="s">
        <v>1381</v>
      </c>
      <c r="G758" s="147" t="s">
        <v>321</v>
      </c>
      <c r="H758" s="149">
        <v>0</v>
      </c>
      <c r="I758" s="149">
        <v>565855.77</v>
      </c>
      <c r="J758" s="141">
        <f>+J757+Tabla69[[#This Row],[DEBE]]-Tabla69[[#This Row],[HABER]]</f>
        <v>-264901273.63999996</v>
      </c>
      <c r="K758" s="142" t="s">
        <v>872</v>
      </c>
      <c r="L758" s="143" t="s">
        <v>714</v>
      </c>
      <c r="M758" s="143" t="s">
        <v>91</v>
      </c>
    </row>
    <row r="759" spans="2:13" x14ac:dyDescent="0.35">
      <c r="B759" s="145">
        <v>46044</v>
      </c>
      <c r="C759" s="146">
        <v>46044</v>
      </c>
      <c r="D759" s="147" t="s">
        <v>184</v>
      </c>
      <c r="E759" s="148">
        <v>556</v>
      </c>
      <c r="F759" s="147" t="s">
        <v>1382</v>
      </c>
      <c r="G759" s="147" t="s">
        <v>321</v>
      </c>
      <c r="H759" s="149">
        <v>0</v>
      </c>
      <c r="I759" s="149">
        <v>464399.54</v>
      </c>
      <c r="J759" s="141">
        <f>+J758+Tabla69[[#This Row],[DEBE]]-Tabla69[[#This Row],[HABER]]</f>
        <v>-265365673.17999995</v>
      </c>
      <c r="K759" s="142" t="s">
        <v>872</v>
      </c>
      <c r="L759" s="143" t="s">
        <v>714</v>
      </c>
      <c r="M759" s="143" t="s">
        <v>91</v>
      </c>
    </row>
    <row r="760" spans="2:13" x14ac:dyDescent="0.35">
      <c r="B760" s="145">
        <v>46044</v>
      </c>
      <c r="C760" s="146">
        <v>46044</v>
      </c>
      <c r="D760" s="147" t="s">
        <v>184</v>
      </c>
      <c r="E760" s="148">
        <v>557</v>
      </c>
      <c r="F760" s="147" t="s">
        <v>1383</v>
      </c>
      <c r="G760" s="147" t="s">
        <v>321</v>
      </c>
      <c r="H760" s="149">
        <v>0</v>
      </c>
      <c r="I760" s="149">
        <v>729075.75</v>
      </c>
      <c r="J760" s="141">
        <f>+J759+Tabla69[[#This Row],[DEBE]]-Tabla69[[#This Row],[HABER]]</f>
        <v>-266094748.92999995</v>
      </c>
      <c r="K760" s="142" t="s">
        <v>872</v>
      </c>
      <c r="L760" s="143" t="s">
        <v>714</v>
      </c>
      <c r="M760" s="143" t="s">
        <v>91</v>
      </c>
    </row>
    <row r="761" spans="2:13" x14ac:dyDescent="0.35">
      <c r="B761" s="145">
        <v>46044</v>
      </c>
      <c r="C761" s="146">
        <v>46044</v>
      </c>
      <c r="D761" s="147" t="s">
        <v>184</v>
      </c>
      <c r="E761" s="148">
        <v>558</v>
      </c>
      <c r="F761" s="147" t="s">
        <v>1384</v>
      </c>
      <c r="G761" s="147" t="s">
        <v>321</v>
      </c>
      <c r="H761" s="149">
        <v>0</v>
      </c>
      <c r="I761" s="149">
        <v>729075.75</v>
      </c>
      <c r="J761" s="141">
        <f>+J760+Tabla69[[#This Row],[DEBE]]-Tabla69[[#This Row],[HABER]]</f>
        <v>-266823824.67999995</v>
      </c>
      <c r="K761" s="142" t="s">
        <v>872</v>
      </c>
      <c r="L761" s="143" t="s">
        <v>714</v>
      </c>
      <c r="M761" s="143" t="s">
        <v>91</v>
      </c>
    </row>
    <row r="762" spans="2:13" x14ac:dyDescent="0.35">
      <c r="B762" s="145">
        <v>46044</v>
      </c>
      <c r="C762" s="146">
        <v>46044</v>
      </c>
      <c r="D762" s="147" t="s">
        <v>184</v>
      </c>
      <c r="E762" s="148">
        <v>559</v>
      </c>
      <c r="F762" s="147" t="s">
        <v>1385</v>
      </c>
      <c r="G762" s="147" t="s">
        <v>321</v>
      </c>
      <c r="H762" s="149">
        <v>0</v>
      </c>
      <c r="I762" s="149">
        <v>542261.85</v>
      </c>
      <c r="J762" s="141">
        <f>+J761+Tabla69[[#This Row],[DEBE]]-Tabla69[[#This Row],[HABER]]</f>
        <v>-267366086.52999994</v>
      </c>
      <c r="K762" s="142" t="s">
        <v>872</v>
      </c>
      <c r="L762" s="143" t="s">
        <v>714</v>
      </c>
      <c r="M762" s="143" t="s">
        <v>91</v>
      </c>
    </row>
    <row r="763" spans="2:13" x14ac:dyDescent="0.35">
      <c r="B763" s="145">
        <v>46044</v>
      </c>
      <c r="C763" s="146">
        <v>46044</v>
      </c>
      <c r="D763" s="147" t="s">
        <v>184</v>
      </c>
      <c r="E763" s="148">
        <v>560</v>
      </c>
      <c r="F763" s="147" t="s">
        <v>1080</v>
      </c>
      <c r="G763" s="147" t="s">
        <v>321</v>
      </c>
      <c r="H763" s="149">
        <v>0</v>
      </c>
      <c r="I763" s="149">
        <v>729075.75</v>
      </c>
      <c r="J763" s="141">
        <f>+J762+Tabla69[[#This Row],[DEBE]]-Tabla69[[#This Row],[HABER]]</f>
        <v>-268095162.27999994</v>
      </c>
      <c r="K763" s="142" t="s">
        <v>872</v>
      </c>
      <c r="L763" s="143" t="s">
        <v>714</v>
      </c>
      <c r="M763" s="143" t="s">
        <v>91</v>
      </c>
    </row>
    <row r="764" spans="2:13" x14ac:dyDescent="0.35">
      <c r="B764" s="145">
        <v>46044</v>
      </c>
      <c r="C764" s="146">
        <v>46044</v>
      </c>
      <c r="D764" s="147" t="s">
        <v>184</v>
      </c>
      <c r="E764" s="148">
        <v>561</v>
      </c>
      <c r="F764" s="147" t="s">
        <v>1386</v>
      </c>
      <c r="G764" s="147" t="s">
        <v>326</v>
      </c>
      <c r="H764" s="149">
        <v>0</v>
      </c>
      <c r="I764" s="149">
        <v>835275</v>
      </c>
      <c r="J764" s="141">
        <f>+J763+Tabla69[[#This Row],[DEBE]]-Tabla69[[#This Row],[HABER]]</f>
        <v>-268930437.27999997</v>
      </c>
      <c r="K764" s="142" t="s">
        <v>872</v>
      </c>
      <c r="L764" s="143" t="s">
        <v>714</v>
      </c>
      <c r="M764" s="143" t="s">
        <v>91</v>
      </c>
    </row>
    <row r="765" spans="2:13" x14ac:dyDescent="0.35">
      <c r="B765" s="145">
        <v>46044</v>
      </c>
      <c r="C765" s="146">
        <v>46044</v>
      </c>
      <c r="D765" s="147" t="s">
        <v>184</v>
      </c>
      <c r="E765" s="148">
        <v>562</v>
      </c>
      <c r="F765" s="147" t="s">
        <v>1077</v>
      </c>
      <c r="G765" s="147" t="s">
        <v>321</v>
      </c>
      <c r="H765" s="149">
        <v>0</v>
      </c>
      <c r="I765" s="149">
        <v>451500</v>
      </c>
      <c r="J765" s="141">
        <f>+J764+Tabla69[[#This Row],[DEBE]]-Tabla69[[#This Row],[HABER]]</f>
        <v>-269381937.27999997</v>
      </c>
      <c r="K765" s="142" t="s">
        <v>872</v>
      </c>
      <c r="L765" s="143" t="s">
        <v>714</v>
      </c>
      <c r="M765" s="143" t="s">
        <v>91</v>
      </c>
    </row>
    <row r="766" spans="2:13" x14ac:dyDescent="0.35">
      <c r="B766" s="145">
        <v>46044</v>
      </c>
      <c r="C766" s="146">
        <v>46044</v>
      </c>
      <c r="D766" s="147" t="s">
        <v>184</v>
      </c>
      <c r="E766" s="148">
        <v>563</v>
      </c>
      <c r="F766" s="147" t="s">
        <v>1387</v>
      </c>
      <c r="G766" s="147" t="s">
        <v>321</v>
      </c>
      <c r="H766" s="149">
        <v>0</v>
      </c>
      <c r="I766" s="149">
        <v>729075.75</v>
      </c>
      <c r="J766" s="141">
        <f>+J765+Tabla69[[#This Row],[DEBE]]-Tabla69[[#This Row],[HABER]]</f>
        <v>-270111013.02999997</v>
      </c>
      <c r="K766" s="142" t="s">
        <v>872</v>
      </c>
      <c r="L766" s="143" t="s">
        <v>714</v>
      </c>
      <c r="M766" s="143" t="s">
        <v>91</v>
      </c>
    </row>
    <row r="767" spans="2:13" x14ac:dyDescent="0.35">
      <c r="B767" s="145">
        <v>46044</v>
      </c>
      <c r="C767" s="146">
        <v>46044</v>
      </c>
      <c r="D767" s="147" t="s">
        <v>184</v>
      </c>
      <c r="E767" s="148">
        <v>564</v>
      </c>
      <c r="F767" s="147" t="s">
        <v>1388</v>
      </c>
      <c r="G767" s="147" t="s">
        <v>321</v>
      </c>
      <c r="H767" s="149">
        <v>0</v>
      </c>
      <c r="I767" s="149">
        <v>729075.75</v>
      </c>
      <c r="J767" s="141">
        <f>+J766+Tabla69[[#This Row],[DEBE]]-Tabla69[[#This Row],[HABER]]</f>
        <v>-270840088.77999997</v>
      </c>
      <c r="K767" s="142" t="s">
        <v>872</v>
      </c>
      <c r="L767" s="143" t="s">
        <v>714</v>
      </c>
      <c r="M767" s="143" t="s">
        <v>91</v>
      </c>
    </row>
    <row r="768" spans="2:13" x14ac:dyDescent="0.35">
      <c r="B768" s="145">
        <v>46044</v>
      </c>
      <c r="C768" s="146">
        <v>46044</v>
      </c>
      <c r="D768" s="147" t="s">
        <v>184</v>
      </c>
      <c r="E768" s="148">
        <v>565</v>
      </c>
      <c r="F768" s="147" t="s">
        <v>1389</v>
      </c>
      <c r="G768" s="147" t="s">
        <v>329</v>
      </c>
      <c r="H768" s="149">
        <v>0</v>
      </c>
      <c r="I768" s="149">
        <v>200000</v>
      </c>
      <c r="J768" s="141">
        <f>+J767+Tabla69[[#This Row],[DEBE]]-Tabla69[[#This Row],[HABER]]</f>
        <v>-271040088.77999997</v>
      </c>
      <c r="K768" s="142" t="s">
        <v>872</v>
      </c>
      <c r="L768" s="143" t="s">
        <v>714</v>
      </c>
      <c r="M768" s="143" t="s">
        <v>91</v>
      </c>
    </row>
    <row r="769" spans="2:13" x14ac:dyDescent="0.35">
      <c r="B769" s="145">
        <v>46044</v>
      </c>
      <c r="C769" s="146">
        <v>46044</v>
      </c>
      <c r="D769" s="147" t="s">
        <v>184</v>
      </c>
      <c r="E769" s="148">
        <v>566</v>
      </c>
      <c r="F769" s="147" t="s">
        <v>1351</v>
      </c>
      <c r="G769" s="147" t="s">
        <v>330</v>
      </c>
      <c r="H769" s="149">
        <v>0</v>
      </c>
      <c r="I769" s="149">
        <v>1050197.94</v>
      </c>
      <c r="J769" s="141">
        <f>+J768+Tabla69[[#This Row],[DEBE]]-Tabla69[[#This Row],[HABER]]</f>
        <v>-272090286.71999997</v>
      </c>
      <c r="K769" s="142" t="s">
        <v>872</v>
      </c>
      <c r="L769" s="143" t="s">
        <v>714</v>
      </c>
      <c r="M769" s="143" t="s">
        <v>91</v>
      </c>
    </row>
    <row r="770" spans="2:13" x14ac:dyDescent="0.35">
      <c r="B770" s="145">
        <v>46044</v>
      </c>
      <c r="C770" s="146">
        <v>46044</v>
      </c>
      <c r="D770" s="147" t="s">
        <v>184</v>
      </c>
      <c r="E770" s="148">
        <v>567</v>
      </c>
      <c r="F770" s="147" t="s">
        <v>1390</v>
      </c>
      <c r="G770" s="147" t="s">
        <v>323</v>
      </c>
      <c r="H770" s="149">
        <v>0</v>
      </c>
      <c r="I770" s="149">
        <v>465367.5</v>
      </c>
      <c r="J770" s="141">
        <f>+J769+Tabla69[[#This Row],[DEBE]]-Tabla69[[#This Row],[HABER]]</f>
        <v>-272555654.21999997</v>
      </c>
      <c r="K770" s="142" t="s">
        <v>872</v>
      </c>
      <c r="L770" s="143" t="s">
        <v>714</v>
      </c>
      <c r="M770" s="143" t="s">
        <v>91</v>
      </c>
    </row>
    <row r="771" spans="2:13" x14ac:dyDescent="0.35">
      <c r="B771" s="145">
        <v>46044</v>
      </c>
      <c r="C771" s="146">
        <v>46044</v>
      </c>
      <c r="D771" s="147" t="s">
        <v>184</v>
      </c>
      <c r="E771" s="148">
        <v>568</v>
      </c>
      <c r="F771" s="147" t="s">
        <v>1391</v>
      </c>
      <c r="G771" s="147" t="s">
        <v>331</v>
      </c>
      <c r="H771" s="149">
        <v>0</v>
      </c>
      <c r="I771" s="149">
        <v>200000</v>
      </c>
      <c r="J771" s="141">
        <f>+J770+Tabla69[[#This Row],[DEBE]]-Tabla69[[#This Row],[HABER]]</f>
        <v>-272755654.21999997</v>
      </c>
      <c r="K771" s="142" t="s">
        <v>872</v>
      </c>
      <c r="L771" s="143" t="s">
        <v>714</v>
      </c>
      <c r="M771" s="143" t="s">
        <v>91</v>
      </c>
    </row>
    <row r="772" spans="2:13" x14ac:dyDescent="0.35">
      <c r="B772" s="145">
        <v>46044</v>
      </c>
      <c r="C772" s="146">
        <v>46044</v>
      </c>
      <c r="D772" s="147" t="s">
        <v>184</v>
      </c>
      <c r="E772" s="148">
        <v>569</v>
      </c>
      <c r="F772" s="147" t="s">
        <v>1392</v>
      </c>
      <c r="G772" s="147" t="s">
        <v>332</v>
      </c>
      <c r="H772" s="149">
        <v>0</v>
      </c>
      <c r="I772" s="149">
        <v>987186.06</v>
      </c>
      <c r="J772" s="141">
        <f>+J771+Tabla69[[#This Row],[DEBE]]-Tabla69[[#This Row],[HABER]]</f>
        <v>-273742840.27999997</v>
      </c>
      <c r="K772" s="142" t="s">
        <v>872</v>
      </c>
      <c r="L772" s="143" t="s">
        <v>714</v>
      </c>
      <c r="M772" s="143" t="s">
        <v>91</v>
      </c>
    </row>
    <row r="773" spans="2:13" x14ac:dyDescent="0.35">
      <c r="B773" s="145">
        <v>46044</v>
      </c>
      <c r="C773" s="146">
        <v>46044</v>
      </c>
      <c r="D773" s="147" t="s">
        <v>184</v>
      </c>
      <c r="E773" s="148">
        <v>570</v>
      </c>
      <c r="F773" s="147" t="s">
        <v>1393</v>
      </c>
      <c r="G773" s="147" t="s">
        <v>321</v>
      </c>
      <c r="H773" s="149">
        <v>0</v>
      </c>
      <c r="I773" s="149">
        <v>502596.9</v>
      </c>
      <c r="J773" s="141">
        <f>+J772+Tabla69[[#This Row],[DEBE]]-Tabla69[[#This Row],[HABER]]</f>
        <v>-274245437.17999995</v>
      </c>
      <c r="K773" s="142" t="s">
        <v>872</v>
      </c>
      <c r="L773" s="143" t="s">
        <v>714</v>
      </c>
      <c r="M773" s="143" t="s">
        <v>91</v>
      </c>
    </row>
    <row r="774" spans="2:13" x14ac:dyDescent="0.35">
      <c r="B774" s="145">
        <v>46044</v>
      </c>
      <c r="C774" s="146">
        <v>46044</v>
      </c>
      <c r="D774" s="147" t="s">
        <v>184</v>
      </c>
      <c r="E774" s="148">
        <v>571</v>
      </c>
      <c r="F774" s="147" t="s">
        <v>1394</v>
      </c>
      <c r="G774" s="147" t="s">
        <v>333</v>
      </c>
      <c r="H774" s="149">
        <v>0</v>
      </c>
      <c r="I774" s="149">
        <v>200000</v>
      </c>
      <c r="J774" s="141">
        <f>+J773+Tabla69[[#This Row],[DEBE]]-Tabla69[[#This Row],[HABER]]</f>
        <v>-274445437.17999995</v>
      </c>
      <c r="K774" s="142" t="s">
        <v>872</v>
      </c>
      <c r="L774" s="143" t="s">
        <v>714</v>
      </c>
      <c r="M774" s="143" t="s">
        <v>91</v>
      </c>
    </row>
    <row r="775" spans="2:13" x14ac:dyDescent="0.35">
      <c r="B775" s="145">
        <v>46044</v>
      </c>
      <c r="C775" s="146">
        <v>46044</v>
      </c>
      <c r="D775" s="147" t="s">
        <v>184</v>
      </c>
      <c r="E775" s="148">
        <v>572</v>
      </c>
      <c r="F775" s="147" t="s">
        <v>1395</v>
      </c>
      <c r="G775" s="147" t="s">
        <v>334</v>
      </c>
      <c r="H775" s="149">
        <v>0</v>
      </c>
      <c r="I775" s="149">
        <v>1050197.04</v>
      </c>
      <c r="J775" s="141">
        <f>+J774+Tabla69[[#This Row],[DEBE]]-Tabla69[[#This Row],[HABER]]</f>
        <v>-275495634.21999997</v>
      </c>
      <c r="K775" s="142" t="s">
        <v>872</v>
      </c>
      <c r="L775" s="143" t="s">
        <v>714</v>
      </c>
      <c r="M775" s="143" t="s">
        <v>91</v>
      </c>
    </row>
    <row r="776" spans="2:13" x14ac:dyDescent="0.35">
      <c r="B776" s="145">
        <v>46044</v>
      </c>
      <c r="C776" s="146">
        <v>46044</v>
      </c>
      <c r="D776" s="147" t="s">
        <v>184</v>
      </c>
      <c r="E776" s="148">
        <v>573</v>
      </c>
      <c r="F776" s="147" t="s">
        <v>1396</v>
      </c>
      <c r="G776" s="147" t="s">
        <v>335</v>
      </c>
      <c r="H776" s="149">
        <v>0</v>
      </c>
      <c r="I776" s="149">
        <v>200000</v>
      </c>
      <c r="J776" s="141">
        <f>+J775+Tabla69[[#This Row],[DEBE]]-Tabla69[[#This Row],[HABER]]</f>
        <v>-275695634.21999997</v>
      </c>
      <c r="K776" s="142" t="s">
        <v>872</v>
      </c>
      <c r="L776" s="143" t="s">
        <v>714</v>
      </c>
      <c r="M776" s="143" t="s">
        <v>91</v>
      </c>
    </row>
    <row r="777" spans="2:13" x14ac:dyDescent="0.35">
      <c r="B777" s="145">
        <v>46044</v>
      </c>
      <c r="C777" s="146">
        <v>46044</v>
      </c>
      <c r="D777" s="147" t="s">
        <v>184</v>
      </c>
      <c r="E777" s="148">
        <v>574</v>
      </c>
      <c r="F777" s="147" t="s">
        <v>1397</v>
      </c>
      <c r="G777" s="147" t="s">
        <v>336</v>
      </c>
      <c r="H777" s="149">
        <v>0</v>
      </c>
      <c r="I777" s="149">
        <v>867944.64</v>
      </c>
      <c r="J777" s="141">
        <f>+J776+Tabla69[[#This Row],[DEBE]]-Tabla69[[#This Row],[HABER]]</f>
        <v>-276563578.85999995</v>
      </c>
      <c r="K777" s="142" t="s">
        <v>872</v>
      </c>
      <c r="L777" s="143" t="s">
        <v>714</v>
      </c>
      <c r="M777" s="143" t="s">
        <v>91</v>
      </c>
    </row>
    <row r="778" spans="2:13" x14ac:dyDescent="0.35">
      <c r="B778" s="145">
        <v>46044</v>
      </c>
      <c r="C778" s="146">
        <v>46044</v>
      </c>
      <c r="D778" s="147" t="s">
        <v>184</v>
      </c>
      <c r="E778" s="148">
        <v>575</v>
      </c>
      <c r="F778" s="147" t="s">
        <v>1398</v>
      </c>
      <c r="G778" s="147" t="s">
        <v>321</v>
      </c>
      <c r="H778" s="149">
        <v>0</v>
      </c>
      <c r="I778" s="149">
        <v>835275</v>
      </c>
      <c r="J778" s="141">
        <f>+J777+Tabla69[[#This Row],[DEBE]]-Tabla69[[#This Row],[HABER]]</f>
        <v>-277398853.85999995</v>
      </c>
      <c r="K778" s="142" t="s">
        <v>872</v>
      </c>
      <c r="L778" s="143" t="s">
        <v>714</v>
      </c>
      <c r="M778" s="143" t="s">
        <v>91</v>
      </c>
    </row>
    <row r="779" spans="2:13" x14ac:dyDescent="0.35">
      <c r="B779" s="145">
        <v>46044</v>
      </c>
      <c r="C779" s="146">
        <v>46044</v>
      </c>
      <c r="D779" s="147" t="s">
        <v>184</v>
      </c>
      <c r="E779" s="148">
        <v>576</v>
      </c>
      <c r="F779" s="147" t="s">
        <v>1399</v>
      </c>
      <c r="G779" s="147" t="s">
        <v>337</v>
      </c>
      <c r="H779" s="149">
        <v>0</v>
      </c>
      <c r="I779" s="149">
        <v>200000</v>
      </c>
      <c r="J779" s="141">
        <f>+J778+Tabla69[[#This Row],[DEBE]]-Tabla69[[#This Row],[HABER]]</f>
        <v>-277598853.85999995</v>
      </c>
      <c r="K779" s="142" t="s">
        <v>872</v>
      </c>
      <c r="L779" s="143" t="s">
        <v>714</v>
      </c>
      <c r="M779" s="143" t="s">
        <v>91</v>
      </c>
    </row>
    <row r="780" spans="2:13" x14ac:dyDescent="0.35">
      <c r="B780" s="145">
        <v>46044</v>
      </c>
      <c r="C780" s="146">
        <v>46044</v>
      </c>
      <c r="D780" s="147" t="s">
        <v>184</v>
      </c>
      <c r="E780" s="148">
        <v>577</v>
      </c>
      <c r="F780" s="147" t="s">
        <v>1392</v>
      </c>
      <c r="G780" s="147" t="s">
        <v>338</v>
      </c>
      <c r="H780" s="149">
        <v>0</v>
      </c>
      <c r="I780" s="149">
        <v>188000</v>
      </c>
      <c r="J780" s="141">
        <f>+J779+Tabla69[[#This Row],[DEBE]]-Tabla69[[#This Row],[HABER]]</f>
        <v>-277786853.85999995</v>
      </c>
      <c r="K780" s="142" t="s">
        <v>872</v>
      </c>
      <c r="L780" s="143" t="s">
        <v>714</v>
      </c>
      <c r="M780" s="143" t="s">
        <v>91</v>
      </c>
    </row>
    <row r="781" spans="2:13" x14ac:dyDescent="0.35">
      <c r="B781" s="145">
        <v>46044</v>
      </c>
      <c r="C781" s="146">
        <v>46044</v>
      </c>
      <c r="D781" s="147" t="s">
        <v>184</v>
      </c>
      <c r="E781" s="148">
        <v>578</v>
      </c>
      <c r="F781" s="147" t="s">
        <v>1400</v>
      </c>
      <c r="G781" s="147" t="s">
        <v>339</v>
      </c>
      <c r="H781" s="149">
        <v>0</v>
      </c>
      <c r="I781" s="149">
        <v>200000</v>
      </c>
      <c r="J781" s="141">
        <f>+J780+Tabla69[[#This Row],[DEBE]]-Tabla69[[#This Row],[HABER]]</f>
        <v>-277986853.85999995</v>
      </c>
      <c r="K781" s="142" t="s">
        <v>872</v>
      </c>
      <c r="L781" s="143" t="s">
        <v>714</v>
      </c>
      <c r="M781" s="143" t="s">
        <v>91</v>
      </c>
    </row>
    <row r="782" spans="2:13" x14ac:dyDescent="0.35">
      <c r="B782" s="145">
        <v>46044</v>
      </c>
      <c r="C782" s="146">
        <v>46044</v>
      </c>
      <c r="D782" s="147" t="s">
        <v>184</v>
      </c>
      <c r="E782" s="148">
        <v>579</v>
      </c>
      <c r="F782" s="147" t="s">
        <v>1401</v>
      </c>
      <c r="G782" s="147" t="s">
        <v>340</v>
      </c>
      <c r="H782" s="149">
        <v>0</v>
      </c>
      <c r="I782" s="149">
        <v>200000</v>
      </c>
      <c r="J782" s="141">
        <f>+J781+Tabla69[[#This Row],[DEBE]]-Tabla69[[#This Row],[HABER]]</f>
        <v>-278186853.85999995</v>
      </c>
      <c r="K782" s="142" t="s">
        <v>872</v>
      </c>
      <c r="L782" s="143" t="s">
        <v>714</v>
      </c>
      <c r="M782" s="143" t="s">
        <v>91</v>
      </c>
    </row>
    <row r="783" spans="2:13" x14ac:dyDescent="0.35">
      <c r="B783" s="145">
        <v>46044</v>
      </c>
      <c r="C783" s="146">
        <v>46044</v>
      </c>
      <c r="D783" s="147" t="s">
        <v>184</v>
      </c>
      <c r="E783" s="148">
        <v>580</v>
      </c>
      <c r="F783" s="147" t="s">
        <v>1397</v>
      </c>
      <c r="G783" s="147" t="s">
        <v>341</v>
      </c>
      <c r="H783" s="149">
        <v>0</v>
      </c>
      <c r="I783" s="149">
        <v>200000</v>
      </c>
      <c r="J783" s="141">
        <f>+J782+Tabla69[[#This Row],[DEBE]]-Tabla69[[#This Row],[HABER]]</f>
        <v>-278386853.85999995</v>
      </c>
      <c r="K783" s="142" t="s">
        <v>872</v>
      </c>
      <c r="L783" s="143" t="s">
        <v>714</v>
      </c>
      <c r="M783" s="143" t="s">
        <v>91</v>
      </c>
    </row>
    <row r="784" spans="2:13" x14ac:dyDescent="0.35">
      <c r="B784" s="145">
        <v>46044</v>
      </c>
      <c r="C784" s="146">
        <v>46044</v>
      </c>
      <c r="D784" s="147" t="s">
        <v>184</v>
      </c>
      <c r="E784" s="148">
        <v>581</v>
      </c>
      <c r="F784" s="147" t="s">
        <v>1402</v>
      </c>
      <c r="G784" s="147" t="s">
        <v>342</v>
      </c>
      <c r="H784" s="149">
        <v>0</v>
      </c>
      <c r="I784" s="149">
        <v>200000</v>
      </c>
      <c r="J784" s="141">
        <f>+J783+Tabla69[[#This Row],[DEBE]]-Tabla69[[#This Row],[HABER]]</f>
        <v>-278586853.85999995</v>
      </c>
      <c r="K784" s="142" t="s">
        <v>872</v>
      </c>
      <c r="L784" s="143" t="s">
        <v>714</v>
      </c>
      <c r="M784" s="143" t="s">
        <v>91</v>
      </c>
    </row>
    <row r="785" spans="2:13" x14ac:dyDescent="0.35">
      <c r="B785" s="145">
        <v>46044</v>
      </c>
      <c r="C785" s="146">
        <v>46044</v>
      </c>
      <c r="D785" s="147" t="s">
        <v>184</v>
      </c>
      <c r="E785" s="148">
        <v>582</v>
      </c>
      <c r="F785" s="147" t="s">
        <v>1403</v>
      </c>
      <c r="G785" s="147" t="s">
        <v>343</v>
      </c>
      <c r="H785" s="149">
        <v>0</v>
      </c>
      <c r="I785" s="149">
        <v>200000</v>
      </c>
      <c r="J785" s="141">
        <f>+J784+Tabla69[[#This Row],[DEBE]]-Tabla69[[#This Row],[HABER]]</f>
        <v>-278786853.85999995</v>
      </c>
      <c r="K785" s="142" t="s">
        <v>872</v>
      </c>
      <c r="L785" s="143" t="s">
        <v>714</v>
      </c>
      <c r="M785" s="143" t="s">
        <v>91</v>
      </c>
    </row>
    <row r="786" spans="2:13" x14ac:dyDescent="0.35">
      <c r="B786" s="145">
        <v>46044</v>
      </c>
      <c r="C786" s="146">
        <v>46044</v>
      </c>
      <c r="D786" s="147" t="s">
        <v>184</v>
      </c>
      <c r="E786" s="148">
        <v>583</v>
      </c>
      <c r="F786" s="147" t="s">
        <v>1404</v>
      </c>
      <c r="G786" s="147" t="s">
        <v>344</v>
      </c>
      <c r="H786" s="149">
        <v>0</v>
      </c>
      <c r="I786" s="149">
        <v>200000</v>
      </c>
      <c r="J786" s="141">
        <f>+J785+Tabla69[[#This Row],[DEBE]]-Tabla69[[#This Row],[HABER]]</f>
        <v>-278986853.85999995</v>
      </c>
      <c r="K786" s="142" t="s">
        <v>872</v>
      </c>
      <c r="L786" s="143" t="s">
        <v>714</v>
      </c>
      <c r="M786" s="143" t="s">
        <v>91</v>
      </c>
    </row>
    <row r="787" spans="2:13" x14ac:dyDescent="0.35">
      <c r="B787" s="145">
        <v>46044</v>
      </c>
      <c r="C787" s="146">
        <v>46044</v>
      </c>
      <c r="D787" s="147" t="s">
        <v>184</v>
      </c>
      <c r="E787" s="148">
        <v>584</v>
      </c>
      <c r="F787" s="147" t="s">
        <v>1405</v>
      </c>
      <c r="G787" s="147" t="s">
        <v>321</v>
      </c>
      <c r="H787" s="149">
        <v>0</v>
      </c>
      <c r="I787" s="149">
        <v>539579.66</v>
      </c>
      <c r="J787" s="141">
        <f>+J786+Tabla69[[#This Row],[DEBE]]-Tabla69[[#This Row],[HABER]]</f>
        <v>-279526433.51999998</v>
      </c>
      <c r="K787" s="142" t="s">
        <v>872</v>
      </c>
      <c r="L787" s="143" t="s">
        <v>714</v>
      </c>
      <c r="M787" s="143" t="s">
        <v>91</v>
      </c>
    </row>
    <row r="788" spans="2:13" x14ac:dyDescent="0.35">
      <c r="B788" s="145">
        <v>46044</v>
      </c>
      <c r="C788" s="146">
        <v>46044</v>
      </c>
      <c r="D788" s="147" t="s">
        <v>184</v>
      </c>
      <c r="E788" s="148">
        <v>585</v>
      </c>
      <c r="F788" s="147" t="s">
        <v>1395</v>
      </c>
      <c r="G788" s="147" t="s">
        <v>345</v>
      </c>
      <c r="H788" s="149">
        <v>0</v>
      </c>
      <c r="I788" s="149">
        <v>200000</v>
      </c>
      <c r="J788" s="141">
        <f>+J787+Tabla69[[#This Row],[DEBE]]-Tabla69[[#This Row],[HABER]]</f>
        <v>-279726433.51999998</v>
      </c>
      <c r="K788" s="142" t="s">
        <v>872</v>
      </c>
      <c r="L788" s="143" t="s">
        <v>714</v>
      </c>
      <c r="M788" s="143" t="s">
        <v>91</v>
      </c>
    </row>
    <row r="789" spans="2:13" x14ac:dyDescent="0.35">
      <c r="B789" s="145">
        <v>46044</v>
      </c>
      <c r="C789" s="146">
        <v>46044</v>
      </c>
      <c r="D789" s="147" t="s">
        <v>184</v>
      </c>
      <c r="E789" s="148">
        <v>586</v>
      </c>
      <c r="F789" s="147" t="s">
        <v>1114</v>
      </c>
      <c r="G789" s="147" t="s">
        <v>346</v>
      </c>
      <c r="H789" s="149">
        <v>0</v>
      </c>
      <c r="I789" s="149">
        <v>200000</v>
      </c>
      <c r="J789" s="141">
        <f>+J788+Tabla69[[#This Row],[DEBE]]-Tabla69[[#This Row],[HABER]]</f>
        <v>-279926433.51999998</v>
      </c>
      <c r="K789" s="142" t="s">
        <v>872</v>
      </c>
      <c r="L789" s="143" t="s">
        <v>714</v>
      </c>
      <c r="M789" s="143" t="s">
        <v>91</v>
      </c>
    </row>
    <row r="790" spans="2:13" x14ac:dyDescent="0.35">
      <c r="B790" s="145">
        <v>46044</v>
      </c>
      <c r="C790" s="146">
        <v>46044</v>
      </c>
      <c r="D790" s="147" t="s">
        <v>184</v>
      </c>
      <c r="E790" s="148">
        <v>587</v>
      </c>
      <c r="F790" s="147" t="s">
        <v>1406</v>
      </c>
      <c r="G790" s="147" t="s">
        <v>321</v>
      </c>
      <c r="H790" s="149">
        <v>0</v>
      </c>
      <c r="I790" s="149">
        <v>709500</v>
      </c>
      <c r="J790" s="141">
        <f>+J789+Tabla69[[#This Row],[DEBE]]-Tabla69[[#This Row],[HABER]]</f>
        <v>-280635933.51999998</v>
      </c>
      <c r="K790" s="142" t="s">
        <v>872</v>
      </c>
      <c r="L790" s="143" t="s">
        <v>714</v>
      </c>
      <c r="M790" s="143" t="s">
        <v>91</v>
      </c>
    </row>
    <row r="791" spans="2:13" x14ac:dyDescent="0.35">
      <c r="B791" s="145">
        <v>46044</v>
      </c>
      <c r="C791" s="146">
        <v>46044</v>
      </c>
      <c r="D791" s="147" t="s">
        <v>184</v>
      </c>
      <c r="E791" s="148">
        <v>588</v>
      </c>
      <c r="F791" s="147" t="s">
        <v>1407</v>
      </c>
      <c r="G791" s="147" t="s">
        <v>347</v>
      </c>
      <c r="H791" s="149">
        <v>0</v>
      </c>
      <c r="I791" s="149">
        <v>200000</v>
      </c>
      <c r="J791" s="141">
        <f>+J790+Tabla69[[#This Row],[DEBE]]-Tabla69[[#This Row],[HABER]]</f>
        <v>-280835933.51999998</v>
      </c>
      <c r="K791" s="142" t="s">
        <v>872</v>
      </c>
      <c r="L791" s="143" t="s">
        <v>714</v>
      </c>
      <c r="M791" s="143" t="s">
        <v>91</v>
      </c>
    </row>
    <row r="792" spans="2:13" x14ac:dyDescent="0.35">
      <c r="B792" s="145">
        <v>46044</v>
      </c>
      <c r="C792" s="146">
        <v>46044</v>
      </c>
      <c r="D792" s="147" t="s">
        <v>184</v>
      </c>
      <c r="E792" s="148">
        <v>589</v>
      </c>
      <c r="F792" s="147" t="s">
        <v>1408</v>
      </c>
      <c r="G792" s="147" t="s">
        <v>348</v>
      </c>
      <c r="H792" s="149">
        <v>0</v>
      </c>
      <c r="I792" s="149">
        <v>200000</v>
      </c>
      <c r="J792" s="141">
        <f>+J791+Tabla69[[#This Row],[DEBE]]-Tabla69[[#This Row],[HABER]]</f>
        <v>-281035933.51999998</v>
      </c>
      <c r="K792" s="142" t="s">
        <v>872</v>
      </c>
      <c r="L792" s="143" t="s">
        <v>714</v>
      </c>
      <c r="M792" s="143" t="s">
        <v>91</v>
      </c>
    </row>
    <row r="793" spans="2:13" x14ac:dyDescent="0.35">
      <c r="B793" s="145">
        <v>46044</v>
      </c>
      <c r="C793" s="146">
        <v>46044</v>
      </c>
      <c r="D793" s="147" t="s">
        <v>184</v>
      </c>
      <c r="E793" s="148">
        <v>590</v>
      </c>
      <c r="F793" s="147" t="s">
        <v>1409</v>
      </c>
      <c r="G793" s="147" t="s">
        <v>321</v>
      </c>
      <c r="H793" s="149">
        <v>0</v>
      </c>
      <c r="I793" s="149">
        <v>544479.98</v>
      </c>
      <c r="J793" s="141">
        <f>+J792+Tabla69[[#This Row],[DEBE]]-Tabla69[[#This Row],[HABER]]</f>
        <v>-281580413.5</v>
      </c>
      <c r="K793" s="142" t="s">
        <v>872</v>
      </c>
      <c r="L793" s="143" t="s">
        <v>714</v>
      </c>
      <c r="M793" s="143" t="s">
        <v>91</v>
      </c>
    </row>
    <row r="794" spans="2:13" x14ac:dyDescent="0.35">
      <c r="B794" s="145">
        <v>46044</v>
      </c>
      <c r="C794" s="146">
        <v>46044</v>
      </c>
      <c r="D794" s="147" t="s">
        <v>184</v>
      </c>
      <c r="E794" s="148">
        <v>591</v>
      </c>
      <c r="F794" s="147" t="s">
        <v>1371</v>
      </c>
      <c r="G794" s="147" t="s">
        <v>349</v>
      </c>
      <c r="H794" s="149">
        <v>0</v>
      </c>
      <c r="I794" s="149">
        <v>200000</v>
      </c>
      <c r="J794" s="141">
        <f>+J793+Tabla69[[#This Row],[DEBE]]-Tabla69[[#This Row],[HABER]]</f>
        <v>-281780413.5</v>
      </c>
      <c r="K794" s="142" t="s">
        <v>872</v>
      </c>
      <c r="L794" s="143" t="s">
        <v>714</v>
      </c>
      <c r="M794" s="143" t="s">
        <v>91</v>
      </c>
    </row>
    <row r="795" spans="2:13" x14ac:dyDescent="0.35">
      <c r="B795" s="165">
        <v>46044</v>
      </c>
      <c r="C795" s="166">
        <v>46044</v>
      </c>
      <c r="D795" s="167" t="s">
        <v>184</v>
      </c>
      <c r="E795" s="168">
        <v>592</v>
      </c>
      <c r="F795" s="167" t="s">
        <v>1410</v>
      </c>
      <c r="G795" s="167" t="s">
        <v>350</v>
      </c>
      <c r="H795" s="169">
        <v>0</v>
      </c>
      <c r="I795" s="169">
        <v>-432735.93</v>
      </c>
      <c r="J795" s="155">
        <f>+J794+Tabla69[[#This Row],[DEBE]]-Tabla69[[#This Row],[HABER]]</f>
        <v>-281347677.56999999</v>
      </c>
      <c r="K795" s="156" t="s">
        <v>871</v>
      </c>
      <c r="L795" s="157" t="s">
        <v>714</v>
      </c>
      <c r="M795" s="157"/>
    </row>
    <row r="796" spans="2:13" x14ac:dyDescent="0.35">
      <c r="B796" s="165">
        <v>46044</v>
      </c>
      <c r="C796" s="166">
        <v>46044</v>
      </c>
      <c r="D796" s="167" t="s">
        <v>184</v>
      </c>
      <c r="E796" s="168">
        <v>592</v>
      </c>
      <c r="F796" s="167" t="s">
        <v>1410</v>
      </c>
      <c r="G796" s="167" t="s">
        <v>350</v>
      </c>
      <c r="H796" s="169">
        <v>0</v>
      </c>
      <c r="I796" s="169">
        <v>432735.93</v>
      </c>
      <c r="J796" s="155">
        <f>+J795+Tabla69[[#This Row],[DEBE]]-Tabla69[[#This Row],[HABER]]</f>
        <v>-281780413.5</v>
      </c>
      <c r="K796" s="156" t="s">
        <v>871</v>
      </c>
      <c r="L796" s="157" t="s">
        <v>714</v>
      </c>
      <c r="M796" s="157"/>
    </row>
    <row r="797" spans="2:13" x14ac:dyDescent="0.35">
      <c r="B797" s="145">
        <v>46044</v>
      </c>
      <c r="C797" s="146">
        <v>46044</v>
      </c>
      <c r="D797" s="147" t="s">
        <v>184</v>
      </c>
      <c r="E797" s="148">
        <v>593</v>
      </c>
      <c r="F797" s="147" t="s">
        <v>1411</v>
      </c>
      <c r="G797" s="147" t="s">
        <v>321</v>
      </c>
      <c r="H797" s="149">
        <v>0</v>
      </c>
      <c r="I797" s="149">
        <v>544479.98</v>
      </c>
      <c r="J797" s="141">
        <f>+J796+Tabla69[[#This Row],[DEBE]]-Tabla69[[#This Row],[HABER]]</f>
        <v>-282324893.48000002</v>
      </c>
      <c r="K797" s="142" t="s">
        <v>872</v>
      </c>
      <c r="L797" s="143" t="s">
        <v>714</v>
      </c>
      <c r="M797" s="143" t="s">
        <v>91</v>
      </c>
    </row>
    <row r="798" spans="2:13" x14ac:dyDescent="0.35">
      <c r="B798" s="145">
        <v>46044</v>
      </c>
      <c r="C798" s="146">
        <v>46044</v>
      </c>
      <c r="D798" s="147" t="s">
        <v>184</v>
      </c>
      <c r="E798" s="148">
        <v>594</v>
      </c>
      <c r="F798" s="147" t="s">
        <v>1366</v>
      </c>
      <c r="G798" s="147" t="s">
        <v>351</v>
      </c>
      <c r="H798" s="149">
        <v>0</v>
      </c>
      <c r="I798" s="149">
        <v>200000</v>
      </c>
      <c r="J798" s="141">
        <f>+J797+Tabla69[[#This Row],[DEBE]]-Tabla69[[#This Row],[HABER]]</f>
        <v>-282524893.48000002</v>
      </c>
      <c r="K798" s="142" t="s">
        <v>872</v>
      </c>
      <c r="L798" s="143" t="s">
        <v>714</v>
      </c>
      <c r="M798" s="143" t="s">
        <v>91</v>
      </c>
    </row>
    <row r="799" spans="2:13" x14ac:dyDescent="0.35">
      <c r="B799" s="145">
        <v>46044</v>
      </c>
      <c r="C799" s="146">
        <v>46044</v>
      </c>
      <c r="D799" s="147" t="s">
        <v>184</v>
      </c>
      <c r="E799" s="148">
        <v>595</v>
      </c>
      <c r="F799" s="147" t="s">
        <v>1383</v>
      </c>
      <c r="G799" s="147" t="s">
        <v>352</v>
      </c>
      <c r="H799" s="149">
        <v>0</v>
      </c>
      <c r="I799" s="149">
        <v>200000</v>
      </c>
      <c r="J799" s="141">
        <f>+J798+Tabla69[[#This Row],[DEBE]]-Tabla69[[#This Row],[HABER]]</f>
        <v>-282724893.48000002</v>
      </c>
      <c r="K799" s="142" t="s">
        <v>872</v>
      </c>
      <c r="L799" s="143" t="s">
        <v>714</v>
      </c>
      <c r="M799" s="143" t="s">
        <v>91</v>
      </c>
    </row>
    <row r="800" spans="2:13" x14ac:dyDescent="0.35">
      <c r="B800" s="145">
        <v>46044</v>
      </c>
      <c r="C800" s="146">
        <v>46044</v>
      </c>
      <c r="D800" s="147" t="s">
        <v>184</v>
      </c>
      <c r="E800" s="148">
        <v>596</v>
      </c>
      <c r="F800" s="147" t="s">
        <v>1079</v>
      </c>
      <c r="G800" s="147" t="s">
        <v>321</v>
      </c>
      <c r="H800" s="149">
        <v>0</v>
      </c>
      <c r="I800" s="149">
        <v>620490</v>
      </c>
      <c r="J800" s="141">
        <f>+J799+Tabla69[[#This Row],[DEBE]]-Tabla69[[#This Row],[HABER]]</f>
        <v>-283345383.48000002</v>
      </c>
      <c r="K800" s="142" t="s">
        <v>872</v>
      </c>
      <c r="L800" s="143" t="s">
        <v>714</v>
      </c>
      <c r="M800" s="143" t="s">
        <v>91</v>
      </c>
    </row>
    <row r="801" spans="2:13" x14ac:dyDescent="0.35">
      <c r="B801" s="145">
        <v>46044</v>
      </c>
      <c r="C801" s="146">
        <v>46044</v>
      </c>
      <c r="D801" s="147" t="s">
        <v>184</v>
      </c>
      <c r="E801" s="148">
        <v>597</v>
      </c>
      <c r="F801" s="147" t="s">
        <v>1412</v>
      </c>
      <c r="G801" s="147" t="s">
        <v>321</v>
      </c>
      <c r="H801" s="149">
        <v>0</v>
      </c>
      <c r="I801" s="149">
        <v>376577.37</v>
      </c>
      <c r="J801" s="141">
        <f>+J800+Tabla69[[#This Row],[DEBE]]-Tabla69[[#This Row],[HABER]]</f>
        <v>-283721960.85000002</v>
      </c>
      <c r="K801" s="142" t="s">
        <v>872</v>
      </c>
      <c r="L801" s="143" t="s">
        <v>714</v>
      </c>
      <c r="M801" s="143" t="s">
        <v>91</v>
      </c>
    </row>
    <row r="802" spans="2:13" x14ac:dyDescent="0.35">
      <c r="B802" s="145">
        <v>46044</v>
      </c>
      <c r="C802" s="146">
        <v>46044</v>
      </c>
      <c r="D802" s="147" t="s">
        <v>184</v>
      </c>
      <c r="E802" s="148">
        <v>598</v>
      </c>
      <c r="F802" s="147" t="s">
        <v>1398</v>
      </c>
      <c r="G802" s="147" t="s">
        <v>321</v>
      </c>
      <c r="H802" s="149">
        <v>0</v>
      </c>
      <c r="I802" s="149">
        <v>200000</v>
      </c>
      <c r="J802" s="141">
        <f>+J801+Tabla69[[#This Row],[DEBE]]-Tabla69[[#This Row],[HABER]]</f>
        <v>-283921960.85000002</v>
      </c>
      <c r="K802" s="142" t="s">
        <v>872</v>
      </c>
      <c r="L802" s="143" t="s">
        <v>714</v>
      </c>
      <c r="M802" s="143" t="s">
        <v>91</v>
      </c>
    </row>
    <row r="803" spans="2:13" x14ac:dyDescent="0.35">
      <c r="B803" s="145">
        <v>46044</v>
      </c>
      <c r="C803" s="146">
        <v>46044</v>
      </c>
      <c r="D803" s="147" t="s">
        <v>184</v>
      </c>
      <c r="E803" s="148">
        <v>599</v>
      </c>
      <c r="F803" s="147" t="s">
        <v>1413</v>
      </c>
      <c r="G803" s="147" t="s">
        <v>353</v>
      </c>
      <c r="H803" s="149">
        <v>0</v>
      </c>
      <c r="I803" s="149">
        <v>871072.5</v>
      </c>
      <c r="J803" s="141">
        <f>+J802+Tabla69[[#This Row],[DEBE]]-Tabla69[[#This Row],[HABER]]</f>
        <v>-284793033.35000002</v>
      </c>
      <c r="K803" s="142" t="s">
        <v>872</v>
      </c>
      <c r="L803" s="143" t="s">
        <v>714</v>
      </c>
      <c r="M803" s="143" t="s">
        <v>91</v>
      </c>
    </row>
    <row r="804" spans="2:13" x14ac:dyDescent="0.35">
      <c r="B804" s="145">
        <v>46044</v>
      </c>
      <c r="C804" s="146">
        <v>46044</v>
      </c>
      <c r="D804" s="147" t="s">
        <v>184</v>
      </c>
      <c r="E804" s="148">
        <v>600</v>
      </c>
      <c r="F804" s="147" t="s">
        <v>1414</v>
      </c>
      <c r="G804" s="147" t="s">
        <v>321</v>
      </c>
      <c r="H804" s="149">
        <v>0</v>
      </c>
      <c r="I804" s="149">
        <v>729075.75</v>
      </c>
      <c r="J804" s="141">
        <f>+J803+Tabla69[[#This Row],[DEBE]]-Tabla69[[#This Row],[HABER]]</f>
        <v>-285522109.10000002</v>
      </c>
      <c r="K804" s="142" t="s">
        <v>872</v>
      </c>
      <c r="L804" s="143" t="s">
        <v>714</v>
      </c>
      <c r="M804" s="143" t="s">
        <v>91</v>
      </c>
    </row>
    <row r="805" spans="2:13" x14ac:dyDescent="0.35">
      <c r="B805" s="145">
        <v>46044</v>
      </c>
      <c r="C805" s="146">
        <v>46044</v>
      </c>
      <c r="D805" s="147" t="s">
        <v>184</v>
      </c>
      <c r="E805" s="148">
        <v>601</v>
      </c>
      <c r="F805" s="147" t="s">
        <v>1346</v>
      </c>
      <c r="G805" s="147" t="s">
        <v>354</v>
      </c>
      <c r="H805" s="149">
        <v>0</v>
      </c>
      <c r="I805" s="149">
        <v>1479630</v>
      </c>
      <c r="J805" s="141">
        <f>+J804+Tabla69[[#This Row],[DEBE]]-Tabla69[[#This Row],[HABER]]</f>
        <v>-287001739.10000002</v>
      </c>
      <c r="K805" s="142" t="s">
        <v>872</v>
      </c>
      <c r="L805" s="143" t="s">
        <v>714</v>
      </c>
      <c r="M805" s="143" t="s">
        <v>91</v>
      </c>
    </row>
    <row r="806" spans="2:13" x14ac:dyDescent="0.35">
      <c r="B806" s="145">
        <v>46044</v>
      </c>
      <c r="C806" s="146">
        <v>46044</v>
      </c>
      <c r="D806" s="147" t="s">
        <v>184</v>
      </c>
      <c r="E806" s="148">
        <v>602</v>
      </c>
      <c r="F806" s="147" t="s">
        <v>1415</v>
      </c>
      <c r="G806" s="147" t="s">
        <v>352</v>
      </c>
      <c r="H806" s="149">
        <v>0</v>
      </c>
      <c r="I806" s="149">
        <v>184000</v>
      </c>
      <c r="J806" s="141">
        <f>+J805+Tabla69[[#This Row],[DEBE]]-Tabla69[[#This Row],[HABER]]</f>
        <v>-287185739.10000002</v>
      </c>
      <c r="K806" s="142" t="s">
        <v>872</v>
      </c>
      <c r="L806" s="143" t="s">
        <v>714</v>
      </c>
      <c r="M806" s="143" t="s">
        <v>91</v>
      </c>
    </row>
    <row r="807" spans="2:13" x14ac:dyDescent="0.35">
      <c r="B807" s="165">
        <v>46044</v>
      </c>
      <c r="C807" s="166">
        <v>46044</v>
      </c>
      <c r="D807" s="167" t="s">
        <v>184</v>
      </c>
      <c r="E807" s="168">
        <v>603</v>
      </c>
      <c r="F807" s="167" t="s">
        <v>1416</v>
      </c>
      <c r="G807" s="167" t="s">
        <v>321</v>
      </c>
      <c r="H807" s="169">
        <v>0</v>
      </c>
      <c r="I807" s="169">
        <v>200000</v>
      </c>
      <c r="J807" s="155">
        <f>+J806+Tabla69[[#This Row],[DEBE]]-Tabla69[[#This Row],[HABER]]</f>
        <v>-287385739.10000002</v>
      </c>
      <c r="K807" s="156" t="s">
        <v>871</v>
      </c>
      <c r="L807" s="157" t="s">
        <v>714</v>
      </c>
      <c r="M807" s="157"/>
    </row>
    <row r="808" spans="2:13" x14ac:dyDescent="0.35">
      <c r="B808" s="165">
        <v>46044</v>
      </c>
      <c r="C808" s="166">
        <v>46044</v>
      </c>
      <c r="D808" s="167" t="s">
        <v>184</v>
      </c>
      <c r="E808" s="168">
        <v>603</v>
      </c>
      <c r="F808" s="167" t="s">
        <v>1416</v>
      </c>
      <c r="G808" s="167" t="s">
        <v>321</v>
      </c>
      <c r="H808" s="169">
        <v>0</v>
      </c>
      <c r="I808" s="169">
        <v>-200000</v>
      </c>
      <c r="J808" s="155">
        <f>+J807+Tabla69[[#This Row],[DEBE]]-Tabla69[[#This Row],[HABER]]</f>
        <v>-287185739.10000002</v>
      </c>
      <c r="K808" s="156" t="s">
        <v>871</v>
      </c>
      <c r="L808" s="157" t="s">
        <v>714</v>
      </c>
      <c r="M808" s="157"/>
    </row>
    <row r="809" spans="2:13" x14ac:dyDescent="0.35">
      <c r="B809" s="145">
        <v>46044</v>
      </c>
      <c r="C809" s="146">
        <v>46044</v>
      </c>
      <c r="D809" s="147" t="s">
        <v>184</v>
      </c>
      <c r="E809" s="148">
        <v>604</v>
      </c>
      <c r="F809" s="147" t="s">
        <v>1417</v>
      </c>
      <c r="G809" s="147" t="s">
        <v>355</v>
      </c>
      <c r="H809" s="149">
        <v>0</v>
      </c>
      <c r="I809" s="149">
        <v>1017691.99</v>
      </c>
      <c r="J809" s="141">
        <f>+J808+Tabla69[[#This Row],[DEBE]]-Tabla69[[#This Row],[HABER]]</f>
        <v>-288203431.09000003</v>
      </c>
      <c r="K809" s="142" t="s">
        <v>872</v>
      </c>
      <c r="L809" s="143" t="s">
        <v>714</v>
      </c>
      <c r="M809" s="143" t="s">
        <v>91</v>
      </c>
    </row>
    <row r="810" spans="2:13" x14ac:dyDescent="0.35">
      <c r="B810" s="145">
        <v>46044</v>
      </c>
      <c r="C810" s="146">
        <v>46044</v>
      </c>
      <c r="D810" s="147" t="s">
        <v>184</v>
      </c>
      <c r="E810" s="148">
        <v>605</v>
      </c>
      <c r="F810" s="147" t="s">
        <v>1390</v>
      </c>
      <c r="G810" s="147" t="s">
        <v>321</v>
      </c>
      <c r="H810" s="149">
        <v>0</v>
      </c>
      <c r="I810" s="149">
        <v>200000</v>
      </c>
      <c r="J810" s="141">
        <f>+J809+Tabla69[[#This Row],[DEBE]]-Tabla69[[#This Row],[HABER]]</f>
        <v>-288403431.09000003</v>
      </c>
      <c r="K810" s="142" t="s">
        <v>872</v>
      </c>
      <c r="L810" s="143" t="s">
        <v>714</v>
      </c>
      <c r="M810" s="143" t="s">
        <v>91</v>
      </c>
    </row>
    <row r="811" spans="2:13" x14ac:dyDescent="0.35">
      <c r="B811" s="145">
        <v>46044</v>
      </c>
      <c r="C811" s="146">
        <v>46044</v>
      </c>
      <c r="D811" s="147" t="s">
        <v>184</v>
      </c>
      <c r="E811" s="148">
        <v>606</v>
      </c>
      <c r="F811" s="147" t="s">
        <v>1418</v>
      </c>
      <c r="G811" s="147" t="s">
        <v>356</v>
      </c>
      <c r="H811" s="149">
        <v>0</v>
      </c>
      <c r="I811" s="149">
        <v>432735.93</v>
      </c>
      <c r="J811" s="141">
        <f>+J810+Tabla69[[#This Row],[DEBE]]-Tabla69[[#This Row],[HABER]]</f>
        <v>-288836167.02000004</v>
      </c>
      <c r="K811" s="142" t="s">
        <v>872</v>
      </c>
      <c r="L811" s="143" t="s">
        <v>714</v>
      </c>
      <c r="M811" s="143" t="s">
        <v>91</v>
      </c>
    </row>
    <row r="812" spans="2:13" x14ac:dyDescent="0.35">
      <c r="B812" s="145">
        <v>46044</v>
      </c>
      <c r="C812" s="146">
        <v>46044</v>
      </c>
      <c r="D812" s="147" t="s">
        <v>184</v>
      </c>
      <c r="E812" s="148">
        <v>607</v>
      </c>
      <c r="F812" s="147" t="s">
        <v>1419</v>
      </c>
      <c r="G812" s="147" t="s">
        <v>321</v>
      </c>
      <c r="H812" s="149">
        <v>0</v>
      </c>
      <c r="I812" s="149">
        <v>200000</v>
      </c>
      <c r="J812" s="141">
        <f>+J811+Tabla69[[#This Row],[DEBE]]-Tabla69[[#This Row],[HABER]]</f>
        <v>-289036167.02000004</v>
      </c>
      <c r="K812" s="142" t="s">
        <v>872</v>
      </c>
      <c r="L812" s="143" t="s">
        <v>714</v>
      </c>
      <c r="M812" s="143" t="s">
        <v>91</v>
      </c>
    </row>
    <row r="813" spans="2:13" x14ac:dyDescent="0.35">
      <c r="B813" s="145">
        <v>46044</v>
      </c>
      <c r="C813" s="146">
        <v>46044</v>
      </c>
      <c r="D813" s="147" t="s">
        <v>184</v>
      </c>
      <c r="E813" s="148">
        <v>608</v>
      </c>
      <c r="F813" s="147" t="s">
        <v>1420</v>
      </c>
      <c r="G813" s="147" t="s">
        <v>357</v>
      </c>
      <c r="H813" s="149">
        <v>0</v>
      </c>
      <c r="I813" s="149">
        <v>200000</v>
      </c>
      <c r="J813" s="141">
        <f>+J812+Tabla69[[#This Row],[DEBE]]-Tabla69[[#This Row],[HABER]]</f>
        <v>-289236167.02000004</v>
      </c>
      <c r="K813" s="142" t="s">
        <v>872</v>
      </c>
      <c r="L813" s="143" t="s">
        <v>714</v>
      </c>
      <c r="M813" s="143" t="s">
        <v>91</v>
      </c>
    </row>
    <row r="814" spans="2:13" x14ac:dyDescent="0.35">
      <c r="B814" s="145">
        <v>46044</v>
      </c>
      <c r="C814" s="146">
        <v>46044</v>
      </c>
      <c r="D814" s="147" t="s">
        <v>184</v>
      </c>
      <c r="E814" s="148">
        <v>609</v>
      </c>
      <c r="F814" s="147" t="s">
        <v>1409</v>
      </c>
      <c r="G814" s="147" t="s">
        <v>321</v>
      </c>
      <c r="H814" s="149">
        <v>0</v>
      </c>
      <c r="I814" s="149">
        <v>200000</v>
      </c>
      <c r="J814" s="141">
        <f>+J813+Tabla69[[#This Row],[DEBE]]-Tabla69[[#This Row],[HABER]]</f>
        <v>-289436167.02000004</v>
      </c>
      <c r="K814" s="142" t="s">
        <v>872</v>
      </c>
      <c r="L814" s="143" t="s">
        <v>714</v>
      </c>
      <c r="M814" s="143" t="s">
        <v>91</v>
      </c>
    </row>
    <row r="815" spans="2:13" x14ac:dyDescent="0.35">
      <c r="B815" s="145">
        <v>46044</v>
      </c>
      <c r="C815" s="146">
        <v>46044</v>
      </c>
      <c r="D815" s="147" t="s">
        <v>184</v>
      </c>
      <c r="E815" s="148">
        <v>610</v>
      </c>
      <c r="F815" s="147" t="s">
        <v>1414</v>
      </c>
      <c r="G815" s="147" t="s">
        <v>321</v>
      </c>
      <c r="H815" s="149">
        <v>0</v>
      </c>
      <c r="I815" s="149">
        <v>200000</v>
      </c>
      <c r="J815" s="141">
        <f>+J814+Tabla69[[#This Row],[DEBE]]-Tabla69[[#This Row],[HABER]]</f>
        <v>-289636167.02000004</v>
      </c>
      <c r="K815" s="142" t="s">
        <v>872</v>
      </c>
      <c r="L815" s="143" t="s">
        <v>714</v>
      </c>
      <c r="M815" s="143" t="s">
        <v>91</v>
      </c>
    </row>
    <row r="816" spans="2:13" x14ac:dyDescent="0.35">
      <c r="B816" s="145">
        <v>46044</v>
      </c>
      <c r="C816" s="146">
        <v>46044</v>
      </c>
      <c r="D816" s="147" t="s">
        <v>184</v>
      </c>
      <c r="E816" s="148">
        <v>611</v>
      </c>
      <c r="F816" s="147" t="s">
        <v>1345</v>
      </c>
      <c r="G816" s="147" t="s">
        <v>358</v>
      </c>
      <c r="H816" s="149">
        <v>0</v>
      </c>
      <c r="I816" s="149">
        <v>1040778.51</v>
      </c>
      <c r="J816" s="141">
        <f>+J815+Tabla69[[#This Row],[DEBE]]-Tabla69[[#This Row],[HABER]]</f>
        <v>-290676945.53000003</v>
      </c>
      <c r="K816" s="142" t="s">
        <v>872</v>
      </c>
      <c r="L816" s="143" t="s">
        <v>714</v>
      </c>
      <c r="M816" s="143" t="s">
        <v>91</v>
      </c>
    </row>
    <row r="817" spans="2:13" x14ac:dyDescent="0.35">
      <c r="B817" s="145">
        <v>46044</v>
      </c>
      <c r="C817" s="146">
        <v>46044</v>
      </c>
      <c r="D817" s="147" t="s">
        <v>184</v>
      </c>
      <c r="E817" s="148">
        <v>612</v>
      </c>
      <c r="F817" s="147" t="s">
        <v>1388</v>
      </c>
      <c r="G817" s="147" t="s">
        <v>321</v>
      </c>
      <c r="H817" s="149">
        <v>0</v>
      </c>
      <c r="I817" s="149">
        <v>200000</v>
      </c>
      <c r="J817" s="141">
        <f>+J816+Tabla69[[#This Row],[DEBE]]-Tabla69[[#This Row],[HABER]]</f>
        <v>-290876945.53000003</v>
      </c>
      <c r="K817" s="142" t="s">
        <v>872</v>
      </c>
      <c r="L817" s="143" t="s">
        <v>714</v>
      </c>
      <c r="M817" s="143" t="s">
        <v>91</v>
      </c>
    </row>
    <row r="818" spans="2:13" x14ac:dyDescent="0.35">
      <c r="B818" s="145">
        <v>46044</v>
      </c>
      <c r="C818" s="146">
        <v>46044</v>
      </c>
      <c r="D818" s="147" t="s">
        <v>184</v>
      </c>
      <c r="E818" s="148">
        <v>613</v>
      </c>
      <c r="F818" s="147" t="s">
        <v>1421</v>
      </c>
      <c r="G818" s="147" t="s">
        <v>321</v>
      </c>
      <c r="H818" s="149">
        <v>0</v>
      </c>
      <c r="I818" s="149">
        <v>200000</v>
      </c>
      <c r="J818" s="141">
        <f>+J817+Tabla69[[#This Row],[DEBE]]-Tabla69[[#This Row],[HABER]]</f>
        <v>-291076945.53000003</v>
      </c>
      <c r="K818" s="142" t="s">
        <v>872</v>
      </c>
      <c r="L818" s="143" t="s">
        <v>714</v>
      </c>
      <c r="M818" s="143" t="s">
        <v>91</v>
      </c>
    </row>
    <row r="819" spans="2:13" x14ac:dyDescent="0.35">
      <c r="B819" s="145">
        <v>46044</v>
      </c>
      <c r="C819" s="146">
        <v>46044</v>
      </c>
      <c r="D819" s="147" t="s">
        <v>184</v>
      </c>
      <c r="E819" s="148">
        <v>614</v>
      </c>
      <c r="F819" s="147" t="s">
        <v>1422</v>
      </c>
      <c r="G819" s="147" t="s">
        <v>321</v>
      </c>
      <c r="H819" s="149">
        <v>0</v>
      </c>
      <c r="I819" s="149">
        <v>200000</v>
      </c>
      <c r="J819" s="141">
        <f>+J818+Tabla69[[#This Row],[DEBE]]-Tabla69[[#This Row],[HABER]]</f>
        <v>-291276945.53000003</v>
      </c>
      <c r="K819" s="142" t="s">
        <v>872</v>
      </c>
      <c r="L819" s="143" t="s">
        <v>714</v>
      </c>
      <c r="M819" s="143" t="s">
        <v>91</v>
      </c>
    </row>
    <row r="820" spans="2:13" x14ac:dyDescent="0.35">
      <c r="B820" s="145">
        <v>46044</v>
      </c>
      <c r="C820" s="146">
        <v>46044</v>
      </c>
      <c r="D820" s="147" t="s">
        <v>184</v>
      </c>
      <c r="E820" s="148">
        <v>615</v>
      </c>
      <c r="F820" s="147" t="s">
        <v>1423</v>
      </c>
      <c r="G820" s="147" t="s">
        <v>359</v>
      </c>
      <c r="H820" s="149">
        <v>0</v>
      </c>
      <c r="I820" s="149">
        <v>200000</v>
      </c>
      <c r="J820" s="141">
        <f>+J819+Tabla69[[#This Row],[DEBE]]-Tabla69[[#This Row],[HABER]]</f>
        <v>-291476945.53000003</v>
      </c>
      <c r="K820" s="142" t="s">
        <v>872</v>
      </c>
      <c r="L820" s="143" t="s">
        <v>714</v>
      </c>
      <c r="M820" s="143" t="s">
        <v>91</v>
      </c>
    </row>
    <row r="821" spans="2:13" x14ac:dyDescent="0.35">
      <c r="B821" s="145">
        <v>46044</v>
      </c>
      <c r="C821" s="146">
        <v>46044</v>
      </c>
      <c r="D821" s="147" t="s">
        <v>184</v>
      </c>
      <c r="E821" s="148">
        <v>616</v>
      </c>
      <c r="F821" s="147" t="s">
        <v>1385</v>
      </c>
      <c r="G821" s="147" t="s">
        <v>321</v>
      </c>
      <c r="H821" s="149">
        <v>0</v>
      </c>
      <c r="I821" s="149">
        <v>200000</v>
      </c>
      <c r="J821" s="141">
        <f>+J820+Tabla69[[#This Row],[DEBE]]-Tabla69[[#This Row],[HABER]]</f>
        <v>-291676945.53000003</v>
      </c>
      <c r="K821" s="142" t="s">
        <v>872</v>
      </c>
      <c r="L821" s="143" t="s">
        <v>714</v>
      </c>
      <c r="M821" s="143" t="s">
        <v>91</v>
      </c>
    </row>
    <row r="822" spans="2:13" x14ac:dyDescent="0.35">
      <c r="B822" s="145">
        <v>46044</v>
      </c>
      <c r="C822" s="146">
        <v>46044</v>
      </c>
      <c r="D822" s="147" t="s">
        <v>184</v>
      </c>
      <c r="E822" s="148">
        <v>617</v>
      </c>
      <c r="F822" s="147" t="s">
        <v>1387</v>
      </c>
      <c r="G822" s="147" t="s">
        <v>321</v>
      </c>
      <c r="H822" s="149">
        <v>0</v>
      </c>
      <c r="I822" s="149">
        <v>200000</v>
      </c>
      <c r="J822" s="141">
        <f>+J821+Tabla69[[#This Row],[DEBE]]-Tabla69[[#This Row],[HABER]]</f>
        <v>-291876945.53000003</v>
      </c>
      <c r="K822" s="142" t="s">
        <v>872</v>
      </c>
      <c r="L822" s="143" t="s">
        <v>714</v>
      </c>
      <c r="M822" s="143" t="s">
        <v>91</v>
      </c>
    </row>
    <row r="823" spans="2:13" x14ac:dyDescent="0.35">
      <c r="B823" s="145">
        <v>46044</v>
      </c>
      <c r="C823" s="146">
        <v>46044</v>
      </c>
      <c r="D823" s="147" t="s">
        <v>184</v>
      </c>
      <c r="E823" s="148">
        <v>618</v>
      </c>
      <c r="F823" s="147" t="s">
        <v>1408</v>
      </c>
      <c r="G823" s="147" t="s">
        <v>360</v>
      </c>
      <c r="H823" s="149">
        <v>0</v>
      </c>
      <c r="I823" s="149">
        <v>1500000</v>
      </c>
      <c r="J823" s="141">
        <f>+J822+Tabla69[[#This Row],[DEBE]]-Tabla69[[#This Row],[HABER]]</f>
        <v>-293376945.53000003</v>
      </c>
      <c r="K823" s="142" t="s">
        <v>872</v>
      </c>
      <c r="L823" s="143" t="s">
        <v>714</v>
      </c>
      <c r="M823" s="143" t="s">
        <v>91</v>
      </c>
    </row>
    <row r="824" spans="2:13" x14ac:dyDescent="0.35">
      <c r="B824" s="145">
        <v>46044</v>
      </c>
      <c r="C824" s="146">
        <v>46044</v>
      </c>
      <c r="D824" s="147" t="s">
        <v>184</v>
      </c>
      <c r="E824" s="148">
        <v>619</v>
      </c>
      <c r="F824" s="147" t="s">
        <v>1330</v>
      </c>
      <c r="G824" s="147" t="s">
        <v>321</v>
      </c>
      <c r="H824" s="149">
        <v>0</v>
      </c>
      <c r="I824" s="149">
        <v>835235</v>
      </c>
      <c r="J824" s="141">
        <f>+J823+Tabla69[[#This Row],[DEBE]]-Tabla69[[#This Row],[HABER]]</f>
        <v>-294212180.53000003</v>
      </c>
      <c r="K824" s="142" t="s">
        <v>872</v>
      </c>
      <c r="L824" s="143" t="s">
        <v>714</v>
      </c>
      <c r="M824" s="143" t="s">
        <v>91</v>
      </c>
    </row>
    <row r="825" spans="2:13" x14ac:dyDescent="0.35">
      <c r="B825" s="145">
        <v>46044</v>
      </c>
      <c r="C825" s="146">
        <v>46044</v>
      </c>
      <c r="D825" s="147" t="s">
        <v>184</v>
      </c>
      <c r="E825" s="148">
        <v>620</v>
      </c>
      <c r="F825" s="147" t="s">
        <v>1424</v>
      </c>
      <c r="G825" s="147" t="s">
        <v>361</v>
      </c>
      <c r="H825" s="149">
        <v>0</v>
      </c>
      <c r="I825" s="149">
        <v>200000</v>
      </c>
      <c r="J825" s="141">
        <f>+J824+Tabla69[[#This Row],[DEBE]]-Tabla69[[#This Row],[HABER]]</f>
        <v>-294412180.53000003</v>
      </c>
      <c r="K825" s="142" t="s">
        <v>872</v>
      </c>
      <c r="L825" s="143" t="s">
        <v>714</v>
      </c>
      <c r="M825" s="143" t="s">
        <v>91</v>
      </c>
    </row>
    <row r="826" spans="2:13" x14ac:dyDescent="0.35">
      <c r="B826" s="145">
        <v>46044</v>
      </c>
      <c r="C826" s="146">
        <v>46044</v>
      </c>
      <c r="D826" s="147" t="s">
        <v>184</v>
      </c>
      <c r="E826" s="148">
        <v>621</v>
      </c>
      <c r="F826" s="147" t="s">
        <v>1425</v>
      </c>
      <c r="G826" s="147" t="s">
        <v>362</v>
      </c>
      <c r="H826" s="149">
        <v>0</v>
      </c>
      <c r="I826" s="149">
        <v>432735.93</v>
      </c>
      <c r="J826" s="141">
        <f>+J825+Tabla69[[#This Row],[DEBE]]-Tabla69[[#This Row],[HABER]]</f>
        <v>-294844916.46000004</v>
      </c>
      <c r="K826" s="142" t="s">
        <v>872</v>
      </c>
      <c r="L826" s="143" t="s">
        <v>714</v>
      </c>
      <c r="M826" s="143" t="s">
        <v>91</v>
      </c>
    </row>
    <row r="827" spans="2:13" x14ac:dyDescent="0.35">
      <c r="B827" s="145">
        <v>46044</v>
      </c>
      <c r="C827" s="146">
        <v>46044</v>
      </c>
      <c r="D827" s="147" t="s">
        <v>184</v>
      </c>
      <c r="E827" s="148">
        <v>622</v>
      </c>
      <c r="F827" s="147" t="s">
        <v>1426</v>
      </c>
      <c r="G827" s="147" t="s">
        <v>321</v>
      </c>
      <c r="H827" s="149">
        <v>0</v>
      </c>
      <c r="I827" s="149">
        <v>1290000</v>
      </c>
      <c r="J827" s="141">
        <f>+J826+Tabla69[[#This Row],[DEBE]]-Tabla69[[#This Row],[HABER]]</f>
        <v>-296134916.46000004</v>
      </c>
      <c r="K827" s="142" t="s">
        <v>872</v>
      </c>
      <c r="L827" s="143" t="s">
        <v>714</v>
      </c>
      <c r="M827" s="143" t="s">
        <v>91</v>
      </c>
    </row>
    <row r="828" spans="2:13" x14ac:dyDescent="0.35">
      <c r="B828" s="145">
        <v>46044</v>
      </c>
      <c r="C828" s="146">
        <v>46044</v>
      </c>
      <c r="D828" s="147" t="s">
        <v>184</v>
      </c>
      <c r="E828" s="148">
        <v>623</v>
      </c>
      <c r="F828" s="147" t="s">
        <v>1427</v>
      </c>
      <c r="G828" s="147" t="s">
        <v>363</v>
      </c>
      <c r="H828" s="149">
        <v>0</v>
      </c>
      <c r="I828" s="149">
        <v>200000</v>
      </c>
      <c r="J828" s="141">
        <f>+J827+Tabla69[[#This Row],[DEBE]]-Tabla69[[#This Row],[HABER]]</f>
        <v>-296334916.46000004</v>
      </c>
      <c r="K828" s="142" t="s">
        <v>872</v>
      </c>
      <c r="L828" s="143" t="s">
        <v>714</v>
      </c>
      <c r="M828" s="143" t="s">
        <v>91</v>
      </c>
    </row>
    <row r="829" spans="2:13" x14ac:dyDescent="0.35">
      <c r="B829" s="145">
        <v>46044</v>
      </c>
      <c r="C829" s="146">
        <v>46044</v>
      </c>
      <c r="D829" s="147" t="s">
        <v>184</v>
      </c>
      <c r="E829" s="148">
        <v>624</v>
      </c>
      <c r="F829" s="147" t="s">
        <v>1341</v>
      </c>
      <c r="G829" s="147" t="s">
        <v>326</v>
      </c>
      <c r="H829" s="149">
        <v>0</v>
      </c>
      <c r="I829" s="149">
        <v>645000</v>
      </c>
      <c r="J829" s="141">
        <f>+J828+Tabla69[[#This Row],[DEBE]]-Tabla69[[#This Row],[HABER]]</f>
        <v>-296979916.46000004</v>
      </c>
      <c r="K829" s="142" t="s">
        <v>872</v>
      </c>
      <c r="L829" s="143" t="s">
        <v>714</v>
      </c>
      <c r="M829" s="143" t="s">
        <v>91</v>
      </c>
    </row>
    <row r="830" spans="2:13" x14ac:dyDescent="0.35">
      <c r="B830" s="145">
        <v>46044</v>
      </c>
      <c r="C830" s="146">
        <v>46044</v>
      </c>
      <c r="D830" s="147" t="s">
        <v>184</v>
      </c>
      <c r="E830" s="148">
        <v>625</v>
      </c>
      <c r="F830" s="147" t="s">
        <v>1428</v>
      </c>
      <c r="G830" s="147" t="s">
        <v>364</v>
      </c>
      <c r="H830" s="149">
        <v>0</v>
      </c>
      <c r="I830" s="149">
        <v>432735.93</v>
      </c>
      <c r="J830" s="141">
        <f>+J829+Tabla69[[#This Row],[DEBE]]-Tabla69[[#This Row],[HABER]]</f>
        <v>-297412652.39000005</v>
      </c>
      <c r="K830" s="142" t="s">
        <v>872</v>
      </c>
      <c r="L830" s="143" t="s">
        <v>714</v>
      </c>
      <c r="M830" s="143" t="s">
        <v>91</v>
      </c>
    </row>
    <row r="831" spans="2:13" x14ac:dyDescent="0.35">
      <c r="B831" s="145">
        <v>46044</v>
      </c>
      <c r="C831" s="146">
        <v>46044</v>
      </c>
      <c r="D831" s="147" t="s">
        <v>184</v>
      </c>
      <c r="E831" s="148">
        <v>626</v>
      </c>
      <c r="F831" s="147" t="s">
        <v>1311</v>
      </c>
      <c r="G831" s="147" t="s">
        <v>365</v>
      </c>
      <c r="H831" s="149">
        <v>0</v>
      </c>
      <c r="I831" s="149">
        <v>200000</v>
      </c>
      <c r="J831" s="141">
        <f>+J830+Tabla69[[#This Row],[DEBE]]-Tabla69[[#This Row],[HABER]]</f>
        <v>-297612652.39000005</v>
      </c>
      <c r="K831" s="142" t="s">
        <v>872</v>
      </c>
      <c r="L831" s="143" t="s">
        <v>714</v>
      </c>
      <c r="M831" s="143" t="s">
        <v>91</v>
      </c>
    </row>
    <row r="832" spans="2:13" x14ac:dyDescent="0.35">
      <c r="B832" s="145">
        <v>46044</v>
      </c>
      <c r="C832" s="146">
        <v>46044</v>
      </c>
      <c r="D832" s="147" t="s">
        <v>184</v>
      </c>
      <c r="E832" s="148">
        <v>627</v>
      </c>
      <c r="F832" s="147" t="s">
        <v>1429</v>
      </c>
      <c r="G832" s="147" t="s">
        <v>326</v>
      </c>
      <c r="H832" s="149">
        <v>0</v>
      </c>
      <c r="I832" s="149">
        <v>200000</v>
      </c>
      <c r="J832" s="141">
        <f>+J831+Tabla69[[#This Row],[DEBE]]-Tabla69[[#This Row],[HABER]]</f>
        <v>-297812652.39000005</v>
      </c>
      <c r="K832" s="142" t="s">
        <v>872</v>
      </c>
      <c r="L832" s="143" t="s">
        <v>714</v>
      </c>
      <c r="M832" s="143" t="s">
        <v>91</v>
      </c>
    </row>
    <row r="833" spans="2:13" x14ac:dyDescent="0.35">
      <c r="B833" s="145">
        <v>46044</v>
      </c>
      <c r="C833" s="146">
        <v>46044</v>
      </c>
      <c r="D833" s="147" t="s">
        <v>184</v>
      </c>
      <c r="E833" s="148">
        <v>628</v>
      </c>
      <c r="F833" s="147" t="s">
        <v>1381</v>
      </c>
      <c r="G833" s="147" t="s">
        <v>326</v>
      </c>
      <c r="H833" s="149">
        <v>0</v>
      </c>
      <c r="I833" s="149">
        <v>200000</v>
      </c>
      <c r="J833" s="141">
        <f>+J832+Tabla69[[#This Row],[DEBE]]-Tabla69[[#This Row],[HABER]]</f>
        <v>-298012652.39000005</v>
      </c>
      <c r="K833" s="142" t="s">
        <v>872</v>
      </c>
      <c r="L833" s="143" t="s">
        <v>714</v>
      </c>
      <c r="M833" s="143" t="s">
        <v>91</v>
      </c>
    </row>
    <row r="834" spans="2:13" x14ac:dyDescent="0.35">
      <c r="B834" s="145">
        <v>46044</v>
      </c>
      <c r="C834" s="146">
        <v>46044</v>
      </c>
      <c r="D834" s="147" t="s">
        <v>184</v>
      </c>
      <c r="E834" s="148">
        <v>629</v>
      </c>
      <c r="F834" s="147" t="s">
        <v>1430</v>
      </c>
      <c r="G834" s="147" t="s">
        <v>366</v>
      </c>
      <c r="H834" s="149">
        <v>0</v>
      </c>
      <c r="I834" s="149">
        <v>1000000</v>
      </c>
      <c r="J834" s="141">
        <f>+J833+Tabla69[[#This Row],[DEBE]]-Tabla69[[#This Row],[HABER]]</f>
        <v>-299012652.39000005</v>
      </c>
      <c r="K834" s="142" t="s">
        <v>872</v>
      </c>
      <c r="L834" s="143" t="s">
        <v>714</v>
      </c>
      <c r="M834" s="143" t="s">
        <v>91</v>
      </c>
    </row>
    <row r="835" spans="2:13" x14ac:dyDescent="0.35">
      <c r="B835" s="145">
        <v>46044</v>
      </c>
      <c r="C835" s="146">
        <v>46044</v>
      </c>
      <c r="D835" s="147" t="s">
        <v>184</v>
      </c>
      <c r="E835" s="148">
        <v>630</v>
      </c>
      <c r="F835" s="147" t="s">
        <v>1431</v>
      </c>
      <c r="G835" s="147" t="s">
        <v>367</v>
      </c>
      <c r="H835" s="149">
        <v>0</v>
      </c>
      <c r="I835" s="149">
        <v>1017691.99</v>
      </c>
      <c r="J835" s="141">
        <f>+J834+Tabla69[[#This Row],[DEBE]]-Tabla69[[#This Row],[HABER]]</f>
        <v>-300030344.38000005</v>
      </c>
      <c r="K835" s="142" t="s">
        <v>872</v>
      </c>
      <c r="L835" s="143" t="s">
        <v>714</v>
      </c>
      <c r="M835" s="143" t="s">
        <v>91</v>
      </c>
    </row>
    <row r="836" spans="2:13" x14ac:dyDescent="0.35">
      <c r="B836" s="145">
        <v>46044</v>
      </c>
      <c r="C836" s="146">
        <v>46044</v>
      </c>
      <c r="D836" s="147" t="s">
        <v>184</v>
      </c>
      <c r="E836" s="148">
        <v>631</v>
      </c>
      <c r="F836" s="147" t="s">
        <v>1382</v>
      </c>
      <c r="G836" s="147" t="s">
        <v>326</v>
      </c>
      <c r="H836" s="149">
        <v>0</v>
      </c>
      <c r="I836" s="149">
        <v>200000</v>
      </c>
      <c r="J836" s="141">
        <f>+J835+Tabla69[[#This Row],[DEBE]]-Tabla69[[#This Row],[HABER]]</f>
        <v>-300230344.38000005</v>
      </c>
      <c r="K836" s="142" t="s">
        <v>872</v>
      </c>
      <c r="L836" s="143" t="s">
        <v>714</v>
      </c>
      <c r="M836" s="143" t="s">
        <v>91</v>
      </c>
    </row>
    <row r="837" spans="2:13" x14ac:dyDescent="0.35">
      <c r="B837" s="145">
        <v>46044</v>
      </c>
      <c r="C837" s="146">
        <v>46044</v>
      </c>
      <c r="D837" s="147" t="s">
        <v>184</v>
      </c>
      <c r="E837" s="148">
        <v>632</v>
      </c>
      <c r="F837" s="147" t="s">
        <v>1380</v>
      </c>
      <c r="G837" s="147" t="s">
        <v>326</v>
      </c>
      <c r="H837" s="149">
        <v>0</v>
      </c>
      <c r="I837" s="149">
        <v>200000</v>
      </c>
      <c r="J837" s="141">
        <f>+J836+Tabla69[[#This Row],[DEBE]]-Tabla69[[#This Row],[HABER]]</f>
        <v>-300430344.38000005</v>
      </c>
      <c r="K837" s="142" t="s">
        <v>872</v>
      </c>
      <c r="L837" s="143" t="s">
        <v>714</v>
      </c>
      <c r="M837" s="143" t="s">
        <v>91</v>
      </c>
    </row>
    <row r="838" spans="2:13" x14ac:dyDescent="0.35">
      <c r="B838" s="145">
        <v>46044</v>
      </c>
      <c r="C838" s="146">
        <v>46044</v>
      </c>
      <c r="D838" s="147" t="s">
        <v>184</v>
      </c>
      <c r="E838" s="148">
        <v>633</v>
      </c>
      <c r="F838" s="147" t="s">
        <v>1384</v>
      </c>
      <c r="G838" s="147" t="s">
        <v>326</v>
      </c>
      <c r="H838" s="149">
        <v>0</v>
      </c>
      <c r="I838" s="149">
        <v>200000</v>
      </c>
      <c r="J838" s="141">
        <f>+J837+Tabla69[[#This Row],[DEBE]]-Tabla69[[#This Row],[HABER]]</f>
        <v>-300630344.38000005</v>
      </c>
      <c r="K838" s="142" t="s">
        <v>872</v>
      </c>
      <c r="L838" s="143" t="s">
        <v>714</v>
      </c>
      <c r="M838" s="143" t="s">
        <v>91</v>
      </c>
    </row>
    <row r="839" spans="2:13" x14ac:dyDescent="0.35">
      <c r="B839" s="145">
        <v>46044</v>
      </c>
      <c r="C839" s="146">
        <v>46044</v>
      </c>
      <c r="D839" s="147" t="s">
        <v>184</v>
      </c>
      <c r="E839" s="148">
        <v>634</v>
      </c>
      <c r="F839" s="147" t="s">
        <v>1360</v>
      </c>
      <c r="G839" s="147" t="s">
        <v>326</v>
      </c>
      <c r="H839" s="149">
        <v>0</v>
      </c>
      <c r="I839" s="149">
        <v>200000</v>
      </c>
      <c r="J839" s="141">
        <f>+J838+Tabla69[[#This Row],[DEBE]]-Tabla69[[#This Row],[HABER]]</f>
        <v>-300830344.38000005</v>
      </c>
      <c r="K839" s="142" t="s">
        <v>872</v>
      </c>
      <c r="L839" s="143" t="s">
        <v>714</v>
      </c>
      <c r="M839" s="143" t="s">
        <v>91</v>
      </c>
    </row>
    <row r="840" spans="2:13" x14ac:dyDescent="0.35">
      <c r="B840" s="145">
        <v>46044</v>
      </c>
      <c r="C840" s="146">
        <v>46044</v>
      </c>
      <c r="D840" s="147" t="s">
        <v>184</v>
      </c>
      <c r="E840" s="148">
        <v>635</v>
      </c>
      <c r="F840" s="147" t="s">
        <v>1432</v>
      </c>
      <c r="G840" s="147" t="s">
        <v>368</v>
      </c>
      <c r="H840" s="149">
        <v>0</v>
      </c>
      <c r="I840" s="149">
        <v>1700000</v>
      </c>
      <c r="J840" s="141">
        <f>+J839+Tabla69[[#This Row],[DEBE]]-Tabla69[[#This Row],[HABER]]</f>
        <v>-302530344.38000005</v>
      </c>
      <c r="K840" s="142" t="s">
        <v>872</v>
      </c>
      <c r="L840" s="143" t="s">
        <v>714</v>
      </c>
      <c r="M840" s="143" t="s">
        <v>91</v>
      </c>
    </row>
    <row r="841" spans="2:13" x14ac:dyDescent="0.35">
      <c r="B841" s="145">
        <v>46044</v>
      </c>
      <c r="C841" s="146">
        <v>46044</v>
      </c>
      <c r="D841" s="147" t="s">
        <v>184</v>
      </c>
      <c r="E841" s="148">
        <v>636</v>
      </c>
      <c r="F841" s="147" t="s">
        <v>1433</v>
      </c>
      <c r="G841" s="147" t="s">
        <v>326</v>
      </c>
      <c r="H841" s="149">
        <v>0</v>
      </c>
      <c r="I841" s="149">
        <v>200000</v>
      </c>
      <c r="J841" s="141">
        <f>+J840+Tabla69[[#This Row],[DEBE]]-Tabla69[[#This Row],[HABER]]</f>
        <v>-302730344.38000005</v>
      </c>
      <c r="K841" s="142" t="s">
        <v>872</v>
      </c>
      <c r="L841" s="143" t="s">
        <v>714</v>
      </c>
      <c r="M841" s="143" t="s">
        <v>91</v>
      </c>
    </row>
    <row r="842" spans="2:13" x14ac:dyDescent="0.35">
      <c r="B842" s="145">
        <v>46044</v>
      </c>
      <c r="C842" s="146">
        <v>46044</v>
      </c>
      <c r="D842" s="147" t="s">
        <v>184</v>
      </c>
      <c r="E842" s="148">
        <v>637</v>
      </c>
      <c r="F842" s="147" t="s">
        <v>1434</v>
      </c>
      <c r="G842" s="147" t="s">
        <v>369</v>
      </c>
      <c r="H842" s="149">
        <v>0</v>
      </c>
      <c r="I842" s="149">
        <v>1017691.99</v>
      </c>
      <c r="J842" s="141">
        <f>+J841+Tabla69[[#This Row],[DEBE]]-Tabla69[[#This Row],[HABER]]</f>
        <v>-303748036.37000006</v>
      </c>
      <c r="K842" s="142" t="s">
        <v>872</v>
      </c>
      <c r="L842" s="143" t="s">
        <v>714</v>
      </c>
      <c r="M842" s="143" t="s">
        <v>91</v>
      </c>
    </row>
    <row r="843" spans="2:13" x14ac:dyDescent="0.35">
      <c r="B843" s="145">
        <v>46044</v>
      </c>
      <c r="C843" s="146">
        <v>46044</v>
      </c>
      <c r="D843" s="147" t="s">
        <v>184</v>
      </c>
      <c r="E843" s="148">
        <v>638</v>
      </c>
      <c r="F843" s="147" t="s">
        <v>1391</v>
      </c>
      <c r="G843" s="147" t="s">
        <v>370</v>
      </c>
      <c r="H843" s="149">
        <v>0</v>
      </c>
      <c r="I843" s="149">
        <v>1446783.19</v>
      </c>
      <c r="J843" s="141">
        <f>+J842+Tabla69[[#This Row],[DEBE]]-Tabla69[[#This Row],[HABER]]</f>
        <v>-305194819.56000006</v>
      </c>
      <c r="K843" s="142" t="s">
        <v>872</v>
      </c>
      <c r="L843" s="143" t="s">
        <v>714</v>
      </c>
      <c r="M843" s="143" t="s">
        <v>91</v>
      </c>
    </row>
    <row r="844" spans="2:13" x14ac:dyDescent="0.35">
      <c r="B844" s="145">
        <v>46044</v>
      </c>
      <c r="C844" s="146">
        <v>46044</v>
      </c>
      <c r="D844" s="147" t="s">
        <v>184</v>
      </c>
      <c r="E844" s="148">
        <v>639</v>
      </c>
      <c r="F844" s="147" t="s">
        <v>1352</v>
      </c>
      <c r="G844" s="147" t="s">
        <v>371</v>
      </c>
      <c r="H844" s="149">
        <v>0</v>
      </c>
      <c r="I844" s="149">
        <v>200000</v>
      </c>
      <c r="J844" s="141">
        <f>+J843+Tabla69[[#This Row],[DEBE]]-Tabla69[[#This Row],[HABER]]</f>
        <v>-305394819.56000006</v>
      </c>
      <c r="K844" s="142" t="s">
        <v>872</v>
      </c>
      <c r="L844" s="143" t="s">
        <v>714</v>
      </c>
      <c r="M844" s="143" t="s">
        <v>91</v>
      </c>
    </row>
    <row r="845" spans="2:13" x14ac:dyDescent="0.35">
      <c r="B845" s="165">
        <v>46044</v>
      </c>
      <c r="C845" s="166">
        <v>46044</v>
      </c>
      <c r="D845" s="167" t="s">
        <v>184</v>
      </c>
      <c r="E845" s="168">
        <v>640</v>
      </c>
      <c r="F845" s="167" t="s">
        <v>1337</v>
      </c>
      <c r="G845" s="167" t="s">
        <v>372</v>
      </c>
      <c r="H845" s="169">
        <v>0</v>
      </c>
      <c r="I845" s="169">
        <v>-670800</v>
      </c>
      <c r="J845" s="155">
        <f>+J844+Tabla69[[#This Row],[DEBE]]-Tabla69[[#This Row],[HABER]]</f>
        <v>-304724019.56000006</v>
      </c>
      <c r="K845" s="156" t="s">
        <v>871</v>
      </c>
      <c r="L845" s="157" t="s">
        <v>714</v>
      </c>
      <c r="M845" s="157"/>
    </row>
    <row r="846" spans="2:13" x14ac:dyDescent="0.35">
      <c r="B846" s="165">
        <v>46044</v>
      </c>
      <c r="C846" s="166">
        <v>46044</v>
      </c>
      <c r="D846" s="167" t="s">
        <v>184</v>
      </c>
      <c r="E846" s="168">
        <v>640</v>
      </c>
      <c r="F846" s="167" t="s">
        <v>1337</v>
      </c>
      <c r="G846" s="167" t="s">
        <v>372</v>
      </c>
      <c r="H846" s="169">
        <v>0</v>
      </c>
      <c r="I846" s="169">
        <v>670800</v>
      </c>
      <c r="J846" s="155">
        <f>+J845+Tabla69[[#This Row],[DEBE]]-Tabla69[[#This Row],[HABER]]</f>
        <v>-305394819.56000006</v>
      </c>
      <c r="K846" s="156" t="s">
        <v>871</v>
      </c>
      <c r="L846" s="157" t="s">
        <v>714</v>
      </c>
      <c r="M846" s="157"/>
    </row>
    <row r="847" spans="2:13" x14ac:dyDescent="0.35">
      <c r="B847" s="145">
        <v>46044</v>
      </c>
      <c r="C847" s="146">
        <v>46044</v>
      </c>
      <c r="D847" s="147" t="s">
        <v>184</v>
      </c>
      <c r="E847" s="148">
        <v>641</v>
      </c>
      <c r="F847" s="147" t="s">
        <v>1435</v>
      </c>
      <c r="G847" s="147" t="s">
        <v>373</v>
      </c>
      <c r="H847" s="149">
        <v>0</v>
      </c>
      <c r="I847" s="149">
        <v>1017691.99</v>
      </c>
      <c r="J847" s="141">
        <f>+J846+Tabla69[[#This Row],[DEBE]]-Tabla69[[#This Row],[HABER]]</f>
        <v>-306412511.55000007</v>
      </c>
      <c r="K847" s="142" t="s">
        <v>872</v>
      </c>
      <c r="L847" s="143" t="s">
        <v>714</v>
      </c>
      <c r="M847" s="143" t="s">
        <v>91</v>
      </c>
    </row>
    <row r="848" spans="2:13" x14ac:dyDescent="0.35">
      <c r="B848" s="145">
        <v>46044</v>
      </c>
      <c r="C848" s="146">
        <v>46044</v>
      </c>
      <c r="D848" s="147" t="s">
        <v>184</v>
      </c>
      <c r="E848" s="148">
        <v>642</v>
      </c>
      <c r="F848" s="147" t="s">
        <v>1353</v>
      </c>
      <c r="G848" s="147" t="s">
        <v>326</v>
      </c>
      <c r="H848" s="149">
        <v>0</v>
      </c>
      <c r="I848" s="149">
        <v>200000</v>
      </c>
      <c r="J848" s="141">
        <f>+J847+Tabla69[[#This Row],[DEBE]]-Tabla69[[#This Row],[HABER]]</f>
        <v>-306612511.55000007</v>
      </c>
      <c r="K848" s="142" t="s">
        <v>872</v>
      </c>
      <c r="L848" s="143" t="s">
        <v>714</v>
      </c>
      <c r="M848" s="143" t="s">
        <v>91</v>
      </c>
    </row>
    <row r="849" spans="2:13" x14ac:dyDescent="0.35">
      <c r="B849" s="145">
        <v>46044</v>
      </c>
      <c r="C849" s="146">
        <v>46044</v>
      </c>
      <c r="D849" s="147" t="s">
        <v>184</v>
      </c>
      <c r="E849" s="148">
        <v>643</v>
      </c>
      <c r="F849" s="147" t="s">
        <v>1412</v>
      </c>
      <c r="G849" s="147" t="s">
        <v>320</v>
      </c>
      <c r="H849" s="149">
        <v>0</v>
      </c>
      <c r="I849" s="149">
        <v>188000</v>
      </c>
      <c r="J849" s="141">
        <f>+J848+Tabla69[[#This Row],[DEBE]]-Tabla69[[#This Row],[HABER]]</f>
        <v>-306800511.55000007</v>
      </c>
      <c r="K849" s="142" t="s">
        <v>872</v>
      </c>
      <c r="L849" s="143" t="s">
        <v>714</v>
      </c>
      <c r="M849" s="143" t="s">
        <v>91</v>
      </c>
    </row>
    <row r="850" spans="2:13" x14ac:dyDescent="0.35">
      <c r="B850" s="145">
        <v>46044</v>
      </c>
      <c r="C850" s="146">
        <v>46044</v>
      </c>
      <c r="D850" s="147" t="s">
        <v>184</v>
      </c>
      <c r="E850" s="148">
        <v>644</v>
      </c>
      <c r="F850" s="147" t="s">
        <v>1436</v>
      </c>
      <c r="G850" s="147" t="s">
        <v>374</v>
      </c>
      <c r="H850" s="149">
        <v>0</v>
      </c>
      <c r="I850" s="149">
        <v>1450000</v>
      </c>
      <c r="J850" s="141">
        <f>+J849+Tabla69[[#This Row],[DEBE]]-Tabla69[[#This Row],[HABER]]</f>
        <v>-308250511.55000007</v>
      </c>
      <c r="K850" s="142" t="s">
        <v>872</v>
      </c>
      <c r="L850" s="143" t="s">
        <v>714</v>
      </c>
      <c r="M850" s="143" t="s">
        <v>91</v>
      </c>
    </row>
    <row r="851" spans="2:13" x14ac:dyDescent="0.35">
      <c r="B851" s="145">
        <v>46044</v>
      </c>
      <c r="C851" s="146">
        <v>46044</v>
      </c>
      <c r="D851" s="147" t="s">
        <v>184</v>
      </c>
      <c r="E851" s="148">
        <v>645</v>
      </c>
      <c r="F851" s="147" t="s">
        <v>1328</v>
      </c>
      <c r="G851" s="147" t="s">
        <v>326</v>
      </c>
      <c r="H851" s="149">
        <v>0</v>
      </c>
      <c r="I851" s="149">
        <v>670800</v>
      </c>
      <c r="J851" s="141">
        <f>+J850+Tabla69[[#This Row],[DEBE]]-Tabla69[[#This Row],[HABER]]</f>
        <v>-308921311.55000007</v>
      </c>
      <c r="K851" s="142" t="s">
        <v>872</v>
      </c>
      <c r="L851" s="143" t="s">
        <v>714</v>
      </c>
      <c r="M851" s="143" t="s">
        <v>91</v>
      </c>
    </row>
    <row r="852" spans="2:13" x14ac:dyDescent="0.35">
      <c r="B852" s="145">
        <v>46044</v>
      </c>
      <c r="C852" s="146">
        <v>46044</v>
      </c>
      <c r="D852" s="147" t="s">
        <v>184</v>
      </c>
      <c r="E852" s="148">
        <v>646</v>
      </c>
      <c r="F852" s="147" t="s">
        <v>1435</v>
      </c>
      <c r="G852" s="147" t="s">
        <v>375</v>
      </c>
      <c r="H852" s="149">
        <v>0</v>
      </c>
      <c r="I852" s="149">
        <v>200000</v>
      </c>
      <c r="J852" s="141">
        <f>+J851+Tabla69[[#This Row],[DEBE]]-Tabla69[[#This Row],[HABER]]</f>
        <v>-309121311.55000007</v>
      </c>
      <c r="K852" s="142" t="s">
        <v>872</v>
      </c>
      <c r="L852" s="143" t="s">
        <v>714</v>
      </c>
      <c r="M852" s="143" t="s">
        <v>91</v>
      </c>
    </row>
    <row r="853" spans="2:13" x14ac:dyDescent="0.35">
      <c r="B853" s="165">
        <v>46044</v>
      </c>
      <c r="C853" s="166">
        <v>46044</v>
      </c>
      <c r="D853" s="167" t="s">
        <v>184</v>
      </c>
      <c r="E853" s="168">
        <v>647</v>
      </c>
      <c r="F853" s="167" t="s">
        <v>1437</v>
      </c>
      <c r="G853" s="167" t="s">
        <v>376</v>
      </c>
      <c r="H853" s="169">
        <v>0</v>
      </c>
      <c r="I853" s="169">
        <v>650000</v>
      </c>
      <c r="J853" s="155">
        <f>+J852+Tabla69[[#This Row],[DEBE]]-Tabla69[[#This Row],[HABER]]</f>
        <v>-309771311.55000007</v>
      </c>
      <c r="K853" s="156" t="s">
        <v>871</v>
      </c>
      <c r="L853" s="157" t="s">
        <v>714</v>
      </c>
      <c r="M853" s="157"/>
    </row>
    <row r="854" spans="2:13" x14ac:dyDescent="0.35">
      <c r="B854" s="165">
        <v>46044</v>
      </c>
      <c r="C854" s="166">
        <v>46044</v>
      </c>
      <c r="D854" s="167" t="s">
        <v>184</v>
      </c>
      <c r="E854" s="168">
        <v>647</v>
      </c>
      <c r="F854" s="167" t="s">
        <v>1437</v>
      </c>
      <c r="G854" s="167" t="s">
        <v>376</v>
      </c>
      <c r="H854" s="169">
        <v>0</v>
      </c>
      <c r="I854" s="169">
        <v>-650000</v>
      </c>
      <c r="J854" s="155">
        <f>+J853+Tabla69[[#This Row],[DEBE]]-Tabla69[[#This Row],[HABER]]</f>
        <v>-309121311.55000007</v>
      </c>
      <c r="K854" s="156" t="s">
        <v>871</v>
      </c>
      <c r="L854" s="157" t="s">
        <v>714</v>
      </c>
      <c r="M854" s="157"/>
    </row>
    <row r="855" spans="2:13" x14ac:dyDescent="0.35">
      <c r="B855" s="145">
        <v>46044</v>
      </c>
      <c r="C855" s="146">
        <v>46044</v>
      </c>
      <c r="D855" s="147" t="s">
        <v>184</v>
      </c>
      <c r="E855" s="148">
        <v>648</v>
      </c>
      <c r="F855" s="147" t="s">
        <v>1333</v>
      </c>
      <c r="G855" s="147" t="s">
        <v>326</v>
      </c>
      <c r="H855" s="149">
        <v>0</v>
      </c>
      <c r="I855" s="149">
        <v>1331590.27</v>
      </c>
      <c r="J855" s="141">
        <f>+J854+Tabla69[[#This Row],[DEBE]]-Tabla69[[#This Row],[HABER]]</f>
        <v>-310452901.82000005</v>
      </c>
      <c r="K855" s="142" t="s">
        <v>872</v>
      </c>
      <c r="L855" s="143" t="s">
        <v>714</v>
      </c>
      <c r="M855" s="143" t="s">
        <v>91</v>
      </c>
    </row>
    <row r="856" spans="2:13" x14ac:dyDescent="0.35">
      <c r="B856" s="145">
        <v>46044</v>
      </c>
      <c r="C856" s="146">
        <v>46044</v>
      </c>
      <c r="D856" s="147" t="s">
        <v>184</v>
      </c>
      <c r="E856" s="148">
        <v>649</v>
      </c>
      <c r="F856" s="147" t="s">
        <v>1438</v>
      </c>
      <c r="G856" s="147" t="s">
        <v>326</v>
      </c>
      <c r="H856" s="149">
        <v>0</v>
      </c>
      <c r="I856" s="149">
        <v>1935000</v>
      </c>
      <c r="J856" s="141">
        <f>+J855+Tabla69[[#This Row],[DEBE]]-Tabla69[[#This Row],[HABER]]</f>
        <v>-312387901.82000005</v>
      </c>
      <c r="K856" s="142" t="s">
        <v>872</v>
      </c>
      <c r="L856" s="143" t="s">
        <v>714</v>
      </c>
      <c r="M856" s="143" t="s">
        <v>91</v>
      </c>
    </row>
    <row r="857" spans="2:13" x14ac:dyDescent="0.35">
      <c r="B857" s="145">
        <v>46044</v>
      </c>
      <c r="C857" s="146">
        <v>46044</v>
      </c>
      <c r="D857" s="147" t="s">
        <v>184</v>
      </c>
      <c r="E857" s="148">
        <v>650</v>
      </c>
      <c r="F857" s="147" t="s">
        <v>1436</v>
      </c>
      <c r="G857" s="147" t="s">
        <v>377</v>
      </c>
      <c r="H857" s="149">
        <v>0</v>
      </c>
      <c r="I857" s="149">
        <v>200000</v>
      </c>
      <c r="J857" s="141">
        <f>+J856+Tabla69[[#This Row],[DEBE]]-Tabla69[[#This Row],[HABER]]</f>
        <v>-312587901.82000005</v>
      </c>
      <c r="K857" s="142" t="s">
        <v>872</v>
      </c>
      <c r="L857" s="143" t="s">
        <v>714</v>
      </c>
      <c r="M857" s="143" t="s">
        <v>91</v>
      </c>
    </row>
    <row r="858" spans="2:13" x14ac:dyDescent="0.35">
      <c r="B858" s="165">
        <v>46044</v>
      </c>
      <c r="C858" s="166">
        <v>46044</v>
      </c>
      <c r="D858" s="167" t="s">
        <v>184</v>
      </c>
      <c r="E858" s="168">
        <v>651</v>
      </c>
      <c r="F858" s="167" t="s">
        <v>1437</v>
      </c>
      <c r="G858" s="167" t="s">
        <v>378</v>
      </c>
      <c r="H858" s="169">
        <v>0</v>
      </c>
      <c r="I858" s="169">
        <v>200000</v>
      </c>
      <c r="J858" s="155">
        <f>+J857+Tabla69[[#This Row],[DEBE]]-Tabla69[[#This Row],[HABER]]</f>
        <v>-312787901.82000005</v>
      </c>
      <c r="K858" s="156" t="s">
        <v>871</v>
      </c>
      <c r="L858" s="157" t="s">
        <v>714</v>
      </c>
      <c r="M858" s="157"/>
    </row>
    <row r="859" spans="2:13" x14ac:dyDescent="0.35">
      <c r="B859" s="165">
        <v>46044</v>
      </c>
      <c r="C859" s="166">
        <v>46044</v>
      </c>
      <c r="D859" s="167" t="s">
        <v>184</v>
      </c>
      <c r="E859" s="168">
        <v>651</v>
      </c>
      <c r="F859" s="167" t="s">
        <v>1437</v>
      </c>
      <c r="G859" s="167" t="s">
        <v>378</v>
      </c>
      <c r="H859" s="169">
        <v>0</v>
      </c>
      <c r="I859" s="169">
        <v>-200000</v>
      </c>
      <c r="J859" s="155">
        <f>+J858+Tabla69[[#This Row],[DEBE]]-Tabla69[[#This Row],[HABER]]</f>
        <v>-312587901.82000005</v>
      </c>
      <c r="K859" s="156" t="s">
        <v>871</v>
      </c>
      <c r="L859" s="157" t="s">
        <v>714</v>
      </c>
      <c r="M859" s="157"/>
    </row>
    <row r="860" spans="2:13" x14ac:dyDescent="0.35">
      <c r="B860" s="145">
        <v>46044</v>
      </c>
      <c r="C860" s="146">
        <v>46044</v>
      </c>
      <c r="D860" s="147" t="s">
        <v>184</v>
      </c>
      <c r="E860" s="148">
        <v>652</v>
      </c>
      <c r="F860" s="147" t="s">
        <v>1425</v>
      </c>
      <c r="G860" s="147" t="s">
        <v>352</v>
      </c>
      <c r="H860" s="149">
        <v>0</v>
      </c>
      <c r="I860" s="149">
        <v>200000</v>
      </c>
      <c r="J860" s="141">
        <f>+J859+Tabla69[[#This Row],[DEBE]]-Tabla69[[#This Row],[HABER]]</f>
        <v>-312787901.82000005</v>
      </c>
      <c r="K860" s="142" t="s">
        <v>872</v>
      </c>
      <c r="L860" s="143" t="s">
        <v>714</v>
      </c>
      <c r="M860" s="143" t="s">
        <v>91</v>
      </c>
    </row>
    <row r="861" spans="2:13" x14ac:dyDescent="0.35">
      <c r="B861" s="145">
        <v>46044</v>
      </c>
      <c r="C861" s="146">
        <v>46044</v>
      </c>
      <c r="D861" s="147" t="s">
        <v>184</v>
      </c>
      <c r="E861" s="148">
        <v>653</v>
      </c>
      <c r="F861" s="147" t="s">
        <v>1439</v>
      </c>
      <c r="G861" s="147" t="s">
        <v>321</v>
      </c>
      <c r="H861" s="149">
        <v>0</v>
      </c>
      <c r="I861" s="149">
        <v>1193250</v>
      </c>
      <c r="J861" s="141">
        <f>+J860+Tabla69[[#This Row],[DEBE]]-Tabla69[[#This Row],[HABER]]</f>
        <v>-313981151.82000005</v>
      </c>
      <c r="K861" s="142" t="s">
        <v>872</v>
      </c>
      <c r="L861" s="143" t="s">
        <v>714</v>
      </c>
      <c r="M861" s="143" t="s">
        <v>91</v>
      </c>
    </row>
    <row r="862" spans="2:13" x14ac:dyDescent="0.35">
      <c r="B862" s="145">
        <v>46044</v>
      </c>
      <c r="C862" s="146">
        <v>46044</v>
      </c>
      <c r="D862" s="147" t="s">
        <v>184</v>
      </c>
      <c r="E862" s="148">
        <v>654</v>
      </c>
      <c r="F862" s="147" t="s">
        <v>1400</v>
      </c>
      <c r="G862" s="147" t="s">
        <v>321</v>
      </c>
      <c r="H862" s="149">
        <v>0</v>
      </c>
      <c r="I862" s="149">
        <v>1446783.19</v>
      </c>
      <c r="J862" s="141">
        <f>+J861+Tabla69[[#This Row],[DEBE]]-Tabla69[[#This Row],[HABER]]</f>
        <v>-315427935.01000005</v>
      </c>
      <c r="K862" s="142" t="s">
        <v>872</v>
      </c>
      <c r="L862" s="143" t="s">
        <v>714</v>
      </c>
      <c r="M862" s="143" t="s">
        <v>91</v>
      </c>
    </row>
    <row r="863" spans="2:13" x14ac:dyDescent="0.35">
      <c r="B863" s="145">
        <v>46044</v>
      </c>
      <c r="C863" s="146">
        <v>46044</v>
      </c>
      <c r="D863" s="147" t="s">
        <v>184</v>
      </c>
      <c r="E863" s="148">
        <v>655</v>
      </c>
      <c r="F863" s="147" t="s">
        <v>1433</v>
      </c>
      <c r="G863" s="147" t="s">
        <v>379</v>
      </c>
      <c r="H863" s="149">
        <v>0</v>
      </c>
      <c r="I863" s="149">
        <v>715950</v>
      </c>
      <c r="J863" s="141">
        <f>+J862+Tabla69[[#This Row],[DEBE]]-Tabla69[[#This Row],[HABER]]</f>
        <v>-316143885.01000005</v>
      </c>
      <c r="K863" s="142" t="s">
        <v>872</v>
      </c>
      <c r="L863" s="143" t="s">
        <v>714</v>
      </c>
      <c r="M863" s="143" t="s">
        <v>91</v>
      </c>
    </row>
    <row r="864" spans="2:13" x14ac:dyDescent="0.35">
      <c r="B864" s="145">
        <v>46044</v>
      </c>
      <c r="C864" s="146">
        <v>46044</v>
      </c>
      <c r="D864" s="147" t="s">
        <v>184</v>
      </c>
      <c r="E864" s="148">
        <v>656</v>
      </c>
      <c r="F864" s="147" t="s">
        <v>1440</v>
      </c>
      <c r="G864" s="147" t="s">
        <v>321</v>
      </c>
      <c r="H864" s="149">
        <v>0</v>
      </c>
      <c r="I864" s="149">
        <v>1500000</v>
      </c>
      <c r="J864" s="141">
        <f>+J863+Tabla69[[#This Row],[DEBE]]-Tabla69[[#This Row],[HABER]]</f>
        <v>-317643885.01000005</v>
      </c>
      <c r="K864" s="142" t="s">
        <v>872</v>
      </c>
      <c r="L864" s="143" t="s">
        <v>714</v>
      </c>
      <c r="M864" s="143" t="s">
        <v>91</v>
      </c>
    </row>
    <row r="865" spans="2:13" x14ac:dyDescent="0.35">
      <c r="B865" s="145">
        <v>46044</v>
      </c>
      <c r="C865" s="146">
        <v>46044</v>
      </c>
      <c r="D865" s="147" t="s">
        <v>184</v>
      </c>
      <c r="E865" s="148">
        <v>657</v>
      </c>
      <c r="F865" s="147" t="s">
        <v>1426</v>
      </c>
      <c r="G865" s="147" t="s">
        <v>380</v>
      </c>
      <c r="H865" s="149">
        <v>0</v>
      </c>
      <c r="I865" s="149">
        <v>200000</v>
      </c>
      <c r="J865" s="141">
        <f>+J864+Tabla69[[#This Row],[DEBE]]-Tabla69[[#This Row],[HABER]]</f>
        <v>-317843885.01000005</v>
      </c>
      <c r="K865" s="142" t="s">
        <v>872</v>
      </c>
      <c r="L865" s="143" t="s">
        <v>714</v>
      </c>
      <c r="M865" s="143" t="s">
        <v>91</v>
      </c>
    </row>
    <row r="866" spans="2:13" x14ac:dyDescent="0.35">
      <c r="B866" s="145">
        <v>46044</v>
      </c>
      <c r="C866" s="146">
        <v>46044</v>
      </c>
      <c r="D866" s="147" t="s">
        <v>184</v>
      </c>
      <c r="E866" s="148">
        <v>658</v>
      </c>
      <c r="F866" s="147" t="s">
        <v>1104</v>
      </c>
      <c r="G866" s="147" t="s">
        <v>326</v>
      </c>
      <c r="H866" s="149">
        <v>0</v>
      </c>
      <c r="I866" s="149">
        <v>200000</v>
      </c>
      <c r="J866" s="141">
        <f>+J865+Tabla69[[#This Row],[DEBE]]-Tabla69[[#This Row],[HABER]]</f>
        <v>-318043885.01000005</v>
      </c>
      <c r="K866" s="142" t="s">
        <v>872</v>
      </c>
      <c r="L866" s="143" t="s">
        <v>714</v>
      </c>
      <c r="M866" s="143" t="s">
        <v>91</v>
      </c>
    </row>
    <row r="867" spans="2:13" x14ac:dyDescent="0.35">
      <c r="B867" s="145">
        <v>46044</v>
      </c>
      <c r="C867" s="146">
        <v>46044</v>
      </c>
      <c r="D867" s="147" t="s">
        <v>184</v>
      </c>
      <c r="E867" s="148">
        <v>659</v>
      </c>
      <c r="F867" s="147" t="s">
        <v>1406</v>
      </c>
      <c r="G867" s="147" t="s">
        <v>381</v>
      </c>
      <c r="H867" s="149">
        <v>0</v>
      </c>
      <c r="I867" s="149">
        <v>200000</v>
      </c>
      <c r="J867" s="141">
        <f>+J866+Tabla69[[#This Row],[DEBE]]-Tabla69[[#This Row],[HABER]]</f>
        <v>-318243885.01000005</v>
      </c>
      <c r="K867" s="142" t="s">
        <v>872</v>
      </c>
      <c r="L867" s="143" t="s">
        <v>714</v>
      </c>
      <c r="M867" s="143" t="s">
        <v>91</v>
      </c>
    </row>
    <row r="868" spans="2:13" x14ac:dyDescent="0.35">
      <c r="B868" s="145">
        <v>46044</v>
      </c>
      <c r="C868" s="146">
        <v>46044</v>
      </c>
      <c r="D868" s="147" t="s">
        <v>184</v>
      </c>
      <c r="E868" s="148">
        <v>660</v>
      </c>
      <c r="F868" s="147" t="s">
        <v>1411</v>
      </c>
      <c r="G868" s="147" t="s">
        <v>382</v>
      </c>
      <c r="H868" s="149">
        <v>0</v>
      </c>
      <c r="I868" s="149">
        <v>200000</v>
      </c>
      <c r="J868" s="141">
        <f>+J867+Tabla69[[#This Row],[DEBE]]-Tabla69[[#This Row],[HABER]]</f>
        <v>-318443885.01000005</v>
      </c>
      <c r="K868" s="142" t="s">
        <v>872</v>
      </c>
      <c r="L868" s="143" t="s">
        <v>714</v>
      </c>
      <c r="M868" s="143" t="s">
        <v>91</v>
      </c>
    </row>
    <row r="869" spans="2:13" x14ac:dyDescent="0.35">
      <c r="B869" s="145">
        <v>46044</v>
      </c>
      <c r="C869" s="146">
        <v>46044</v>
      </c>
      <c r="D869" s="147" t="s">
        <v>184</v>
      </c>
      <c r="E869" s="148">
        <v>661</v>
      </c>
      <c r="F869" s="147" t="s">
        <v>1441</v>
      </c>
      <c r="G869" s="147" t="s">
        <v>383</v>
      </c>
      <c r="H869" s="149">
        <v>0</v>
      </c>
      <c r="I869" s="149">
        <v>1700000</v>
      </c>
      <c r="J869" s="141">
        <f>+J868+Tabla69[[#This Row],[DEBE]]-Tabla69[[#This Row],[HABER]]</f>
        <v>-320143885.01000005</v>
      </c>
      <c r="K869" s="142" t="s">
        <v>872</v>
      </c>
      <c r="L869" s="143" t="s">
        <v>714</v>
      </c>
      <c r="M869" s="143" t="s">
        <v>91</v>
      </c>
    </row>
    <row r="870" spans="2:13" x14ac:dyDescent="0.35">
      <c r="B870" s="145">
        <v>46044</v>
      </c>
      <c r="C870" s="146">
        <v>46044</v>
      </c>
      <c r="D870" s="147" t="s">
        <v>184</v>
      </c>
      <c r="E870" s="148">
        <v>662</v>
      </c>
      <c r="F870" s="147" t="s">
        <v>1342</v>
      </c>
      <c r="G870" s="147" t="s">
        <v>326</v>
      </c>
      <c r="H870" s="149">
        <v>0</v>
      </c>
      <c r="I870" s="149">
        <v>200000</v>
      </c>
      <c r="J870" s="141">
        <f>+J869+Tabla69[[#This Row],[DEBE]]-Tabla69[[#This Row],[HABER]]</f>
        <v>-320343885.01000005</v>
      </c>
      <c r="K870" s="142" t="s">
        <v>872</v>
      </c>
      <c r="L870" s="143" t="s">
        <v>714</v>
      </c>
      <c r="M870" s="143" t="s">
        <v>91</v>
      </c>
    </row>
    <row r="871" spans="2:13" x14ac:dyDescent="0.35">
      <c r="B871" s="145">
        <v>46044</v>
      </c>
      <c r="C871" s="146">
        <v>46044</v>
      </c>
      <c r="D871" s="147" t="s">
        <v>184</v>
      </c>
      <c r="E871" s="148">
        <v>663</v>
      </c>
      <c r="F871" s="147" t="s">
        <v>1393</v>
      </c>
      <c r="G871" s="147" t="s">
        <v>384</v>
      </c>
      <c r="H871" s="149">
        <v>0</v>
      </c>
      <c r="I871" s="149">
        <v>200000</v>
      </c>
      <c r="J871" s="141">
        <f>+J870+Tabla69[[#This Row],[DEBE]]-Tabla69[[#This Row],[HABER]]</f>
        <v>-320543885.01000005</v>
      </c>
      <c r="K871" s="142" t="s">
        <v>872</v>
      </c>
      <c r="L871" s="143" t="s">
        <v>714</v>
      </c>
      <c r="M871" s="143" t="s">
        <v>91</v>
      </c>
    </row>
    <row r="872" spans="2:13" x14ac:dyDescent="0.35">
      <c r="B872" s="145">
        <v>46044</v>
      </c>
      <c r="C872" s="146">
        <v>46044</v>
      </c>
      <c r="D872" s="147" t="s">
        <v>184</v>
      </c>
      <c r="E872" s="148">
        <v>664</v>
      </c>
      <c r="F872" s="147" t="s">
        <v>1083</v>
      </c>
      <c r="G872" s="147" t="s">
        <v>326</v>
      </c>
      <c r="H872" s="149">
        <v>0</v>
      </c>
      <c r="I872" s="149">
        <v>200000</v>
      </c>
      <c r="J872" s="141">
        <f>+J871+Tabla69[[#This Row],[DEBE]]-Tabla69[[#This Row],[HABER]]</f>
        <v>-320743885.01000005</v>
      </c>
      <c r="K872" s="142" t="s">
        <v>872</v>
      </c>
      <c r="L872" s="143" t="s">
        <v>714</v>
      </c>
      <c r="M872" s="143" t="s">
        <v>91</v>
      </c>
    </row>
    <row r="873" spans="2:13" x14ac:dyDescent="0.35">
      <c r="B873" s="145">
        <v>46044</v>
      </c>
      <c r="C873" s="146">
        <v>46044</v>
      </c>
      <c r="D873" s="147" t="s">
        <v>184</v>
      </c>
      <c r="E873" s="148">
        <v>665</v>
      </c>
      <c r="F873" s="147" t="s">
        <v>1442</v>
      </c>
      <c r="G873" s="147" t="s">
        <v>385</v>
      </c>
      <c r="H873" s="149">
        <v>0</v>
      </c>
      <c r="I873" s="149">
        <v>1032000</v>
      </c>
      <c r="J873" s="141">
        <f>+J872+Tabla69[[#This Row],[DEBE]]-Tabla69[[#This Row],[HABER]]</f>
        <v>-321775885.01000005</v>
      </c>
      <c r="K873" s="142" t="s">
        <v>872</v>
      </c>
      <c r="L873" s="143" t="s">
        <v>714</v>
      </c>
      <c r="M873" s="143" t="s">
        <v>91</v>
      </c>
    </row>
    <row r="874" spans="2:13" x14ac:dyDescent="0.35">
      <c r="B874" s="145">
        <v>46044</v>
      </c>
      <c r="C874" s="146">
        <v>46044</v>
      </c>
      <c r="D874" s="147" t="s">
        <v>184</v>
      </c>
      <c r="E874" s="148">
        <v>666</v>
      </c>
      <c r="F874" s="147" t="s">
        <v>1405</v>
      </c>
      <c r="G874" s="147" t="s">
        <v>386</v>
      </c>
      <c r="H874" s="149">
        <v>0</v>
      </c>
      <c r="I874" s="149">
        <v>200000</v>
      </c>
      <c r="J874" s="141">
        <f>+J873+Tabla69[[#This Row],[DEBE]]-Tabla69[[#This Row],[HABER]]</f>
        <v>-321975885.01000005</v>
      </c>
      <c r="K874" s="142" t="s">
        <v>872</v>
      </c>
      <c r="L874" s="143" t="s">
        <v>714</v>
      </c>
      <c r="M874" s="143" t="s">
        <v>91</v>
      </c>
    </row>
    <row r="875" spans="2:13" x14ac:dyDescent="0.35">
      <c r="B875" s="145">
        <v>46044</v>
      </c>
      <c r="C875" s="146">
        <v>46044</v>
      </c>
      <c r="D875" s="147" t="s">
        <v>184</v>
      </c>
      <c r="E875" s="148">
        <v>667</v>
      </c>
      <c r="F875" s="147" t="s">
        <v>1321</v>
      </c>
      <c r="G875" s="147" t="s">
        <v>326</v>
      </c>
      <c r="H875" s="149">
        <v>0</v>
      </c>
      <c r="I875" s="149">
        <v>200000</v>
      </c>
      <c r="J875" s="141">
        <f>+J874+Tabla69[[#This Row],[DEBE]]-Tabla69[[#This Row],[HABER]]</f>
        <v>-322175885.01000005</v>
      </c>
      <c r="K875" s="142" t="s">
        <v>872</v>
      </c>
      <c r="L875" s="143" t="s">
        <v>714</v>
      </c>
      <c r="M875" s="143" t="s">
        <v>91</v>
      </c>
    </row>
    <row r="876" spans="2:13" x14ac:dyDescent="0.35">
      <c r="B876" s="145">
        <v>46044</v>
      </c>
      <c r="C876" s="146">
        <v>46044</v>
      </c>
      <c r="D876" s="147" t="s">
        <v>184</v>
      </c>
      <c r="E876" s="148">
        <v>668</v>
      </c>
      <c r="F876" s="147" t="s">
        <v>1310</v>
      </c>
      <c r="G876" s="147" t="s">
        <v>387</v>
      </c>
      <c r="H876" s="149">
        <v>0</v>
      </c>
      <c r="I876" s="149">
        <v>200000</v>
      </c>
      <c r="J876" s="141">
        <f>+J875+Tabla69[[#This Row],[DEBE]]-Tabla69[[#This Row],[HABER]]</f>
        <v>-322375885.01000005</v>
      </c>
      <c r="K876" s="142" t="s">
        <v>872</v>
      </c>
      <c r="L876" s="143" t="s">
        <v>714</v>
      </c>
      <c r="M876" s="143" t="s">
        <v>91</v>
      </c>
    </row>
    <row r="877" spans="2:13" x14ac:dyDescent="0.35">
      <c r="B877" s="145">
        <v>46044</v>
      </c>
      <c r="C877" s="146">
        <v>46044</v>
      </c>
      <c r="D877" s="147" t="s">
        <v>184</v>
      </c>
      <c r="E877" s="148">
        <v>669</v>
      </c>
      <c r="F877" s="147" t="s">
        <v>1081</v>
      </c>
      <c r="G877" s="147" t="s">
        <v>326</v>
      </c>
      <c r="H877" s="149">
        <v>0</v>
      </c>
      <c r="I877" s="149">
        <v>200000</v>
      </c>
      <c r="J877" s="141">
        <f>+J876+Tabla69[[#This Row],[DEBE]]-Tabla69[[#This Row],[HABER]]</f>
        <v>-322575885.01000005</v>
      </c>
      <c r="K877" s="142" t="s">
        <v>872</v>
      </c>
      <c r="L877" s="143" t="s">
        <v>714</v>
      </c>
      <c r="M877" s="143" t="s">
        <v>91</v>
      </c>
    </row>
    <row r="878" spans="2:13" x14ac:dyDescent="0.35">
      <c r="B878" s="145">
        <v>46044</v>
      </c>
      <c r="C878" s="146">
        <v>46044</v>
      </c>
      <c r="D878" s="147" t="s">
        <v>184</v>
      </c>
      <c r="E878" s="148">
        <v>670</v>
      </c>
      <c r="F878" s="147" t="s">
        <v>1442</v>
      </c>
      <c r="G878" s="147" t="s">
        <v>388</v>
      </c>
      <c r="H878" s="149">
        <v>0</v>
      </c>
      <c r="I878" s="149">
        <v>200000</v>
      </c>
      <c r="J878" s="141">
        <f>+J877+Tabla69[[#This Row],[DEBE]]-Tabla69[[#This Row],[HABER]]</f>
        <v>-322775885.01000005</v>
      </c>
      <c r="K878" s="142" t="s">
        <v>872</v>
      </c>
      <c r="L878" s="143" t="s">
        <v>714</v>
      </c>
      <c r="M878" s="143" t="s">
        <v>91</v>
      </c>
    </row>
    <row r="879" spans="2:13" x14ac:dyDescent="0.35">
      <c r="B879" s="145">
        <v>46044</v>
      </c>
      <c r="C879" s="146">
        <v>46044</v>
      </c>
      <c r="D879" s="147" t="s">
        <v>184</v>
      </c>
      <c r="E879" s="148">
        <v>671</v>
      </c>
      <c r="F879" s="147" t="s">
        <v>1372</v>
      </c>
      <c r="G879" s="147" t="s">
        <v>326</v>
      </c>
      <c r="H879" s="149">
        <v>0</v>
      </c>
      <c r="I879" s="149">
        <v>200000</v>
      </c>
      <c r="J879" s="141">
        <f>+J878+Tabla69[[#This Row],[DEBE]]-Tabla69[[#This Row],[HABER]]</f>
        <v>-322975885.01000005</v>
      </c>
      <c r="K879" s="142" t="s">
        <v>872</v>
      </c>
      <c r="L879" s="143" t="s">
        <v>714</v>
      </c>
      <c r="M879" s="143" t="s">
        <v>91</v>
      </c>
    </row>
    <row r="880" spans="2:13" x14ac:dyDescent="0.35">
      <c r="B880" s="145">
        <v>46044</v>
      </c>
      <c r="C880" s="146">
        <v>46044</v>
      </c>
      <c r="D880" s="147" t="s">
        <v>184</v>
      </c>
      <c r="E880" s="148">
        <v>672</v>
      </c>
      <c r="F880" s="147" t="s">
        <v>1439</v>
      </c>
      <c r="G880" s="147" t="s">
        <v>389</v>
      </c>
      <c r="H880" s="149">
        <v>0</v>
      </c>
      <c r="I880" s="149">
        <v>200000</v>
      </c>
      <c r="J880" s="141">
        <f>+J879+Tabla69[[#This Row],[DEBE]]-Tabla69[[#This Row],[HABER]]</f>
        <v>-323175885.01000005</v>
      </c>
      <c r="K880" s="142" t="s">
        <v>872</v>
      </c>
      <c r="L880" s="143" t="s">
        <v>714</v>
      </c>
      <c r="M880" s="143" t="s">
        <v>91</v>
      </c>
    </row>
    <row r="881" spans="2:13" x14ac:dyDescent="0.35">
      <c r="B881" s="145">
        <v>46044</v>
      </c>
      <c r="C881" s="146">
        <v>46044</v>
      </c>
      <c r="D881" s="147" t="s">
        <v>184</v>
      </c>
      <c r="E881" s="148">
        <v>673</v>
      </c>
      <c r="F881" s="147" t="s">
        <v>1427</v>
      </c>
      <c r="G881" s="147" t="s">
        <v>390</v>
      </c>
      <c r="H881" s="149">
        <v>0</v>
      </c>
      <c r="I881" s="149">
        <v>1551225</v>
      </c>
      <c r="J881" s="141">
        <f>+J880+Tabla69[[#This Row],[DEBE]]-Tabla69[[#This Row],[HABER]]</f>
        <v>-324727110.01000005</v>
      </c>
      <c r="K881" s="142" t="s">
        <v>872</v>
      </c>
      <c r="L881" s="143" t="s">
        <v>714</v>
      </c>
      <c r="M881" s="143" t="s">
        <v>91</v>
      </c>
    </row>
    <row r="882" spans="2:13" x14ac:dyDescent="0.35">
      <c r="B882" s="145">
        <v>46044</v>
      </c>
      <c r="C882" s="146">
        <v>46044</v>
      </c>
      <c r="D882" s="147" t="s">
        <v>184</v>
      </c>
      <c r="E882" s="148">
        <v>674</v>
      </c>
      <c r="F882" s="147" t="s">
        <v>1095</v>
      </c>
      <c r="G882" s="147" t="s">
        <v>326</v>
      </c>
      <c r="H882" s="149">
        <v>0</v>
      </c>
      <c r="I882" s="149">
        <v>200000</v>
      </c>
      <c r="J882" s="141">
        <f>+J881+Tabla69[[#This Row],[DEBE]]-Tabla69[[#This Row],[HABER]]</f>
        <v>-324927110.01000005</v>
      </c>
      <c r="K882" s="142" t="s">
        <v>872</v>
      </c>
      <c r="L882" s="143" t="s">
        <v>714</v>
      </c>
      <c r="M882" s="143" t="s">
        <v>91</v>
      </c>
    </row>
    <row r="883" spans="2:13" x14ac:dyDescent="0.35">
      <c r="B883" s="145">
        <v>46044</v>
      </c>
      <c r="C883" s="146">
        <v>46044</v>
      </c>
      <c r="D883" s="147" t="s">
        <v>184</v>
      </c>
      <c r="E883" s="148">
        <v>675</v>
      </c>
      <c r="F883" s="147" t="s">
        <v>1401</v>
      </c>
      <c r="G883" s="147" t="s">
        <v>391</v>
      </c>
      <c r="H883" s="149">
        <v>0</v>
      </c>
      <c r="I883" s="149">
        <v>1073925</v>
      </c>
      <c r="J883" s="141">
        <f>+J882+Tabla69[[#This Row],[DEBE]]-Tabla69[[#This Row],[HABER]]</f>
        <v>-326001035.01000005</v>
      </c>
      <c r="K883" s="142" t="s">
        <v>872</v>
      </c>
      <c r="L883" s="143" t="s">
        <v>714</v>
      </c>
      <c r="M883" s="143" t="s">
        <v>91</v>
      </c>
    </row>
    <row r="884" spans="2:13" x14ac:dyDescent="0.35">
      <c r="B884" s="145">
        <v>46044</v>
      </c>
      <c r="C884" s="146">
        <v>46044</v>
      </c>
      <c r="D884" s="147" t="s">
        <v>184</v>
      </c>
      <c r="E884" s="148">
        <v>676</v>
      </c>
      <c r="F884" s="147" t="s">
        <v>1424</v>
      </c>
      <c r="G884" s="147" t="s">
        <v>392</v>
      </c>
      <c r="H884" s="149">
        <v>0</v>
      </c>
      <c r="I884" s="149">
        <v>1145520</v>
      </c>
      <c r="J884" s="141">
        <f>+J883+Tabla69[[#This Row],[DEBE]]-Tabla69[[#This Row],[HABER]]</f>
        <v>-327146555.01000005</v>
      </c>
      <c r="K884" s="142" t="s">
        <v>872</v>
      </c>
      <c r="L884" s="143" t="s">
        <v>714</v>
      </c>
      <c r="M884" s="143" t="s">
        <v>91</v>
      </c>
    </row>
    <row r="885" spans="2:13" x14ac:dyDescent="0.35">
      <c r="B885" s="145">
        <v>46044</v>
      </c>
      <c r="C885" s="146">
        <v>46044</v>
      </c>
      <c r="D885" s="147" t="s">
        <v>184</v>
      </c>
      <c r="E885" s="148">
        <v>677</v>
      </c>
      <c r="F885" s="147" t="s">
        <v>1443</v>
      </c>
      <c r="G885" s="147" t="s">
        <v>326</v>
      </c>
      <c r="H885" s="149">
        <v>0</v>
      </c>
      <c r="I885" s="149">
        <v>200000</v>
      </c>
      <c r="J885" s="141">
        <f>+J884+Tabla69[[#This Row],[DEBE]]-Tabla69[[#This Row],[HABER]]</f>
        <v>-327346555.01000005</v>
      </c>
      <c r="K885" s="142" t="s">
        <v>872</v>
      </c>
      <c r="L885" s="143" t="s">
        <v>714</v>
      </c>
      <c r="M885" s="143" t="s">
        <v>91</v>
      </c>
    </row>
    <row r="886" spans="2:13" x14ac:dyDescent="0.35">
      <c r="B886" s="145">
        <v>46044</v>
      </c>
      <c r="C886" s="146">
        <v>46044</v>
      </c>
      <c r="D886" s="147" t="s">
        <v>184</v>
      </c>
      <c r="E886" s="148">
        <v>678</v>
      </c>
      <c r="F886" s="147" t="s">
        <v>1399</v>
      </c>
      <c r="G886" s="147" t="s">
        <v>393</v>
      </c>
      <c r="H886" s="149">
        <v>0</v>
      </c>
      <c r="I886" s="149">
        <v>1073925</v>
      </c>
      <c r="J886" s="141">
        <f>+J885+Tabla69[[#This Row],[DEBE]]-Tabla69[[#This Row],[HABER]]</f>
        <v>-328420480.01000005</v>
      </c>
      <c r="K886" s="142" t="s">
        <v>872</v>
      </c>
      <c r="L886" s="143" t="s">
        <v>714</v>
      </c>
      <c r="M886" s="143" t="s">
        <v>91</v>
      </c>
    </row>
    <row r="887" spans="2:13" x14ac:dyDescent="0.35">
      <c r="B887" s="145">
        <v>46044</v>
      </c>
      <c r="C887" s="146">
        <v>46044</v>
      </c>
      <c r="D887" s="147" t="s">
        <v>184</v>
      </c>
      <c r="E887" s="148">
        <v>679</v>
      </c>
      <c r="F887" s="147" t="s">
        <v>1444</v>
      </c>
      <c r="G887" s="147" t="s">
        <v>394</v>
      </c>
      <c r="H887" s="149">
        <v>0</v>
      </c>
      <c r="I887" s="149">
        <v>5300000</v>
      </c>
      <c r="J887" s="141">
        <f>+J886+Tabla69[[#This Row],[DEBE]]-Tabla69[[#This Row],[HABER]]</f>
        <v>-333720480.01000005</v>
      </c>
      <c r="K887" s="142" t="s">
        <v>872</v>
      </c>
      <c r="L887" s="143" t="s">
        <v>714</v>
      </c>
      <c r="M887" s="143" t="s">
        <v>91</v>
      </c>
    </row>
    <row r="888" spans="2:13" x14ac:dyDescent="0.35">
      <c r="B888" s="145">
        <v>46044</v>
      </c>
      <c r="C888" s="146">
        <v>46044</v>
      </c>
      <c r="D888" s="147" t="s">
        <v>184</v>
      </c>
      <c r="E888" s="148">
        <v>680</v>
      </c>
      <c r="F888" s="147" t="s">
        <v>1402</v>
      </c>
      <c r="G888" s="147" t="s">
        <v>395</v>
      </c>
      <c r="H888" s="149">
        <v>0</v>
      </c>
      <c r="I888" s="149">
        <v>1782258.53</v>
      </c>
      <c r="J888" s="141">
        <f>+J887+Tabla69[[#This Row],[DEBE]]-Tabla69[[#This Row],[HABER]]</f>
        <v>-335502738.54000002</v>
      </c>
      <c r="K888" s="142" t="s">
        <v>872</v>
      </c>
      <c r="L888" s="143" t="s">
        <v>714</v>
      </c>
      <c r="M888" s="143" t="s">
        <v>91</v>
      </c>
    </row>
    <row r="889" spans="2:13" x14ac:dyDescent="0.35">
      <c r="B889" s="145">
        <v>46044</v>
      </c>
      <c r="C889" s="146">
        <v>46044</v>
      </c>
      <c r="D889" s="147" t="s">
        <v>184</v>
      </c>
      <c r="E889" s="148">
        <v>681</v>
      </c>
      <c r="F889" s="147" t="s">
        <v>1304</v>
      </c>
      <c r="G889" s="147" t="s">
        <v>326</v>
      </c>
      <c r="H889" s="149">
        <v>0</v>
      </c>
      <c r="I889" s="149">
        <v>200000</v>
      </c>
      <c r="J889" s="141">
        <f>+J888+Tabla69[[#This Row],[DEBE]]-Tabla69[[#This Row],[HABER]]</f>
        <v>-335702738.54000002</v>
      </c>
      <c r="K889" s="142" t="s">
        <v>872</v>
      </c>
      <c r="L889" s="143" t="s">
        <v>714</v>
      </c>
      <c r="M889" s="143" t="s">
        <v>91</v>
      </c>
    </row>
    <row r="890" spans="2:13" x14ac:dyDescent="0.35">
      <c r="B890" s="145">
        <v>46044</v>
      </c>
      <c r="C890" s="146">
        <v>46044</v>
      </c>
      <c r="D890" s="147" t="s">
        <v>184</v>
      </c>
      <c r="E890" s="148">
        <v>682</v>
      </c>
      <c r="F890" s="147" t="s">
        <v>1445</v>
      </c>
      <c r="G890" s="147" t="s">
        <v>396</v>
      </c>
      <c r="H890" s="149">
        <v>0</v>
      </c>
      <c r="I890" s="149">
        <v>452054.51</v>
      </c>
      <c r="J890" s="141">
        <f>+J889+Tabla69[[#This Row],[DEBE]]-Tabla69[[#This Row],[HABER]]</f>
        <v>-336154793.05000001</v>
      </c>
      <c r="K890" s="142" t="s">
        <v>872</v>
      </c>
      <c r="L890" s="143" t="s">
        <v>714</v>
      </c>
      <c r="M890" s="143" t="s">
        <v>91</v>
      </c>
    </row>
    <row r="891" spans="2:13" x14ac:dyDescent="0.35">
      <c r="B891" s="145">
        <v>46044</v>
      </c>
      <c r="C891" s="146">
        <v>46044</v>
      </c>
      <c r="D891" s="147" t="s">
        <v>184</v>
      </c>
      <c r="E891" s="148">
        <v>683</v>
      </c>
      <c r="F891" s="147" t="s">
        <v>1344</v>
      </c>
      <c r="G891" s="147" t="s">
        <v>326</v>
      </c>
      <c r="H891" s="149">
        <v>0</v>
      </c>
      <c r="I891" s="149">
        <v>200000</v>
      </c>
      <c r="J891" s="141">
        <f>+J890+Tabla69[[#This Row],[DEBE]]-Tabla69[[#This Row],[HABER]]</f>
        <v>-336354793.05000001</v>
      </c>
      <c r="K891" s="142" t="s">
        <v>872</v>
      </c>
      <c r="L891" s="143" t="s">
        <v>714</v>
      </c>
      <c r="M891" s="143" t="s">
        <v>91</v>
      </c>
    </row>
    <row r="892" spans="2:13" x14ac:dyDescent="0.35">
      <c r="B892" s="145">
        <v>46044</v>
      </c>
      <c r="C892" s="146">
        <v>46044</v>
      </c>
      <c r="D892" s="147" t="s">
        <v>184</v>
      </c>
      <c r="E892" s="148">
        <v>684</v>
      </c>
      <c r="F892" s="147" t="s">
        <v>1429</v>
      </c>
      <c r="G892" s="147" t="s">
        <v>397</v>
      </c>
      <c r="H892" s="149">
        <v>0</v>
      </c>
      <c r="I892" s="149">
        <v>1559339.07</v>
      </c>
      <c r="J892" s="141">
        <f>+J891+Tabla69[[#This Row],[DEBE]]-Tabla69[[#This Row],[HABER]]</f>
        <v>-337914132.12</v>
      </c>
      <c r="K892" s="142" t="s">
        <v>872</v>
      </c>
      <c r="L892" s="143" t="s">
        <v>714</v>
      </c>
      <c r="M892" s="143" t="s">
        <v>91</v>
      </c>
    </row>
    <row r="893" spans="2:13" x14ac:dyDescent="0.35">
      <c r="B893" s="145">
        <v>46044</v>
      </c>
      <c r="C893" s="146">
        <v>46044</v>
      </c>
      <c r="D893" s="147" t="s">
        <v>184</v>
      </c>
      <c r="E893" s="148">
        <v>685</v>
      </c>
      <c r="F893" s="147" t="s">
        <v>1446</v>
      </c>
      <c r="G893" s="147" t="s">
        <v>398</v>
      </c>
      <c r="H893" s="149">
        <v>0</v>
      </c>
      <c r="I893" s="149">
        <v>1032000</v>
      </c>
      <c r="J893" s="141">
        <f>+J892+Tabla69[[#This Row],[DEBE]]-Tabla69[[#This Row],[HABER]]</f>
        <v>-338946132.12</v>
      </c>
      <c r="K893" s="142" t="s">
        <v>872</v>
      </c>
      <c r="L893" s="143" t="s">
        <v>714</v>
      </c>
      <c r="M893" s="143" t="s">
        <v>91</v>
      </c>
    </row>
    <row r="894" spans="2:13" x14ac:dyDescent="0.35">
      <c r="B894" s="145">
        <v>46044</v>
      </c>
      <c r="C894" s="146">
        <v>46044</v>
      </c>
      <c r="D894" s="147" t="s">
        <v>184</v>
      </c>
      <c r="E894" s="148">
        <v>686</v>
      </c>
      <c r="F894" s="147" t="s">
        <v>1389</v>
      </c>
      <c r="G894" s="147" t="s">
        <v>399</v>
      </c>
      <c r="H894" s="149">
        <v>0</v>
      </c>
      <c r="I894" s="149">
        <v>1446783.19</v>
      </c>
      <c r="J894" s="141">
        <f>+J893+Tabla69[[#This Row],[DEBE]]-Tabla69[[#This Row],[HABER]]</f>
        <v>-340392915.31</v>
      </c>
      <c r="K894" s="142" t="s">
        <v>872</v>
      </c>
      <c r="L894" s="143" t="s">
        <v>714</v>
      </c>
      <c r="M894" s="143" t="s">
        <v>91</v>
      </c>
    </row>
    <row r="895" spans="2:13" x14ac:dyDescent="0.35">
      <c r="B895" s="165">
        <v>46044</v>
      </c>
      <c r="C895" s="166">
        <v>46044</v>
      </c>
      <c r="D895" s="167" t="s">
        <v>184</v>
      </c>
      <c r="E895" s="168">
        <v>687</v>
      </c>
      <c r="F895" s="167" t="s">
        <v>1416</v>
      </c>
      <c r="G895" s="167" t="s">
        <v>326</v>
      </c>
      <c r="H895" s="169">
        <v>0</v>
      </c>
      <c r="I895" s="169">
        <v>-502596.9</v>
      </c>
      <c r="J895" s="155">
        <f>+J894+Tabla69[[#This Row],[DEBE]]-Tabla69[[#This Row],[HABER]]</f>
        <v>-339890318.41000003</v>
      </c>
      <c r="K895" s="156" t="s">
        <v>871</v>
      </c>
      <c r="L895" s="157" t="s">
        <v>714</v>
      </c>
      <c r="M895" s="157"/>
    </row>
    <row r="896" spans="2:13" x14ac:dyDescent="0.35">
      <c r="B896" s="165">
        <v>46044</v>
      </c>
      <c r="C896" s="166">
        <v>46044</v>
      </c>
      <c r="D896" s="167" t="s">
        <v>184</v>
      </c>
      <c r="E896" s="168">
        <v>687</v>
      </c>
      <c r="F896" s="167" t="s">
        <v>1416</v>
      </c>
      <c r="G896" s="167" t="s">
        <v>326</v>
      </c>
      <c r="H896" s="169">
        <v>0</v>
      </c>
      <c r="I896" s="169">
        <v>502596.9</v>
      </c>
      <c r="J896" s="155">
        <f>+J895+Tabla69[[#This Row],[DEBE]]-Tabla69[[#This Row],[HABER]]</f>
        <v>-340392915.31</v>
      </c>
      <c r="K896" s="156" t="s">
        <v>871</v>
      </c>
      <c r="L896" s="157" t="s">
        <v>714</v>
      </c>
      <c r="M896" s="157"/>
    </row>
    <row r="897" spans="2:13" x14ac:dyDescent="0.35">
      <c r="B897" s="145">
        <v>46044</v>
      </c>
      <c r="C897" s="146">
        <v>46044</v>
      </c>
      <c r="D897" s="147" t="s">
        <v>184</v>
      </c>
      <c r="E897" s="148">
        <v>688</v>
      </c>
      <c r="F897" s="147" t="s">
        <v>1404</v>
      </c>
      <c r="G897" s="147" t="s">
        <v>400</v>
      </c>
      <c r="H897" s="149">
        <v>0</v>
      </c>
      <c r="I897" s="149">
        <v>1446783.19</v>
      </c>
      <c r="J897" s="141">
        <f>+J896+Tabla69[[#This Row],[DEBE]]-Tabla69[[#This Row],[HABER]]</f>
        <v>-341839698.5</v>
      </c>
      <c r="K897" s="142" t="s">
        <v>872</v>
      </c>
      <c r="L897" s="143" t="s">
        <v>714</v>
      </c>
      <c r="M897" s="143" t="s">
        <v>91</v>
      </c>
    </row>
    <row r="898" spans="2:13" x14ac:dyDescent="0.35">
      <c r="B898" s="145">
        <v>46044</v>
      </c>
      <c r="C898" s="146">
        <v>46044</v>
      </c>
      <c r="D898" s="147" t="s">
        <v>184</v>
      </c>
      <c r="E898" s="148">
        <v>689</v>
      </c>
      <c r="F898" s="147" t="s">
        <v>1420</v>
      </c>
      <c r="G898" s="147" t="s">
        <v>401</v>
      </c>
      <c r="H898" s="149">
        <v>0</v>
      </c>
      <c r="I898" s="149">
        <v>800202.61</v>
      </c>
      <c r="J898" s="141">
        <f>+J897+Tabla69[[#This Row],[DEBE]]-Tabla69[[#This Row],[HABER]]</f>
        <v>-342639901.11000001</v>
      </c>
      <c r="K898" s="142" t="s">
        <v>872</v>
      </c>
      <c r="L898" s="143" t="s">
        <v>714</v>
      </c>
      <c r="M898" s="143" t="s">
        <v>91</v>
      </c>
    </row>
    <row r="899" spans="2:13" x14ac:dyDescent="0.35">
      <c r="B899" s="145">
        <v>46044</v>
      </c>
      <c r="C899" s="146">
        <v>46044</v>
      </c>
      <c r="D899" s="147" t="s">
        <v>184</v>
      </c>
      <c r="E899" s="148">
        <v>690</v>
      </c>
      <c r="F899" s="147" t="s">
        <v>1419</v>
      </c>
      <c r="G899" s="147" t="s">
        <v>326</v>
      </c>
      <c r="H899" s="149">
        <v>0</v>
      </c>
      <c r="I899" s="149">
        <v>600000</v>
      </c>
      <c r="J899" s="141">
        <f>+J898+Tabla69[[#This Row],[DEBE]]-Tabla69[[#This Row],[HABER]]</f>
        <v>-343239901.11000001</v>
      </c>
      <c r="K899" s="142" t="s">
        <v>872</v>
      </c>
      <c r="L899" s="143" t="s">
        <v>714</v>
      </c>
      <c r="M899" s="143" t="s">
        <v>91</v>
      </c>
    </row>
    <row r="900" spans="2:13" x14ac:dyDescent="0.35">
      <c r="B900" s="145">
        <v>46044</v>
      </c>
      <c r="C900" s="146">
        <v>46044</v>
      </c>
      <c r="D900" s="147" t="s">
        <v>184</v>
      </c>
      <c r="E900" s="148">
        <v>691</v>
      </c>
      <c r="F900" s="147" t="s">
        <v>1394</v>
      </c>
      <c r="G900" s="147" t="s">
        <v>402</v>
      </c>
      <c r="H900" s="149">
        <v>0</v>
      </c>
      <c r="I900" s="149">
        <v>1446783.19</v>
      </c>
      <c r="J900" s="141">
        <f>+J899+Tabla69[[#This Row],[DEBE]]-Tabla69[[#This Row],[HABER]]</f>
        <v>-344686684.30000001</v>
      </c>
      <c r="K900" s="142" t="s">
        <v>872</v>
      </c>
      <c r="L900" s="143" t="s">
        <v>714</v>
      </c>
      <c r="M900" s="143" t="s">
        <v>91</v>
      </c>
    </row>
    <row r="901" spans="2:13" x14ac:dyDescent="0.35">
      <c r="B901" s="145">
        <v>46044</v>
      </c>
      <c r="C901" s="146">
        <v>46044</v>
      </c>
      <c r="D901" s="147" t="s">
        <v>184</v>
      </c>
      <c r="E901" s="148">
        <v>692</v>
      </c>
      <c r="F901" s="147" t="s">
        <v>1423</v>
      </c>
      <c r="G901" s="147" t="s">
        <v>403</v>
      </c>
      <c r="H901" s="149">
        <v>0</v>
      </c>
      <c r="I901" s="149">
        <v>915982.86</v>
      </c>
      <c r="J901" s="141">
        <f>+J900+Tabla69[[#This Row],[DEBE]]-Tabla69[[#This Row],[HABER]]</f>
        <v>-345602667.16000003</v>
      </c>
      <c r="K901" s="142" t="s">
        <v>872</v>
      </c>
      <c r="L901" s="143" t="s">
        <v>714</v>
      </c>
      <c r="M901" s="143" t="s">
        <v>91</v>
      </c>
    </row>
    <row r="902" spans="2:13" x14ac:dyDescent="0.35">
      <c r="B902" s="145">
        <v>46044</v>
      </c>
      <c r="C902" s="146">
        <v>46044</v>
      </c>
      <c r="D902" s="147" t="s">
        <v>184</v>
      </c>
      <c r="E902" s="148">
        <v>693</v>
      </c>
      <c r="F902" s="147" t="s">
        <v>1447</v>
      </c>
      <c r="G902" s="147" t="s">
        <v>326</v>
      </c>
      <c r="H902" s="149">
        <v>0</v>
      </c>
      <c r="I902" s="149">
        <v>600000</v>
      </c>
      <c r="J902" s="141">
        <f>+J901+Tabla69[[#This Row],[DEBE]]-Tabla69[[#This Row],[HABER]]</f>
        <v>-346202667.16000003</v>
      </c>
      <c r="K902" s="142" t="s">
        <v>872</v>
      </c>
      <c r="L902" s="143" t="s">
        <v>714</v>
      </c>
      <c r="M902" s="143" t="s">
        <v>91</v>
      </c>
    </row>
    <row r="903" spans="2:13" x14ac:dyDescent="0.35">
      <c r="B903" s="145">
        <v>46044</v>
      </c>
      <c r="C903" s="146">
        <v>46044</v>
      </c>
      <c r="D903" s="147" t="s">
        <v>184</v>
      </c>
      <c r="E903" s="148">
        <v>694</v>
      </c>
      <c r="F903" s="147" t="s">
        <v>1396</v>
      </c>
      <c r="G903" s="147" t="s">
        <v>404</v>
      </c>
      <c r="H903" s="149">
        <v>0</v>
      </c>
      <c r="I903" s="149">
        <v>1446783.19</v>
      </c>
      <c r="J903" s="141">
        <f>+J902+Tabla69[[#This Row],[DEBE]]-Tabla69[[#This Row],[HABER]]</f>
        <v>-347649450.35000002</v>
      </c>
      <c r="K903" s="142" t="s">
        <v>872</v>
      </c>
      <c r="L903" s="143" t="s">
        <v>714</v>
      </c>
      <c r="M903" s="143" t="s">
        <v>91</v>
      </c>
    </row>
    <row r="904" spans="2:13" x14ac:dyDescent="0.35">
      <c r="B904" s="145">
        <v>46044</v>
      </c>
      <c r="C904" s="146">
        <v>46044</v>
      </c>
      <c r="D904" s="147" t="s">
        <v>184</v>
      </c>
      <c r="E904" s="148">
        <v>695</v>
      </c>
      <c r="F904" s="147" t="s">
        <v>1445</v>
      </c>
      <c r="G904" s="147" t="s">
        <v>405</v>
      </c>
      <c r="H904" s="149">
        <v>0</v>
      </c>
      <c r="I904" s="149">
        <v>200000</v>
      </c>
      <c r="J904" s="141">
        <f>+J903+Tabla69[[#This Row],[DEBE]]-Tabla69[[#This Row],[HABER]]</f>
        <v>-347849450.35000002</v>
      </c>
      <c r="K904" s="142" t="s">
        <v>872</v>
      </c>
      <c r="L904" s="143" t="s">
        <v>714</v>
      </c>
      <c r="M904" s="143" t="s">
        <v>91</v>
      </c>
    </row>
    <row r="905" spans="2:13" x14ac:dyDescent="0.35">
      <c r="B905" s="145">
        <v>46044</v>
      </c>
      <c r="C905" s="146">
        <v>46044</v>
      </c>
      <c r="D905" s="147" t="s">
        <v>184</v>
      </c>
      <c r="E905" s="148">
        <v>696</v>
      </c>
      <c r="F905" s="147" t="s">
        <v>1447</v>
      </c>
      <c r="G905" s="147" t="s">
        <v>326</v>
      </c>
      <c r="H905" s="149">
        <v>0</v>
      </c>
      <c r="I905" s="149">
        <v>600000</v>
      </c>
      <c r="J905" s="141">
        <f>+J904+Tabla69[[#This Row],[DEBE]]-Tabla69[[#This Row],[HABER]]</f>
        <v>-348449450.35000002</v>
      </c>
      <c r="K905" s="142" t="s">
        <v>872</v>
      </c>
      <c r="L905" s="143" t="s">
        <v>714</v>
      </c>
      <c r="M905" s="143" t="s">
        <v>91</v>
      </c>
    </row>
    <row r="906" spans="2:13" x14ac:dyDescent="0.35">
      <c r="B906" s="145">
        <v>46044</v>
      </c>
      <c r="C906" s="146">
        <v>46044</v>
      </c>
      <c r="D906" s="147" t="s">
        <v>184</v>
      </c>
      <c r="E906" s="148">
        <v>697</v>
      </c>
      <c r="F906" s="147" t="s">
        <v>1448</v>
      </c>
      <c r="G906" s="147" t="s">
        <v>406</v>
      </c>
      <c r="H906" s="149">
        <v>0</v>
      </c>
      <c r="I906" s="149">
        <v>1290000</v>
      </c>
      <c r="J906" s="141">
        <f>+J905+Tabla69[[#This Row],[DEBE]]-Tabla69[[#This Row],[HABER]]</f>
        <v>-349739450.35000002</v>
      </c>
      <c r="K906" s="142" t="s">
        <v>872</v>
      </c>
      <c r="L906" s="143" t="s">
        <v>714</v>
      </c>
      <c r="M906" s="143" t="s">
        <v>91</v>
      </c>
    </row>
    <row r="907" spans="2:13" x14ac:dyDescent="0.35">
      <c r="B907" s="145">
        <v>46044</v>
      </c>
      <c r="C907" s="146">
        <v>46044</v>
      </c>
      <c r="D907" s="147" t="s">
        <v>184</v>
      </c>
      <c r="E907" s="148">
        <v>698</v>
      </c>
      <c r="F907" s="147" t="s">
        <v>1446</v>
      </c>
      <c r="G907" s="147" t="s">
        <v>407</v>
      </c>
      <c r="H907" s="149">
        <v>0</v>
      </c>
      <c r="I907" s="149">
        <v>200000</v>
      </c>
      <c r="J907" s="141">
        <f>+J906+Tabla69[[#This Row],[DEBE]]-Tabla69[[#This Row],[HABER]]</f>
        <v>-349939450.35000002</v>
      </c>
      <c r="K907" s="142" t="s">
        <v>872</v>
      </c>
      <c r="L907" s="143" t="s">
        <v>714</v>
      </c>
      <c r="M907" s="143" t="s">
        <v>91</v>
      </c>
    </row>
    <row r="908" spans="2:13" x14ac:dyDescent="0.35">
      <c r="B908" s="145">
        <v>46044</v>
      </c>
      <c r="C908" s="146">
        <v>46044</v>
      </c>
      <c r="D908" s="147" t="s">
        <v>184</v>
      </c>
      <c r="E908" s="148">
        <v>699</v>
      </c>
      <c r="F908" s="147" t="s">
        <v>1449</v>
      </c>
      <c r="G908" s="147" t="s">
        <v>326</v>
      </c>
      <c r="H908" s="149">
        <v>0</v>
      </c>
      <c r="I908" s="149">
        <v>650000</v>
      </c>
      <c r="J908" s="141">
        <f>+J907+Tabla69[[#This Row],[DEBE]]-Tabla69[[#This Row],[HABER]]</f>
        <v>-350589450.35000002</v>
      </c>
      <c r="K908" s="142" t="s">
        <v>872</v>
      </c>
      <c r="L908" s="143" t="s">
        <v>714</v>
      </c>
      <c r="M908" s="143" t="s">
        <v>91</v>
      </c>
    </row>
    <row r="909" spans="2:13" x14ac:dyDescent="0.35">
      <c r="B909" s="145">
        <v>46044</v>
      </c>
      <c r="C909" s="146">
        <v>46044</v>
      </c>
      <c r="D909" s="147" t="s">
        <v>184</v>
      </c>
      <c r="E909" s="148">
        <v>700</v>
      </c>
      <c r="F909" s="147" t="s">
        <v>1334</v>
      </c>
      <c r="G909" s="147" t="s">
        <v>408</v>
      </c>
      <c r="H909" s="149">
        <v>0</v>
      </c>
      <c r="I909" s="149">
        <v>1464162.05</v>
      </c>
      <c r="J909" s="141">
        <f>+J908+Tabla69[[#This Row],[DEBE]]-Tabla69[[#This Row],[HABER]]</f>
        <v>-352053612.40000004</v>
      </c>
      <c r="K909" s="142" t="s">
        <v>872</v>
      </c>
      <c r="L909" s="143" t="s">
        <v>714</v>
      </c>
      <c r="M909" s="143" t="s">
        <v>91</v>
      </c>
    </row>
    <row r="910" spans="2:13" x14ac:dyDescent="0.35">
      <c r="B910" s="145">
        <v>46044</v>
      </c>
      <c r="C910" s="146">
        <v>46044</v>
      </c>
      <c r="D910" s="147" t="s">
        <v>184</v>
      </c>
      <c r="E910" s="148">
        <v>701</v>
      </c>
      <c r="F910" s="147" t="s">
        <v>1403</v>
      </c>
      <c r="G910" s="147" t="s">
        <v>409</v>
      </c>
      <c r="H910" s="149">
        <v>0</v>
      </c>
      <c r="I910" s="149">
        <v>432000</v>
      </c>
      <c r="J910" s="141">
        <f>+J909+Tabla69[[#This Row],[DEBE]]-Tabla69[[#This Row],[HABER]]</f>
        <v>-352485612.40000004</v>
      </c>
      <c r="K910" s="142" t="s">
        <v>872</v>
      </c>
      <c r="L910" s="143" t="s">
        <v>714</v>
      </c>
      <c r="M910" s="143" t="s">
        <v>91</v>
      </c>
    </row>
    <row r="911" spans="2:13" x14ac:dyDescent="0.35">
      <c r="B911" s="145">
        <v>46044</v>
      </c>
      <c r="C911" s="146">
        <v>46044</v>
      </c>
      <c r="D911" s="147" t="s">
        <v>184</v>
      </c>
      <c r="E911" s="148">
        <v>702</v>
      </c>
      <c r="F911" s="147" t="s">
        <v>1422</v>
      </c>
      <c r="G911" s="147" t="s">
        <v>326</v>
      </c>
      <c r="H911" s="149">
        <v>0</v>
      </c>
      <c r="I911" s="149">
        <v>544479.98</v>
      </c>
      <c r="J911" s="141">
        <f>+J910+Tabla69[[#This Row],[DEBE]]-Tabla69[[#This Row],[HABER]]</f>
        <v>-353030092.38000005</v>
      </c>
      <c r="K911" s="142" t="s">
        <v>872</v>
      </c>
      <c r="L911" s="143" t="s">
        <v>714</v>
      </c>
      <c r="M911" s="143" t="s">
        <v>91</v>
      </c>
    </row>
    <row r="912" spans="2:13" x14ac:dyDescent="0.35">
      <c r="B912" s="145">
        <v>46044</v>
      </c>
      <c r="C912" s="146">
        <v>46044</v>
      </c>
      <c r="D912" s="147" t="s">
        <v>184</v>
      </c>
      <c r="E912" s="148">
        <v>703</v>
      </c>
      <c r="F912" s="147" t="s">
        <v>1450</v>
      </c>
      <c r="G912" s="147" t="s">
        <v>410</v>
      </c>
      <c r="H912" s="149">
        <v>0</v>
      </c>
      <c r="I912" s="149">
        <v>1073925</v>
      </c>
      <c r="J912" s="141">
        <f>+J911+Tabla69[[#This Row],[DEBE]]-Tabla69[[#This Row],[HABER]]</f>
        <v>-354104017.38000005</v>
      </c>
      <c r="K912" s="142" t="s">
        <v>872</v>
      </c>
      <c r="L912" s="143" t="s">
        <v>714</v>
      </c>
      <c r="M912" s="143" t="s">
        <v>91</v>
      </c>
    </row>
    <row r="913" spans="2:13" x14ac:dyDescent="0.35">
      <c r="B913" s="145">
        <v>46044</v>
      </c>
      <c r="C913" s="146">
        <v>46044</v>
      </c>
      <c r="D913" s="147" t="s">
        <v>184</v>
      </c>
      <c r="E913" s="148">
        <v>704</v>
      </c>
      <c r="F913" s="147" t="s">
        <v>1407</v>
      </c>
      <c r="G913" s="147" t="s">
        <v>411</v>
      </c>
      <c r="H913" s="149">
        <v>0</v>
      </c>
      <c r="I913" s="149">
        <v>850000</v>
      </c>
      <c r="J913" s="141">
        <f>+J912+Tabla69[[#This Row],[DEBE]]-Tabla69[[#This Row],[HABER]]</f>
        <v>-354954017.38000005</v>
      </c>
      <c r="K913" s="142" t="s">
        <v>872</v>
      </c>
      <c r="L913" s="143" t="s">
        <v>714</v>
      </c>
      <c r="M913" s="143" t="s">
        <v>91</v>
      </c>
    </row>
    <row r="914" spans="2:13" x14ac:dyDescent="0.35">
      <c r="B914" s="145">
        <v>46044</v>
      </c>
      <c r="C914" s="146">
        <v>46044</v>
      </c>
      <c r="D914" s="147" t="s">
        <v>184</v>
      </c>
      <c r="E914" s="148">
        <v>705</v>
      </c>
      <c r="F914" s="147" t="s">
        <v>1074</v>
      </c>
      <c r="G914" s="147" t="s">
        <v>321</v>
      </c>
      <c r="H914" s="149">
        <v>0</v>
      </c>
      <c r="I914" s="149">
        <v>493740.04</v>
      </c>
      <c r="J914" s="141">
        <f>+J913+Tabla69[[#This Row],[DEBE]]-Tabla69[[#This Row],[HABER]]</f>
        <v>-355447757.42000008</v>
      </c>
      <c r="K914" s="142" t="s">
        <v>872</v>
      </c>
      <c r="L914" s="143" t="s">
        <v>714</v>
      </c>
      <c r="M914" s="143" t="s">
        <v>91</v>
      </c>
    </row>
    <row r="915" spans="2:13" x14ac:dyDescent="0.35">
      <c r="B915" s="145">
        <v>46044</v>
      </c>
      <c r="C915" s="146">
        <v>46044</v>
      </c>
      <c r="D915" s="147" t="s">
        <v>184</v>
      </c>
      <c r="E915" s="148">
        <v>706</v>
      </c>
      <c r="F915" s="147" t="s">
        <v>1421</v>
      </c>
      <c r="G915" s="147" t="s">
        <v>321</v>
      </c>
      <c r="H915" s="149">
        <v>0</v>
      </c>
      <c r="I915" s="149">
        <v>729075.75</v>
      </c>
      <c r="J915" s="141">
        <f>+J914+Tabla69[[#This Row],[DEBE]]-Tabla69[[#This Row],[HABER]]</f>
        <v>-356176833.17000008</v>
      </c>
      <c r="K915" s="142" t="s">
        <v>872</v>
      </c>
      <c r="L915" s="143" t="s">
        <v>714</v>
      </c>
      <c r="M915" s="143" t="s">
        <v>91</v>
      </c>
    </row>
    <row r="916" spans="2:13" x14ac:dyDescent="0.35">
      <c r="B916" s="145">
        <v>46044</v>
      </c>
      <c r="C916" s="146">
        <v>46044</v>
      </c>
      <c r="D916" s="147" t="s">
        <v>184</v>
      </c>
      <c r="E916" s="148">
        <v>707</v>
      </c>
      <c r="F916" s="147" t="s">
        <v>1415</v>
      </c>
      <c r="G916" s="147" t="s">
        <v>321</v>
      </c>
      <c r="H916" s="149">
        <v>0</v>
      </c>
      <c r="I916" s="149">
        <v>567915.22</v>
      </c>
      <c r="J916" s="141">
        <f>+J915+Tabla69[[#This Row],[DEBE]]-Tabla69[[#This Row],[HABER]]</f>
        <v>-356744748.3900001</v>
      </c>
      <c r="K916" s="142" t="s">
        <v>872</v>
      </c>
      <c r="L916" s="143" t="s">
        <v>714</v>
      </c>
      <c r="M916" s="143" t="s">
        <v>91</v>
      </c>
    </row>
    <row r="917" spans="2:13" x14ac:dyDescent="0.35">
      <c r="B917" s="145">
        <v>46044</v>
      </c>
      <c r="C917" s="146">
        <v>46044</v>
      </c>
      <c r="D917" s="147" t="s">
        <v>184</v>
      </c>
      <c r="E917" s="148">
        <v>708</v>
      </c>
      <c r="F917" s="147" t="s">
        <v>1092</v>
      </c>
      <c r="G917" s="147"/>
      <c r="H917" s="149">
        <v>0</v>
      </c>
      <c r="I917" s="149">
        <v>200000</v>
      </c>
      <c r="J917" s="141">
        <f>+J916+Tabla69[[#This Row],[DEBE]]-Tabla69[[#This Row],[HABER]]</f>
        <v>-356944748.3900001</v>
      </c>
      <c r="K917" s="142" t="s">
        <v>872</v>
      </c>
      <c r="L917" s="143" t="s">
        <v>714</v>
      </c>
      <c r="M917" s="143" t="s">
        <v>91</v>
      </c>
    </row>
    <row r="918" spans="2:13" x14ac:dyDescent="0.35">
      <c r="B918" s="145">
        <v>46044</v>
      </c>
      <c r="C918" s="146">
        <v>46044</v>
      </c>
      <c r="D918" s="147" t="s">
        <v>184</v>
      </c>
      <c r="E918" s="148">
        <v>709</v>
      </c>
      <c r="F918" s="147" t="s">
        <v>1082</v>
      </c>
      <c r="G918" s="147"/>
      <c r="H918" s="149">
        <v>0</v>
      </c>
      <c r="I918" s="149">
        <v>200000</v>
      </c>
      <c r="J918" s="141">
        <f>+J917+Tabla69[[#This Row],[DEBE]]-Tabla69[[#This Row],[HABER]]</f>
        <v>-357144748.3900001</v>
      </c>
      <c r="K918" s="142" t="s">
        <v>872</v>
      </c>
      <c r="L918" s="143" t="s">
        <v>714</v>
      </c>
      <c r="M918" s="143" t="s">
        <v>91</v>
      </c>
    </row>
    <row r="919" spans="2:13" x14ac:dyDescent="0.35">
      <c r="B919" s="145">
        <v>46044</v>
      </c>
      <c r="C919" s="146">
        <v>46044</v>
      </c>
      <c r="D919" s="147" t="s">
        <v>184</v>
      </c>
      <c r="E919" s="148">
        <v>710</v>
      </c>
      <c r="F919" s="147" t="s">
        <v>1373</v>
      </c>
      <c r="G919" s="147"/>
      <c r="H919" s="149">
        <v>0</v>
      </c>
      <c r="I919" s="149">
        <v>200000</v>
      </c>
      <c r="J919" s="141">
        <f>+J918+Tabla69[[#This Row],[DEBE]]-Tabla69[[#This Row],[HABER]]</f>
        <v>-357344748.3900001</v>
      </c>
      <c r="K919" s="142" t="s">
        <v>872</v>
      </c>
      <c r="L919" s="143" t="s">
        <v>714</v>
      </c>
      <c r="M919" s="143" t="s">
        <v>91</v>
      </c>
    </row>
    <row r="920" spans="2:13" x14ac:dyDescent="0.35">
      <c r="B920" s="145">
        <v>46044</v>
      </c>
      <c r="C920" s="146">
        <v>46044</v>
      </c>
      <c r="D920" s="147" t="s">
        <v>184</v>
      </c>
      <c r="E920" s="148">
        <v>711</v>
      </c>
      <c r="F920" s="147" t="s">
        <v>1098</v>
      </c>
      <c r="G920" s="147"/>
      <c r="H920" s="149">
        <v>0</v>
      </c>
      <c r="I920" s="149">
        <v>200000</v>
      </c>
      <c r="J920" s="141">
        <f>+J919+Tabla69[[#This Row],[DEBE]]-Tabla69[[#This Row],[HABER]]</f>
        <v>-357544748.3900001</v>
      </c>
      <c r="K920" s="142" t="s">
        <v>872</v>
      </c>
      <c r="L920" s="143" t="s">
        <v>714</v>
      </c>
      <c r="M920" s="143" t="s">
        <v>91</v>
      </c>
    </row>
    <row r="921" spans="2:13" x14ac:dyDescent="0.35">
      <c r="B921" s="145">
        <v>46044</v>
      </c>
      <c r="C921" s="146">
        <v>46044</v>
      </c>
      <c r="D921" s="147" t="s">
        <v>184</v>
      </c>
      <c r="E921" s="148">
        <v>712</v>
      </c>
      <c r="F921" s="147" t="s">
        <v>1108</v>
      </c>
      <c r="G921" s="147"/>
      <c r="H921" s="149">
        <v>0</v>
      </c>
      <c r="I921" s="149">
        <v>200000</v>
      </c>
      <c r="J921" s="141">
        <f>+J920+Tabla69[[#This Row],[DEBE]]-Tabla69[[#This Row],[HABER]]</f>
        <v>-357744748.3900001</v>
      </c>
      <c r="K921" s="142" t="s">
        <v>872</v>
      </c>
      <c r="L921" s="143" t="s">
        <v>714</v>
      </c>
      <c r="M921" s="143" t="s">
        <v>91</v>
      </c>
    </row>
    <row r="922" spans="2:13" x14ac:dyDescent="0.35">
      <c r="B922" s="145">
        <v>46044</v>
      </c>
      <c r="C922" s="146">
        <v>46044</v>
      </c>
      <c r="D922" s="147" t="s">
        <v>184</v>
      </c>
      <c r="E922" s="148">
        <v>713</v>
      </c>
      <c r="F922" s="147" t="s">
        <v>1105</v>
      </c>
      <c r="G922" s="147"/>
      <c r="H922" s="149">
        <v>0</v>
      </c>
      <c r="I922" s="149">
        <v>200000</v>
      </c>
      <c r="J922" s="141">
        <f>+J921+Tabla69[[#This Row],[DEBE]]-Tabla69[[#This Row],[HABER]]</f>
        <v>-357944748.3900001</v>
      </c>
      <c r="K922" s="142" t="s">
        <v>872</v>
      </c>
      <c r="L922" s="143" t="s">
        <v>714</v>
      </c>
      <c r="M922" s="143" t="s">
        <v>91</v>
      </c>
    </row>
    <row r="923" spans="2:13" x14ac:dyDescent="0.35">
      <c r="B923" s="145">
        <v>46044</v>
      </c>
      <c r="C923" s="146">
        <v>46044</v>
      </c>
      <c r="D923" s="147" t="s">
        <v>184</v>
      </c>
      <c r="E923" s="148">
        <v>714</v>
      </c>
      <c r="F923" s="147" t="s">
        <v>1329</v>
      </c>
      <c r="G923" s="147"/>
      <c r="H923" s="149">
        <v>0</v>
      </c>
      <c r="I923" s="149">
        <v>200000</v>
      </c>
      <c r="J923" s="141">
        <f>+J922+Tabla69[[#This Row],[DEBE]]-Tabla69[[#This Row],[HABER]]</f>
        <v>-358144748.3900001</v>
      </c>
      <c r="K923" s="142" t="s">
        <v>872</v>
      </c>
      <c r="L923" s="143" t="s">
        <v>714</v>
      </c>
      <c r="M923" s="143" t="s">
        <v>91</v>
      </c>
    </row>
    <row r="924" spans="2:13" x14ac:dyDescent="0.35">
      <c r="B924" s="145">
        <v>46044</v>
      </c>
      <c r="C924" s="146">
        <v>46044</v>
      </c>
      <c r="D924" s="147" t="s">
        <v>184</v>
      </c>
      <c r="E924" s="148">
        <v>715</v>
      </c>
      <c r="F924" s="147" t="s">
        <v>1376</v>
      </c>
      <c r="G924" s="147"/>
      <c r="H924" s="149">
        <v>0</v>
      </c>
      <c r="I924" s="149">
        <v>200000</v>
      </c>
      <c r="J924" s="141">
        <f>+J923+Tabla69[[#This Row],[DEBE]]-Tabla69[[#This Row],[HABER]]</f>
        <v>-358344748.3900001</v>
      </c>
      <c r="K924" s="142" t="s">
        <v>872</v>
      </c>
      <c r="L924" s="143" t="s">
        <v>714</v>
      </c>
      <c r="M924" s="143" t="s">
        <v>91</v>
      </c>
    </row>
    <row r="925" spans="2:13" x14ac:dyDescent="0.35">
      <c r="B925" s="145">
        <v>46044</v>
      </c>
      <c r="C925" s="146">
        <v>46044</v>
      </c>
      <c r="D925" s="147" t="s">
        <v>184</v>
      </c>
      <c r="E925" s="148">
        <v>716</v>
      </c>
      <c r="F925" s="147" t="s">
        <v>1369</v>
      </c>
      <c r="G925" s="147"/>
      <c r="H925" s="149">
        <v>0</v>
      </c>
      <c r="I925" s="149">
        <v>200000</v>
      </c>
      <c r="J925" s="141">
        <f>+J924+Tabla69[[#This Row],[DEBE]]-Tabla69[[#This Row],[HABER]]</f>
        <v>-358544748.3900001</v>
      </c>
      <c r="K925" s="142" t="s">
        <v>872</v>
      </c>
      <c r="L925" s="143" t="s">
        <v>714</v>
      </c>
      <c r="M925" s="143" t="s">
        <v>91</v>
      </c>
    </row>
    <row r="926" spans="2:13" x14ac:dyDescent="0.35">
      <c r="B926" s="145">
        <v>46044</v>
      </c>
      <c r="C926" s="146">
        <v>46044</v>
      </c>
      <c r="D926" s="147" t="s">
        <v>184</v>
      </c>
      <c r="E926" s="148">
        <v>717</v>
      </c>
      <c r="F926" s="147" t="s">
        <v>1086</v>
      </c>
      <c r="G926" s="147"/>
      <c r="H926" s="149">
        <v>0</v>
      </c>
      <c r="I926" s="149">
        <v>200000</v>
      </c>
      <c r="J926" s="141">
        <f>+J925+Tabla69[[#This Row],[DEBE]]-Tabla69[[#This Row],[HABER]]</f>
        <v>-358744748.3900001</v>
      </c>
      <c r="K926" s="142" t="s">
        <v>872</v>
      </c>
      <c r="L926" s="143" t="s">
        <v>714</v>
      </c>
      <c r="M926" s="143" t="s">
        <v>91</v>
      </c>
    </row>
    <row r="927" spans="2:13" x14ac:dyDescent="0.35">
      <c r="B927" s="145">
        <v>46044</v>
      </c>
      <c r="C927" s="146">
        <v>46044</v>
      </c>
      <c r="D927" s="147" t="s">
        <v>184</v>
      </c>
      <c r="E927" s="148">
        <v>718</v>
      </c>
      <c r="F927" s="147" t="s">
        <v>1374</v>
      </c>
      <c r="G927" s="147"/>
      <c r="H927" s="149">
        <v>0</v>
      </c>
      <c r="I927" s="149">
        <v>200000</v>
      </c>
      <c r="J927" s="141">
        <f>+J926+Tabla69[[#This Row],[DEBE]]-Tabla69[[#This Row],[HABER]]</f>
        <v>-358944748.3900001</v>
      </c>
      <c r="K927" s="142" t="s">
        <v>872</v>
      </c>
      <c r="L927" s="143" t="s">
        <v>714</v>
      </c>
      <c r="M927" s="143" t="s">
        <v>91</v>
      </c>
    </row>
    <row r="928" spans="2:13" x14ac:dyDescent="0.35">
      <c r="B928" s="145">
        <v>46044</v>
      </c>
      <c r="C928" s="146">
        <v>46044</v>
      </c>
      <c r="D928" s="147" t="s">
        <v>184</v>
      </c>
      <c r="E928" s="148">
        <v>719</v>
      </c>
      <c r="F928" s="147" t="s">
        <v>1102</v>
      </c>
      <c r="G928" s="147"/>
      <c r="H928" s="149">
        <v>0</v>
      </c>
      <c r="I928" s="149">
        <v>200000</v>
      </c>
      <c r="J928" s="141">
        <f>+J927+Tabla69[[#This Row],[DEBE]]-Tabla69[[#This Row],[HABER]]</f>
        <v>-359144748.3900001</v>
      </c>
      <c r="K928" s="142" t="s">
        <v>872</v>
      </c>
      <c r="L928" s="143" t="s">
        <v>714</v>
      </c>
      <c r="M928" s="143" t="s">
        <v>91</v>
      </c>
    </row>
    <row r="929" spans="2:13" x14ac:dyDescent="0.35">
      <c r="B929" s="145">
        <v>46044</v>
      </c>
      <c r="C929" s="146">
        <v>46044</v>
      </c>
      <c r="D929" s="147" t="s">
        <v>184</v>
      </c>
      <c r="E929" s="148">
        <v>720</v>
      </c>
      <c r="F929" s="147" t="s">
        <v>1443</v>
      </c>
      <c r="G929" s="147" t="s">
        <v>320</v>
      </c>
      <c r="H929" s="149">
        <v>0</v>
      </c>
      <c r="I929" s="149">
        <v>451000</v>
      </c>
      <c r="J929" s="141">
        <f>+J928+Tabla69[[#This Row],[DEBE]]-Tabla69[[#This Row],[HABER]]</f>
        <v>-359595748.3900001</v>
      </c>
      <c r="K929" s="142" t="s">
        <v>872</v>
      </c>
      <c r="L929" s="143" t="s">
        <v>714</v>
      </c>
      <c r="M929" s="143" t="s">
        <v>91</v>
      </c>
    </row>
    <row r="930" spans="2:13" x14ac:dyDescent="0.35">
      <c r="B930" s="145">
        <v>46044</v>
      </c>
      <c r="C930" s="146">
        <v>46044</v>
      </c>
      <c r="D930" s="147" t="s">
        <v>184</v>
      </c>
      <c r="E930" s="148">
        <v>721</v>
      </c>
      <c r="F930" s="147" t="s">
        <v>1091</v>
      </c>
      <c r="G930" s="147"/>
      <c r="H930" s="149">
        <v>0</v>
      </c>
      <c r="I930" s="149">
        <v>200000</v>
      </c>
      <c r="J930" s="141">
        <f>+J929+Tabla69[[#This Row],[DEBE]]-Tabla69[[#This Row],[HABER]]</f>
        <v>-359795748.3900001</v>
      </c>
      <c r="K930" s="142" t="s">
        <v>872</v>
      </c>
      <c r="L930" s="143" t="s">
        <v>714</v>
      </c>
      <c r="M930" s="143" t="s">
        <v>91</v>
      </c>
    </row>
    <row r="931" spans="2:13" x14ac:dyDescent="0.35">
      <c r="B931" s="145">
        <v>46044</v>
      </c>
      <c r="C931" s="146">
        <v>46044</v>
      </c>
      <c r="D931" s="147" t="s">
        <v>184</v>
      </c>
      <c r="E931" s="148">
        <v>722</v>
      </c>
      <c r="F931" s="147" t="s">
        <v>1106</v>
      </c>
      <c r="G931" s="147"/>
      <c r="H931" s="149">
        <v>0</v>
      </c>
      <c r="I931" s="149">
        <v>200000</v>
      </c>
      <c r="J931" s="141">
        <f>+J930+Tabla69[[#This Row],[DEBE]]-Tabla69[[#This Row],[HABER]]</f>
        <v>-359995748.3900001</v>
      </c>
      <c r="K931" s="142" t="s">
        <v>872</v>
      </c>
      <c r="L931" s="143" t="s">
        <v>714</v>
      </c>
      <c r="M931" s="143" t="s">
        <v>91</v>
      </c>
    </row>
    <row r="932" spans="2:13" x14ac:dyDescent="0.35">
      <c r="B932" s="145">
        <v>46044</v>
      </c>
      <c r="C932" s="146">
        <v>46044</v>
      </c>
      <c r="D932" s="147" t="s">
        <v>184</v>
      </c>
      <c r="E932" s="148">
        <v>723</v>
      </c>
      <c r="F932" s="147" t="s">
        <v>1100</v>
      </c>
      <c r="G932" s="147"/>
      <c r="H932" s="149">
        <v>0</v>
      </c>
      <c r="I932" s="149">
        <v>200000</v>
      </c>
      <c r="J932" s="141">
        <f>+J931+Tabla69[[#This Row],[DEBE]]-Tabla69[[#This Row],[HABER]]</f>
        <v>-360195748.3900001</v>
      </c>
      <c r="K932" s="142" t="s">
        <v>872</v>
      </c>
      <c r="L932" s="143" t="s">
        <v>714</v>
      </c>
      <c r="M932" s="143" t="s">
        <v>91</v>
      </c>
    </row>
    <row r="933" spans="2:13" x14ac:dyDescent="0.35">
      <c r="B933" s="145">
        <v>46044</v>
      </c>
      <c r="C933" s="146">
        <v>46044</v>
      </c>
      <c r="D933" s="147" t="s">
        <v>184</v>
      </c>
      <c r="E933" s="148">
        <v>724</v>
      </c>
      <c r="F933" s="147" t="s">
        <v>1340</v>
      </c>
      <c r="G933" s="147"/>
      <c r="H933" s="149">
        <v>0</v>
      </c>
      <c r="I933" s="149">
        <v>200000</v>
      </c>
      <c r="J933" s="141">
        <f>+J932+Tabla69[[#This Row],[DEBE]]-Tabla69[[#This Row],[HABER]]</f>
        <v>-360395748.3900001</v>
      </c>
      <c r="K933" s="142" t="s">
        <v>872</v>
      </c>
      <c r="L933" s="143" t="s">
        <v>714</v>
      </c>
      <c r="M933" s="143" t="s">
        <v>91</v>
      </c>
    </row>
    <row r="934" spans="2:13" x14ac:dyDescent="0.35">
      <c r="B934" s="145">
        <v>46044</v>
      </c>
      <c r="C934" s="146">
        <v>46044</v>
      </c>
      <c r="D934" s="147" t="s">
        <v>184</v>
      </c>
      <c r="E934" s="148">
        <v>725</v>
      </c>
      <c r="F934" s="147" t="s">
        <v>1375</v>
      </c>
      <c r="G934" s="147"/>
      <c r="H934" s="149">
        <v>0</v>
      </c>
      <c r="I934" s="149">
        <v>200000</v>
      </c>
      <c r="J934" s="141">
        <f>+J933+Tabla69[[#This Row],[DEBE]]-Tabla69[[#This Row],[HABER]]</f>
        <v>-360595748.3900001</v>
      </c>
      <c r="K934" s="142" t="s">
        <v>872</v>
      </c>
      <c r="L934" s="143" t="s">
        <v>714</v>
      </c>
      <c r="M934" s="143" t="s">
        <v>91</v>
      </c>
    </row>
    <row r="935" spans="2:13" x14ac:dyDescent="0.35">
      <c r="B935" s="145">
        <v>46044</v>
      </c>
      <c r="C935" s="146">
        <v>46044</v>
      </c>
      <c r="D935" s="147" t="s">
        <v>184</v>
      </c>
      <c r="E935" s="148">
        <v>726</v>
      </c>
      <c r="F935" s="147" t="s">
        <v>1099</v>
      </c>
      <c r="G935" s="147" t="s">
        <v>412</v>
      </c>
      <c r="H935" s="149">
        <v>0</v>
      </c>
      <c r="I935" s="149">
        <v>200000</v>
      </c>
      <c r="J935" s="141">
        <f>+J934+Tabla69[[#This Row],[DEBE]]-Tabla69[[#This Row],[HABER]]</f>
        <v>-360795748.3900001</v>
      </c>
      <c r="K935" s="142" t="s">
        <v>872</v>
      </c>
      <c r="L935" s="143" t="s">
        <v>714</v>
      </c>
      <c r="M935" s="143" t="s">
        <v>91</v>
      </c>
    </row>
    <row r="936" spans="2:13" x14ac:dyDescent="0.35">
      <c r="B936" s="145">
        <v>46044</v>
      </c>
      <c r="C936" s="146">
        <v>46044</v>
      </c>
      <c r="D936" s="147" t="s">
        <v>184</v>
      </c>
      <c r="E936" s="148">
        <v>727</v>
      </c>
      <c r="F936" s="147" t="s">
        <v>1118</v>
      </c>
      <c r="G936" s="147" t="s">
        <v>326</v>
      </c>
      <c r="H936" s="149">
        <v>0</v>
      </c>
      <c r="I936" s="149">
        <v>200000</v>
      </c>
      <c r="J936" s="141">
        <f>+J935+Tabla69[[#This Row],[DEBE]]-Tabla69[[#This Row],[HABER]]</f>
        <v>-360995748.3900001</v>
      </c>
      <c r="K936" s="142" t="s">
        <v>872</v>
      </c>
      <c r="L936" s="143" t="s">
        <v>714</v>
      </c>
      <c r="M936" s="143" t="s">
        <v>91</v>
      </c>
    </row>
    <row r="937" spans="2:13" x14ac:dyDescent="0.35">
      <c r="B937" s="145">
        <v>46044</v>
      </c>
      <c r="C937" s="146">
        <v>46044</v>
      </c>
      <c r="D937" s="147" t="s">
        <v>184</v>
      </c>
      <c r="E937" s="148">
        <v>728</v>
      </c>
      <c r="F937" s="147" t="s">
        <v>1370</v>
      </c>
      <c r="G937" s="147" t="s">
        <v>326</v>
      </c>
      <c r="H937" s="149">
        <v>0</v>
      </c>
      <c r="I937" s="149">
        <v>200000</v>
      </c>
      <c r="J937" s="141">
        <f>+J936+Tabla69[[#This Row],[DEBE]]-Tabla69[[#This Row],[HABER]]</f>
        <v>-361195748.3900001</v>
      </c>
      <c r="K937" s="142" t="s">
        <v>872</v>
      </c>
      <c r="L937" s="143" t="s">
        <v>714</v>
      </c>
      <c r="M937" s="143" t="s">
        <v>91</v>
      </c>
    </row>
    <row r="938" spans="2:13" x14ac:dyDescent="0.35">
      <c r="B938" s="145">
        <v>46044</v>
      </c>
      <c r="C938" s="146">
        <v>46044</v>
      </c>
      <c r="D938" s="147" t="s">
        <v>184</v>
      </c>
      <c r="E938" s="148">
        <v>729</v>
      </c>
      <c r="F938" s="147" t="s">
        <v>1378</v>
      </c>
      <c r="G938" s="147" t="s">
        <v>326</v>
      </c>
      <c r="H938" s="149">
        <v>0</v>
      </c>
      <c r="I938" s="149">
        <v>200000</v>
      </c>
      <c r="J938" s="141">
        <f>+J937+Tabla69[[#This Row],[DEBE]]-Tabla69[[#This Row],[HABER]]</f>
        <v>-361395748.3900001</v>
      </c>
      <c r="K938" s="142" t="s">
        <v>872</v>
      </c>
      <c r="L938" s="143" t="s">
        <v>714</v>
      </c>
      <c r="M938" s="143" t="s">
        <v>91</v>
      </c>
    </row>
    <row r="939" spans="2:13" x14ac:dyDescent="0.35">
      <c r="B939" s="145">
        <v>46044</v>
      </c>
      <c r="C939" s="146">
        <v>46044</v>
      </c>
      <c r="D939" s="147" t="s">
        <v>184</v>
      </c>
      <c r="E939" s="148">
        <v>730</v>
      </c>
      <c r="F939" s="147" t="s">
        <v>1113</v>
      </c>
      <c r="G939" s="147" t="s">
        <v>326</v>
      </c>
      <c r="H939" s="149">
        <v>0</v>
      </c>
      <c r="I939" s="149">
        <v>200000</v>
      </c>
      <c r="J939" s="141">
        <f>+J938+Tabla69[[#This Row],[DEBE]]-Tabla69[[#This Row],[HABER]]</f>
        <v>-361595748.3900001</v>
      </c>
      <c r="K939" s="142" t="s">
        <v>872</v>
      </c>
      <c r="L939" s="143" t="s">
        <v>714</v>
      </c>
      <c r="M939" s="143" t="s">
        <v>91</v>
      </c>
    </row>
    <row r="940" spans="2:13" x14ac:dyDescent="0.35">
      <c r="B940" s="145">
        <v>46044</v>
      </c>
      <c r="C940" s="146">
        <v>46044</v>
      </c>
      <c r="D940" s="147" t="s">
        <v>184</v>
      </c>
      <c r="E940" s="148">
        <v>731</v>
      </c>
      <c r="F940" s="147" t="s">
        <v>1413</v>
      </c>
      <c r="G940" s="147" t="s">
        <v>413</v>
      </c>
      <c r="H940" s="149">
        <v>0</v>
      </c>
      <c r="I940" s="149">
        <v>200000</v>
      </c>
      <c r="J940" s="141">
        <f>+J939+Tabla69[[#This Row],[DEBE]]-Tabla69[[#This Row],[HABER]]</f>
        <v>-361795748.3900001</v>
      </c>
      <c r="K940" s="142" t="s">
        <v>872</v>
      </c>
      <c r="L940" s="143" t="s">
        <v>714</v>
      </c>
      <c r="M940" s="143" t="s">
        <v>91</v>
      </c>
    </row>
    <row r="941" spans="2:13" x14ac:dyDescent="0.35">
      <c r="B941" s="145">
        <v>46044</v>
      </c>
      <c r="C941" s="146">
        <v>46044</v>
      </c>
      <c r="D941" s="147" t="s">
        <v>184</v>
      </c>
      <c r="E941" s="148">
        <v>732</v>
      </c>
      <c r="F941" s="147" t="s">
        <v>1111</v>
      </c>
      <c r="G941" s="147" t="s">
        <v>326</v>
      </c>
      <c r="H941" s="149">
        <v>0</v>
      </c>
      <c r="I941" s="149">
        <v>200000</v>
      </c>
      <c r="J941" s="141">
        <f>+J940+Tabla69[[#This Row],[DEBE]]-Tabla69[[#This Row],[HABER]]</f>
        <v>-361995748.3900001</v>
      </c>
      <c r="K941" s="142" t="s">
        <v>872</v>
      </c>
      <c r="L941" s="143" t="s">
        <v>714</v>
      </c>
      <c r="M941" s="143" t="s">
        <v>91</v>
      </c>
    </row>
    <row r="942" spans="2:13" x14ac:dyDescent="0.35">
      <c r="B942" s="145">
        <v>46044</v>
      </c>
      <c r="C942" s="146">
        <v>46044</v>
      </c>
      <c r="D942" s="147" t="s">
        <v>184</v>
      </c>
      <c r="E942" s="148">
        <v>733</v>
      </c>
      <c r="F942" s="147" t="s">
        <v>1449</v>
      </c>
      <c r="G942" s="147" t="s">
        <v>414</v>
      </c>
      <c r="H942" s="149">
        <v>0</v>
      </c>
      <c r="I942" s="149">
        <v>200000</v>
      </c>
      <c r="J942" s="141">
        <f>+J941+Tabla69[[#This Row],[DEBE]]-Tabla69[[#This Row],[HABER]]</f>
        <v>-362195748.3900001</v>
      </c>
      <c r="K942" s="142" t="s">
        <v>872</v>
      </c>
      <c r="L942" s="143" t="s">
        <v>714</v>
      </c>
      <c r="M942" s="143" t="s">
        <v>91</v>
      </c>
    </row>
    <row r="943" spans="2:13" x14ac:dyDescent="0.35">
      <c r="B943" s="145">
        <v>46044</v>
      </c>
      <c r="C943" s="146">
        <v>46044</v>
      </c>
      <c r="D943" s="147" t="s">
        <v>184</v>
      </c>
      <c r="E943" s="148">
        <v>734</v>
      </c>
      <c r="F943" s="147" t="s">
        <v>1115</v>
      </c>
      <c r="G943" s="147" t="s">
        <v>326</v>
      </c>
      <c r="H943" s="149">
        <v>0</v>
      </c>
      <c r="I943" s="149">
        <v>200000</v>
      </c>
      <c r="J943" s="141">
        <f>+J942+Tabla69[[#This Row],[DEBE]]-Tabla69[[#This Row],[HABER]]</f>
        <v>-362395748.3900001</v>
      </c>
      <c r="K943" s="142" t="s">
        <v>872</v>
      </c>
      <c r="L943" s="143" t="s">
        <v>714</v>
      </c>
      <c r="M943" s="143" t="s">
        <v>91</v>
      </c>
    </row>
    <row r="944" spans="2:13" x14ac:dyDescent="0.35">
      <c r="B944" s="145">
        <v>46044</v>
      </c>
      <c r="C944" s="146">
        <v>46044</v>
      </c>
      <c r="D944" s="147" t="s">
        <v>184</v>
      </c>
      <c r="E944" s="148">
        <v>735</v>
      </c>
      <c r="F944" s="147" t="s">
        <v>1417</v>
      </c>
      <c r="G944" s="147" t="s">
        <v>415</v>
      </c>
      <c r="H944" s="149">
        <v>0</v>
      </c>
      <c r="I944" s="149">
        <v>200000</v>
      </c>
      <c r="J944" s="141">
        <f>+J943+Tabla69[[#This Row],[DEBE]]-Tabla69[[#This Row],[HABER]]</f>
        <v>-362595748.3900001</v>
      </c>
      <c r="K944" s="142" t="s">
        <v>872</v>
      </c>
      <c r="L944" s="143" t="s">
        <v>714</v>
      </c>
      <c r="M944" s="143" t="s">
        <v>91</v>
      </c>
    </row>
    <row r="945" spans="2:13" x14ac:dyDescent="0.35">
      <c r="B945" s="145">
        <v>46044</v>
      </c>
      <c r="C945" s="146">
        <v>46044</v>
      </c>
      <c r="D945" s="147" t="s">
        <v>184</v>
      </c>
      <c r="E945" s="148">
        <v>736</v>
      </c>
      <c r="F945" s="147" t="s">
        <v>1084</v>
      </c>
      <c r="G945" s="147" t="s">
        <v>326</v>
      </c>
      <c r="H945" s="149">
        <v>0</v>
      </c>
      <c r="I945" s="149">
        <v>200000</v>
      </c>
      <c r="J945" s="141">
        <f>+J944+Tabla69[[#This Row],[DEBE]]-Tabla69[[#This Row],[HABER]]</f>
        <v>-362795748.3900001</v>
      </c>
      <c r="K945" s="142" t="s">
        <v>872</v>
      </c>
      <c r="L945" s="143" t="s">
        <v>714</v>
      </c>
      <c r="M945" s="143" t="s">
        <v>91</v>
      </c>
    </row>
    <row r="946" spans="2:13" x14ac:dyDescent="0.35">
      <c r="B946" s="145">
        <v>46044</v>
      </c>
      <c r="C946" s="146">
        <v>46044</v>
      </c>
      <c r="D946" s="147" t="s">
        <v>184</v>
      </c>
      <c r="E946" s="148">
        <v>737</v>
      </c>
      <c r="F946" s="147" t="s">
        <v>1093</v>
      </c>
      <c r="G946" s="147" t="s">
        <v>416</v>
      </c>
      <c r="H946" s="149">
        <v>0</v>
      </c>
      <c r="I946" s="149">
        <v>200000</v>
      </c>
      <c r="J946" s="141">
        <f>+J945+Tabla69[[#This Row],[DEBE]]-Tabla69[[#This Row],[HABER]]</f>
        <v>-362995748.3900001</v>
      </c>
      <c r="K946" s="142" t="s">
        <v>872</v>
      </c>
      <c r="L946" s="143" t="s">
        <v>714</v>
      </c>
      <c r="M946" s="143" t="s">
        <v>91</v>
      </c>
    </row>
    <row r="947" spans="2:13" x14ac:dyDescent="0.35">
      <c r="B947" s="145">
        <v>46044</v>
      </c>
      <c r="C947" s="146">
        <v>46044</v>
      </c>
      <c r="D947" s="147" t="s">
        <v>184</v>
      </c>
      <c r="E947" s="148">
        <v>738</v>
      </c>
      <c r="F947" s="147" t="s">
        <v>1110</v>
      </c>
      <c r="G947" s="147" t="s">
        <v>326</v>
      </c>
      <c r="H947" s="149">
        <v>0</v>
      </c>
      <c r="I947" s="149">
        <v>200000</v>
      </c>
      <c r="J947" s="141">
        <f>+J946+Tabla69[[#This Row],[DEBE]]-Tabla69[[#This Row],[HABER]]</f>
        <v>-363195748.3900001</v>
      </c>
      <c r="K947" s="142" t="s">
        <v>872</v>
      </c>
      <c r="L947" s="143" t="s">
        <v>714</v>
      </c>
      <c r="M947" s="143" t="s">
        <v>91</v>
      </c>
    </row>
    <row r="948" spans="2:13" x14ac:dyDescent="0.35">
      <c r="B948" s="145">
        <v>46044</v>
      </c>
      <c r="C948" s="146">
        <v>46044</v>
      </c>
      <c r="D948" s="147" t="s">
        <v>184</v>
      </c>
      <c r="E948" s="148">
        <v>739</v>
      </c>
      <c r="F948" s="147" t="s">
        <v>1326</v>
      </c>
      <c r="G948" s="147" t="s">
        <v>326</v>
      </c>
      <c r="H948" s="149">
        <v>0</v>
      </c>
      <c r="I948" s="149">
        <v>200000</v>
      </c>
      <c r="J948" s="141">
        <f>+J947+Tabla69[[#This Row],[DEBE]]-Tabla69[[#This Row],[HABER]]</f>
        <v>-363395748.3900001</v>
      </c>
      <c r="K948" s="142" t="s">
        <v>872</v>
      </c>
      <c r="L948" s="143" t="s">
        <v>714</v>
      </c>
      <c r="M948" s="143" t="s">
        <v>91</v>
      </c>
    </row>
    <row r="949" spans="2:13" x14ac:dyDescent="0.35">
      <c r="B949" s="145">
        <v>46044</v>
      </c>
      <c r="C949" s="146">
        <v>46044</v>
      </c>
      <c r="D949" s="147" t="s">
        <v>184</v>
      </c>
      <c r="E949" s="148">
        <v>740</v>
      </c>
      <c r="F949" s="147" t="s">
        <v>1434</v>
      </c>
      <c r="G949" s="147" t="s">
        <v>417</v>
      </c>
      <c r="H949" s="149">
        <v>0</v>
      </c>
      <c r="I949" s="149">
        <v>200000</v>
      </c>
      <c r="J949" s="141">
        <f>+J948+Tabla69[[#This Row],[DEBE]]-Tabla69[[#This Row],[HABER]]</f>
        <v>-363595748.3900001</v>
      </c>
      <c r="K949" s="142" t="s">
        <v>872</v>
      </c>
      <c r="L949" s="143" t="s">
        <v>714</v>
      </c>
      <c r="M949" s="143" t="s">
        <v>91</v>
      </c>
    </row>
    <row r="950" spans="2:13" x14ac:dyDescent="0.35">
      <c r="B950" s="145">
        <v>46044</v>
      </c>
      <c r="C950" s="146">
        <v>46044</v>
      </c>
      <c r="D950" s="147" t="s">
        <v>184</v>
      </c>
      <c r="E950" s="148">
        <v>741</v>
      </c>
      <c r="F950" s="147" t="s">
        <v>1088</v>
      </c>
      <c r="G950" s="147" t="s">
        <v>326</v>
      </c>
      <c r="H950" s="149">
        <v>0</v>
      </c>
      <c r="I950" s="149">
        <v>200000</v>
      </c>
      <c r="J950" s="141">
        <f>+J949+Tabla69[[#This Row],[DEBE]]-Tabla69[[#This Row],[HABER]]</f>
        <v>-363795748.3900001</v>
      </c>
      <c r="K950" s="142" t="s">
        <v>872</v>
      </c>
      <c r="L950" s="143" t="s">
        <v>714</v>
      </c>
      <c r="M950" s="143" t="s">
        <v>91</v>
      </c>
    </row>
    <row r="951" spans="2:13" x14ac:dyDescent="0.35">
      <c r="B951" s="145">
        <v>46044</v>
      </c>
      <c r="C951" s="146">
        <v>46044</v>
      </c>
      <c r="D951" s="147" t="s">
        <v>184</v>
      </c>
      <c r="E951" s="148">
        <v>742</v>
      </c>
      <c r="F951" s="147" t="s">
        <v>1431</v>
      </c>
      <c r="G951" s="147" t="s">
        <v>418</v>
      </c>
      <c r="H951" s="149">
        <v>0</v>
      </c>
      <c r="I951" s="149">
        <v>200000</v>
      </c>
      <c r="J951" s="141">
        <f>+J950+Tabla69[[#This Row],[DEBE]]-Tabla69[[#This Row],[HABER]]</f>
        <v>-363995748.3900001</v>
      </c>
      <c r="K951" s="142" t="s">
        <v>872</v>
      </c>
      <c r="L951" s="143" t="s">
        <v>714</v>
      </c>
      <c r="M951" s="143" t="s">
        <v>91</v>
      </c>
    </row>
    <row r="952" spans="2:13" x14ac:dyDescent="0.35">
      <c r="B952" s="145">
        <v>46044</v>
      </c>
      <c r="C952" s="146">
        <v>46044</v>
      </c>
      <c r="D952" s="147" t="s">
        <v>184</v>
      </c>
      <c r="E952" s="148">
        <v>743</v>
      </c>
      <c r="F952" s="147" t="s">
        <v>1418</v>
      </c>
      <c r="G952" s="147" t="s">
        <v>419</v>
      </c>
      <c r="H952" s="149">
        <v>0</v>
      </c>
      <c r="I952" s="149">
        <v>200000</v>
      </c>
      <c r="J952" s="141">
        <f>+J951+Tabla69[[#This Row],[DEBE]]-Tabla69[[#This Row],[HABER]]</f>
        <v>-364195748.3900001</v>
      </c>
      <c r="K952" s="142" t="s">
        <v>872</v>
      </c>
      <c r="L952" s="143" t="s">
        <v>714</v>
      </c>
      <c r="M952" s="143" t="s">
        <v>91</v>
      </c>
    </row>
    <row r="953" spans="2:13" x14ac:dyDescent="0.35">
      <c r="B953" s="165">
        <v>46044</v>
      </c>
      <c r="C953" s="166">
        <v>46044</v>
      </c>
      <c r="D953" s="167" t="s">
        <v>184</v>
      </c>
      <c r="E953" s="168">
        <v>744</v>
      </c>
      <c r="F953" s="167" t="s">
        <v>1122</v>
      </c>
      <c r="G953" s="167" t="s">
        <v>326</v>
      </c>
      <c r="H953" s="169">
        <v>0</v>
      </c>
      <c r="I953" s="169">
        <v>-200000</v>
      </c>
      <c r="J953" s="155">
        <f>+J952+Tabla69[[#This Row],[DEBE]]-Tabla69[[#This Row],[HABER]]</f>
        <v>-363995748.3900001</v>
      </c>
      <c r="K953" s="156" t="s">
        <v>871</v>
      </c>
      <c r="L953" s="157" t="s">
        <v>714</v>
      </c>
      <c r="M953" s="157"/>
    </row>
    <row r="954" spans="2:13" x14ac:dyDescent="0.35">
      <c r="B954" s="165">
        <v>46044</v>
      </c>
      <c r="C954" s="166">
        <v>46044</v>
      </c>
      <c r="D954" s="167" t="s">
        <v>184</v>
      </c>
      <c r="E954" s="168">
        <v>744</v>
      </c>
      <c r="F954" s="167" t="s">
        <v>1122</v>
      </c>
      <c r="G954" s="167" t="s">
        <v>326</v>
      </c>
      <c r="H954" s="169">
        <v>0</v>
      </c>
      <c r="I954" s="169">
        <v>200000</v>
      </c>
      <c r="J954" s="155">
        <f>+J953+Tabla69[[#This Row],[DEBE]]-Tabla69[[#This Row],[HABER]]</f>
        <v>-364195748.3900001</v>
      </c>
      <c r="K954" s="156" t="s">
        <v>871</v>
      </c>
      <c r="L954" s="157" t="s">
        <v>714</v>
      </c>
      <c r="M954" s="157"/>
    </row>
    <row r="955" spans="2:13" x14ac:dyDescent="0.35">
      <c r="B955" s="145">
        <v>46044</v>
      </c>
      <c r="C955" s="146">
        <v>46044</v>
      </c>
      <c r="D955" s="147" t="s">
        <v>184</v>
      </c>
      <c r="E955" s="148">
        <v>745</v>
      </c>
      <c r="F955" s="147" t="s">
        <v>1428</v>
      </c>
      <c r="G955" s="147" t="s">
        <v>420</v>
      </c>
      <c r="H955" s="149">
        <v>0</v>
      </c>
      <c r="I955" s="149">
        <v>200000</v>
      </c>
      <c r="J955" s="141">
        <f>+J954+Tabla69[[#This Row],[DEBE]]-Tabla69[[#This Row],[HABER]]</f>
        <v>-364395748.3900001</v>
      </c>
      <c r="K955" s="142" t="s">
        <v>872</v>
      </c>
      <c r="L955" s="143" t="s">
        <v>714</v>
      </c>
      <c r="M955" s="143" t="s">
        <v>91</v>
      </c>
    </row>
    <row r="956" spans="2:13" x14ac:dyDescent="0.35">
      <c r="B956" s="145">
        <v>46044</v>
      </c>
      <c r="C956" s="146">
        <v>46044</v>
      </c>
      <c r="D956" s="147" t="s">
        <v>184</v>
      </c>
      <c r="E956" s="148">
        <v>746</v>
      </c>
      <c r="F956" s="147" t="s">
        <v>1451</v>
      </c>
      <c r="G956" s="147" t="s">
        <v>421</v>
      </c>
      <c r="H956" s="149">
        <v>0</v>
      </c>
      <c r="I956" s="149">
        <v>200000</v>
      </c>
      <c r="J956" s="141">
        <f>+J955+Tabla69[[#This Row],[DEBE]]-Tabla69[[#This Row],[HABER]]</f>
        <v>-364595748.3900001</v>
      </c>
      <c r="K956" s="142" t="s">
        <v>872</v>
      </c>
      <c r="L956" s="143" t="s">
        <v>714</v>
      </c>
      <c r="M956" s="143" t="s">
        <v>91</v>
      </c>
    </row>
    <row r="957" spans="2:13" x14ac:dyDescent="0.35">
      <c r="B957" s="145">
        <v>46044</v>
      </c>
      <c r="C957" s="146">
        <v>46044</v>
      </c>
      <c r="D957" s="147" t="s">
        <v>184</v>
      </c>
      <c r="E957" s="148">
        <v>747</v>
      </c>
      <c r="F957" s="147" t="s">
        <v>1309</v>
      </c>
      <c r="G957" s="147" t="s">
        <v>326</v>
      </c>
      <c r="H957" s="149">
        <v>0</v>
      </c>
      <c r="I957" s="149">
        <v>200000</v>
      </c>
      <c r="J957" s="141">
        <f>+J956+Tabla69[[#This Row],[DEBE]]-Tabla69[[#This Row],[HABER]]</f>
        <v>-364795748.3900001</v>
      </c>
      <c r="K957" s="142" t="s">
        <v>872</v>
      </c>
      <c r="L957" s="143" t="s">
        <v>714</v>
      </c>
      <c r="M957" s="143" t="s">
        <v>91</v>
      </c>
    </row>
    <row r="958" spans="2:13" x14ac:dyDescent="0.35">
      <c r="B958" s="145">
        <v>46044</v>
      </c>
      <c r="C958" s="146">
        <v>46044</v>
      </c>
      <c r="D958" s="147" t="s">
        <v>184</v>
      </c>
      <c r="E958" s="148">
        <v>748</v>
      </c>
      <c r="F958" s="147" t="s">
        <v>1386</v>
      </c>
      <c r="G958" s="147" t="s">
        <v>422</v>
      </c>
      <c r="H958" s="149">
        <v>0</v>
      </c>
      <c r="I958" s="149">
        <v>200000</v>
      </c>
      <c r="J958" s="141">
        <f>+J957+Tabla69[[#This Row],[DEBE]]-Tabla69[[#This Row],[HABER]]</f>
        <v>-364995748.3900001</v>
      </c>
      <c r="K958" s="142" t="s">
        <v>872</v>
      </c>
      <c r="L958" s="143" t="s">
        <v>714</v>
      </c>
      <c r="M958" s="143" t="s">
        <v>91</v>
      </c>
    </row>
    <row r="959" spans="2:13" x14ac:dyDescent="0.35">
      <c r="B959" s="145">
        <v>46044</v>
      </c>
      <c r="C959" s="146">
        <v>46044</v>
      </c>
      <c r="D959" s="147" t="s">
        <v>184</v>
      </c>
      <c r="E959" s="148">
        <v>749</v>
      </c>
      <c r="F959" s="147" t="s">
        <v>1450</v>
      </c>
      <c r="G959" s="147" t="s">
        <v>423</v>
      </c>
      <c r="H959" s="149">
        <v>0</v>
      </c>
      <c r="I959" s="149">
        <v>200000</v>
      </c>
      <c r="J959" s="141">
        <f>+J958+Tabla69[[#This Row],[DEBE]]-Tabla69[[#This Row],[HABER]]</f>
        <v>-365195748.3900001</v>
      </c>
      <c r="K959" s="142" t="s">
        <v>872</v>
      </c>
      <c r="L959" s="143" t="s">
        <v>714</v>
      </c>
      <c r="M959" s="143" t="s">
        <v>91</v>
      </c>
    </row>
    <row r="960" spans="2:13" x14ac:dyDescent="0.35">
      <c r="B960" s="145">
        <v>46044</v>
      </c>
      <c r="C960" s="146">
        <v>46044</v>
      </c>
      <c r="D960" s="147" t="s">
        <v>184</v>
      </c>
      <c r="E960" s="148">
        <v>750</v>
      </c>
      <c r="F960" s="147" t="s">
        <v>1379</v>
      </c>
      <c r="G960" s="147" t="s">
        <v>326</v>
      </c>
      <c r="H960" s="149">
        <v>0</v>
      </c>
      <c r="I960" s="149">
        <v>200000</v>
      </c>
      <c r="J960" s="141">
        <f>+J959+Tabla69[[#This Row],[DEBE]]-Tabla69[[#This Row],[HABER]]</f>
        <v>-365395748.3900001</v>
      </c>
      <c r="K960" s="142" t="s">
        <v>872</v>
      </c>
      <c r="L960" s="143" t="s">
        <v>714</v>
      </c>
      <c r="M960" s="143" t="s">
        <v>91</v>
      </c>
    </row>
    <row r="961" spans="2:13" x14ac:dyDescent="0.35">
      <c r="B961" s="145">
        <v>46044</v>
      </c>
      <c r="C961" s="146">
        <v>46044</v>
      </c>
      <c r="D961" s="147" t="s">
        <v>184</v>
      </c>
      <c r="E961" s="148">
        <v>751</v>
      </c>
      <c r="F961" s="147" t="s">
        <v>1447</v>
      </c>
      <c r="G961" s="147" t="s">
        <v>424</v>
      </c>
      <c r="H961" s="149">
        <v>0</v>
      </c>
      <c r="I961" s="149">
        <v>310000</v>
      </c>
      <c r="J961" s="141">
        <f>+J960+Tabla69[[#This Row],[DEBE]]-Tabla69[[#This Row],[HABER]]</f>
        <v>-365705748.3900001</v>
      </c>
      <c r="K961" s="142" t="s">
        <v>872</v>
      </c>
      <c r="L961" s="143" t="s">
        <v>714</v>
      </c>
      <c r="M961" s="143" t="s">
        <v>91</v>
      </c>
    </row>
    <row r="962" spans="2:13" x14ac:dyDescent="0.35">
      <c r="B962" s="145">
        <v>46044</v>
      </c>
      <c r="C962" s="146">
        <v>46044</v>
      </c>
      <c r="D962" s="147" t="s">
        <v>184</v>
      </c>
      <c r="E962" s="148">
        <v>752</v>
      </c>
      <c r="F962" s="147" t="s">
        <v>1440</v>
      </c>
      <c r="G962" s="147" t="s">
        <v>425</v>
      </c>
      <c r="H962" s="149">
        <v>0</v>
      </c>
      <c r="I962" s="149">
        <v>200000</v>
      </c>
      <c r="J962" s="141">
        <f>+J961+Tabla69[[#This Row],[DEBE]]-Tabla69[[#This Row],[HABER]]</f>
        <v>-365905748.3900001</v>
      </c>
      <c r="K962" s="142" t="s">
        <v>872</v>
      </c>
      <c r="L962" s="143" t="s">
        <v>714</v>
      </c>
      <c r="M962" s="143" t="s">
        <v>91</v>
      </c>
    </row>
    <row r="963" spans="2:13" x14ac:dyDescent="0.35">
      <c r="B963" s="145">
        <v>46044</v>
      </c>
      <c r="C963" s="146">
        <v>46044</v>
      </c>
      <c r="D963" s="147" t="s">
        <v>184</v>
      </c>
      <c r="E963" s="148">
        <v>753</v>
      </c>
      <c r="F963" s="147" t="s">
        <v>1447</v>
      </c>
      <c r="G963" s="147" t="s">
        <v>426</v>
      </c>
      <c r="H963" s="149">
        <v>0</v>
      </c>
      <c r="I963" s="149">
        <v>200000</v>
      </c>
      <c r="J963" s="141">
        <f>+J962+Tabla69[[#This Row],[DEBE]]-Tabla69[[#This Row],[HABER]]</f>
        <v>-366105748.3900001</v>
      </c>
      <c r="K963" s="142" t="s">
        <v>872</v>
      </c>
      <c r="L963" s="143" t="s">
        <v>714</v>
      </c>
      <c r="M963" s="143" t="s">
        <v>91</v>
      </c>
    </row>
    <row r="964" spans="2:13" x14ac:dyDescent="0.35">
      <c r="B964" s="145">
        <v>46044</v>
      </c>
      <c r="C964" s="146">
        <v>46044</v>
      </c>
      <c r="D964" s="147" t="s">
        <v>184</v>
      </c>
      <c r="E964" s="148">
        <v>754</v>
      </c>
      <c r="F964" s="147" t="s">
        <v>1377</v>
      </c>
      <c r="G964" s="147" t="s">
        <v>326</v>
      </c>
      <c r="H964" s="149">
        <v>0</v>
      </c>
      <c r="I964" s="149">
        <v>200000</v>
      </c>
      <c r="J964" s="141">
        <f>+J963+Tabla69[[#This Row],[DEBE]]-Tabla69[[#This Row],[HABER]]</f>
        <v>-366305748.3900001</v>
      </c>
      <c r="K964" s="142" t="s">
        <v>872</v>
      </c>
      <c r="L964" s="143" t="s">
        <v>714</v>
      </c>
      <c r="M964" s="143" t="s">
        <v>91</v>
      </c>
    </row>
    <row r="965" spans="2:13" x14ac:dyDescent="0.35">
      <c r="B965" s="145">
        <v>46044</v>
      </c>
      <c r="C965" s="146">
        <v>46044</v>
      </c>
      <c r="D965" s="147" t="s">
        <v>184</v>
      </c>
      <c r="E965" s="148">
        <v>755</v>
      </c>
      <c r="F965" s="147" t="s">
        <v>1448</v>
      </c>
      <c r="G965" s="147" t="s">
        <v>427</v>
      </c>
      <c r="H965" s="149">
        <v>0</v>
      </c>
      <c r="I965" s="149">
        <v>200000</v>
      </c>
      <c r="J965" s="141">
        <f>+J964+Tabla69[[#This Row],[DEBE]]-Tabla69[[#This Row],[HABER]]</f>
        <v>-366505748.3900001</v>
      </c>
      <c r="K965" s="142" t="s">
        <v>872</v>
      </c>
      <c r="L965" s="143" t="s">
        <v>714</v>
      </c>
      <c r="M965" s="143" t="s">
        <v>91</v>
      </c>
    </row>
    <row r="966" spans="2:13" x14ac:dyDescent="0.35">
      <c r="B966" s="165">
        <v>46044</v>
      </c>
      <c r="C966" s="166">
        <v>46044</v>
      </c>
      <c r="D966" s="167" t="s">
        <v>184</v>
      </c>
      <c r="E966" s="168">
        <v>756</v>
      </c>
      <c r="F966" s="167" t="s">
        <v>1410</v>
      </c>
      <c r="G966" s="167" t="s">
        <v>428</v>
      </c>
      <c r="H966" s="169">
        <v>0</v>
      </c>
      <c r="I966" s="169">
        <v>-200000</v>
      </c>
      <c r="J966" s="155">
        <f>+J965+Tabla69[[#This Row],[DEBE]]-Tabla69[[#This Row],[HABER]]</f>
        <v>-366305748.3900001</v>
      </c>
      <c r="K966" s="156" t="s">
        <v>871</v>
      </c>
      <c r="L966" s="157" t="s">
        <v>714</v>
      </c>
      <c r="M966" s="157"/>
    </row>
    <row r="967" spans="2:13" x14ac:dyDescent="0.35">
      <c r="B967" s="165">
        <v>46044</v>
      </c>
      <c r="C967" s="166">
        <v>46044</v>
      </c>
      <c r="D967" s="167" t="s">
        <v>184</v>
      </c>
      <c r="E967" s="168">
        <v>756</v>
      </c>
      <c r="F967" s="167" t="s">
        <v>1410</v>
      </c>
      <c r="G967" s="167" t="s">
        <v>428</v>
      </c>
      <c r="H967" s="169">
        <v>0</v>
      </c>
      <c r="I967" s="169">
        <v>200000</v>
      </c>
      <c r="J967" s="155">
        <f>+J966+Tabla69[[#This Row],[DEBE]]-Tabla69[[#This Row],[HABER]]</f>
        <v>-366505748.3900001</v>
      </c>
      <c r="K967" s="156" t="s">
        <v>871</v>
      </c>
      <c r="L967" s="157" t="s">
        <v>714</v>
      </c>
      <c r="M967" s="157"/>
    </row>
    <row r="968" spans="2:13" x14ac:dyDescent="0.35">
      <c r="B968" s="165">
        <v>46044</v>
      </c>
      <c r="C968" s="166">
        <v>46044</v>
      </c>
      <c r="D968" s="167" t="s">
        <v>184</v>
      </c>
      <c r="E968" s="168">
        <v>757</v>
      </c>
      <c r="F968" s="167" t="s">
        <v>1122</v>
      </c>
      <c r="G968" s="167"/>
      <c r="H968" s="169">
        <v>0</v>
      </c>
      <c r="I968" s="169">
        <v>451000</v>
      </c>
      <c r="J968" s="155">
        <f>+J967+Tabla69[[#This Row],[DEBE]]-Tabla69[[#This Row],[HABER]]</f>
        <v>-366956748.3900001</v>
      </c>
      <c r="K968" s="156" t="s">
        <v>871</v>
      </c>
      <c r="L968" s="157" t="s">
        <v>714</v>
      </c>
      <c r="M968" s="157"/>
    </row>
    <row r="969" spans="2:13" x14ac:dyDescent="0.35">
      <c r="B969" s="165">
        <v>46044</v>
      </c>
      <c r="C969" s="166">
        <v>46044</v>
      </c>
      <c r="D969" s="167" t="s">
        <v>184</v>
      </c>
      <c r="E969" s="168">
        <v>757</v>
      </c>
      <c r="F969" s="167" t="s">
        <v>1122</v>
      </c>
      <c r="G969" s="167"/>
      <c r="H969" s="169">
        <v>0</v>
      </c>
      <c r="I969" s="169">
        <v>-451000</v>
      </c>
      <c r="J969" s="155">
        <f>+J968+Tabla69[[#This Row],[DEBE]]-Tabla69[[#This Row],[HABER]]</f>
        <v>-366505748.3900001</v>
      </c>
      <c r="K969" s="156" t="s">
        <v>871</v>
      </c>
      <c r="L969" s="157" t="s">
        <v>714</v>
      </c>
      <c r="M969" s="157"/>
    </row>
    <row r="970" spans="2:13" x14ac:dyDescent="0.35">
      <c r="B970" s="165">
        <v>46044</v>
      </c>
      <c r="C970" s="166">
        <v>46044</v>
      </c>
      <c r="D970" s="167" t="s">
        <v>184</v>
      </c>
      <c r="E970" s="168">
        <v>758</v>
      </c>
      <c r="F970" s="167" t="s">
        <v>1122</v>
      </c>
      <c r="G970" s="167" t="s">
        <v>326</v>
      </c>
      <c r="H970" s="169">
        <v>0</v>
      </c>
      <c r="I970" s="169">
        <v>-200000</v>
      </c>
      <c r="J970" s="155">
        <f>+J969+Tabla69[[#This Row],[DEBE]]-Tabla69[[#This Row],[HABER]]</f>
        <v>-366305748.3900001</v>
      </c>
      <c r="K970" s="156" t="s">
        <v>871</v>
      </c>
      <c r="L970" s="157" t="s">
        <v>714</v>
      </c>
      <c r="M970" s="157"/>
    </row>
    <row r="971" spans="2:13" x14ac:dyDescent="0.35">
      <c r="B971" s="165">
        <v>46044</v>
      </c>
      <c r="C971" s="166">
        <v>46044</v>
      </c>
      <c r="D971" s="167" t="s">
        <v>184</v>
      </c>
      <c r="E971" s="168">
        <v>758</v>
      </c>
      <c r="F971" s="167" t="s">
        <v>1122</v>
      </c>
      <c r="G971" s="167" t="s">
        <v>326</v>
      </c>
      <c r="H971" s="169">
        <v>0</v>
      </c>
      <c r="I971" s="169">
        <v>200000</v>
      </c>
      <c r="J971" s="155">
        <f>+J970+Tabla69[[#This Row],[DEBE]]-Tabla69[[#This Row],[HABER]]</f>
        <v>-366505748.3900001</v>
      </c>
      <c r="K971" s="156" t="s">
        <v>871</v>
      </c>
      <c r="L971" s="157" t="s">
        <v>714</v>
      </c>
      <c r="M971" s="157"/>
    </row>
    <row r="972" spans="2:13" x14ac:dyDescent="0.35">
      <c r="B972" s="145">
        <v>46044</v>
      </c>
      <c r="C972" s="146">
        <v>46044</v>
      </c>
      <c r="D972" s="147" t="s">
        <v>184</v>
      </c>
      <c r="E972" s="148">
        <v>759</v>
      </c>
      <c r="F972" s="147" t="s">
        <v>1410</v>
      </c>
      <c r="G972" s="147" t="s">
        <v>428</v>
      </c>
      <c r="H972" s="149">
        <v>0</v>
      </c>
      <c r="I972" s="149">
        <v>200000</v>
      </c>
      <c r="J972" s="141">
        <f>+J971+Tabla69[[#This Row],[DEBE]]-Tabla69[[#This Row],[HABER]]</f>
        <v>-366705748.3900001</v>
      </c>
      <c r="K972" s="142" t="s">
        <v>872</v>
      </c>
      <c r="L972" s="143" t="s">
        <v>714</v>
      </c>
      <c r="M972" s="143" t="s">
        <v>91</v>
      </c>
    </row>
    <row r="973" spans="2:13" x14ac:dyDescent="0.35">
      <c r="B973" s="145">
        <v>46044</v>
      </c>
      <c r="C973" s="146">
        <v>46044</v>
      </c>
      <c r="D973" s="147" t="s">
        <v>184</v>
      </c>
      <c r="E973" s="148">
        <v>760</v>
      </c>
      <c r="F973" s="147" t="s">
        <v>1410</v>
      </c>
      <c r="G973" s="147" t="s">
        <v>350</v>
      </c>
      <c r="H973" s="149">
        <v>0</v>
      </c>
      <c r="I973" s="149">
        <v>432735.93</v>
      </c>
      <c r="J973" s="141">
        <f>+J972+Tabla69[[#This Row],[DEBE]]-Tabla69[[#This Row],[HABER]]</f>
        <v>-367138484.32000011</v>
      </c>
      <c r="K973" s="142" t="s">
        <v>872</v>
      </c>
      <c r="L973" s="143" t="s">
        <v>714</v>
      </c>
      <c r="M973" s="143" t="s">
        <v>91</v>
      </c>
    </row>
    <row r="974" spans="2:13" x14ac:dyDescent="0.35">
      <c r="B974" s="145">
        <v>46044</v>
      </c>
      <c r="C974" s="146">
        <v>46044</v>
      </c>
      <c r="D974" s="147" t="s">
        <v>184</v>
      </c>
      <c r="E974" s="148">
        <v>761</v>
      </c>
      <c r="F974" s="147" t="s">
        <v>1527</v>
      </c>
      <c r="G974" s="147"/>
      <c r="H974" s="149">
        <v>0</v>
      </c>
      <c r="I974" s="149">
        <v>200000</v>
      </c>
      <c r="J974" s="141">
        <f>+J973+Tabla69[[#This Row],[DEBE]]-Tabla69[[#This Row],[HABER]]</f>
        <v>-367338484.32000011</v>
      </c>
      <c r="K974" s="142" t="s">
        <v>872</v>
      </c>
      <c r="L974" s="143" t="s">
        <v>714</v>
      </c>
      <c r="M974" s="143" t="s">
        <v>91</v>
      </c>
    </row>
    <row r="975" spans="2:13" x14ac:dyDescent="0.35">
      <c r="B975" s="145">
        <v>46044</v>
      </c>
      <c r="C975" s="146">
        <v>46044</v>
      </c>
      <c r="D975" s="147" t="s">
        <v>184</v>
      </c>
      <c r="E975" s="148">
        <v>762</v>
      </c>
      <c r="F975" s="147" t="s">
        <v>1337</v>
      </c>
      <c r="G975" s="147" t="s">
        <v>372</v>
      </c>
      <c r="H975" s="149">
        <v>0</v>
      </c>
      <c r="I975" s="149">
        <v>670800</v>
      </c>
      <c r="J975" s="141">
        <f>+J974+Tabla69[[#This Row],[DEBE]]-Tabla69[[#This Row],[HABER]]</f>
        <v>-368009284.32000011</v>
      </c>
      <c r="K975" s="142" t="s">
        <v>872</v>
      </c>
      <c r="L975" s="143" t="s">
        <v>714</v>
      </c>
      <c r="M975" s="143" t="s">
        <v>91</v>
      </c>
    </row>
    <row r="976" spans="2:13" x14ac:dyDescent="0.35">
      <c r="B976" s="145">
        <v>46044</v>
      </c>
      <c r="C976" s="146">
        <v>46044</v>
      </c>
      <c r="D976" s="147" t="s">
        <v>184</v>
      </c>
      <c r="E976" s="148">
        <v>763</v>
      </c>
      <c r="F976" s="147" t="s">
        <v>1437</v>
      </c>
      <c r="G976" s="147" t="s">
        <v>376</v>
      </c>
      <c r="H976" s="149">
        <v>0</v>
      </c>
      <c r="I976" s="149">
        <v>650000</v>
      </c>
      <c r="J976" s="141">
        <f>+J975+Tabla69[[#This Row],[DEBE]]-Tabla69[[#This Row],[HABER]]</f>
        <v>-368659284.32000011</v>
      </c>
      <c r="K976" s="142" t="s">
        <v>872</v>
      </c>
      <c r="L976" s="143" t="s">
        <v>714</v>
      </c>
      <c r="M976" s="143" t="s">
        <v>91</v>
      </c>
    </row>
    <row r="977" spans="2:13" x14ac:dyDescent="0.35">
      <c r="B977" s="145">
        <v>46044</v>
      </c>
      <c r="C977" s="146">
        <v>46044</v>
      </c>
      <c r="D977" s="147" t="s">
        <v>184</v>
      </c>
      <c r="E977" s="148">
        <v>764</v>
      </c>
      <c r="F977" s="147" t="s">
        <v>1437</v>
      </c>
      <c r="G977" s="147" t="s">
        <v>378</v>
      </c>
      <c r="H977" s="149">
        <v>0</v>
      </c>
      <c r="I977" s="149">
        <v>200000</v>
      </c>
      <c r="J977" s="141">
        <f>+J976+Tabla69[[#This Row],[DEBE]]-Tabla69[[#This Row],[HABER]]</f>
        <v>-368859284.32000011</v>
      </c>
      <c r="K977" s="142" t="s">
        <v>872</v>
      </c>
      <c r="L977" s="143" t="s">
        <v>714</v>
      </c>
      <c r="M977" s="143" t="s">
        <v>91</v>
      </c>
    </row>
    <row r="978" spans="2:13" x14ac:dyDescent="0.35">
      <c r="B978" s="145">
        <v>46044</v>
      </c>
      <c r="C978" s="146">
        <v>46044</v>
      </c>
      <c r="D978" s="147" t="s">
        <v>184</v>
      </c>
      <c r="E978" s="148">
        <v>765</v>
      </c>
      <c r="F978" s="147" t="s">
        <v>1416</v>
      </c>
      <c r="G978" s="147" t="s">
        <v>326</v>
      </c>
      <c r="H978" s="149">
        <v>0</v>
      </c>
      <c r="I978" s="149">
        <v>502596.9</v>
      </c>
      <c r="J978" s="141">
        <f>+J977+Tabla69[[#This Row],[DEBE]]-Tabla69[[#This Row],[HABER]]</f>
        <v>-369361881.22000009</v>
      </c>
      <c r="K978" s="142" t="s">
        <v>872</v>
      </c>
      <c r="L978" s="143" t="s">
        <v>714</v>
      </c>
      <c r="M978" s="143" t="s">
        <v>91</v>
      </c>
    </row>
    <row r="979" spans="2:13" x14ac:dyDescent="0.35">
      <c r="B979" s="145">
        <v>46044</v>
      </c>
      <c r="C979" s="146">
        <v>46044</v>
      </c>
      <c r="D979" s="147" t="s">
        <v>184</v>
      </c>
      <c r="E979" s="148">
        <v>766</v>
      </c>
      <c r="F979" s="147" t="s">
        <v>1416</v>
      </c>
      <c r="G979" s="147" t="s">
        <v>321</v>
      </c>
      <c r="H979" s="149">
        <v>0</v>
      </c>
      <c r="I979" s="149">
        <v>200000</v>
      </c>
      <c r="J979" s="141">
        <f>+J978+Tabla69[[#This Row],[DEBE]]-Tabla69[[#This Row],[HABER]]</f>
        <v>-369561881.22000009</v>
      </c>
      <c r="K979" s="142" t="s">
        <v>872</v>
      </c>
      <c r="L979" s="143" t="s">
        <v>714</v>
      </c>
      <c r="M979" s="143" t="s">
        <v>91</v>
      </c>
    </row>
    <row r="980" spans="2:13" x14ac:dyDescent="0.35">
      <c r="B980" s="145">
        <v>46045</v>
      </c>
      <c r="C980" s="146">
        <v>46044</v>
      </c>
      <c r="D980" s="138" t="s">
        <v>873</v>
      </c>
      <c r="E980" s="148">
        <v>18</v>
      </c>
      <c r="F980" s="147" t="s">
        <v>1463</v>
      </c>
      <c r="G980" s="147" t="s">
        <v>429</v>
      </c>
      <c r="H980" s="149">
        <v>48000000</v>
      </c>
      <c r="I980" s="149">
        <v>0</v>
      </c>
      <c r="J980" s="141">
        <f>+J979+Tabla69[[#This Row],[DEBE]]-Tabla69[[#This Row],[HABER]]</f>
        <v>-321561881.22000009</v>
      </c>
      <c r="K980" s="142" t="s">
        <v>872</v>
      </c>
      <c r="L980" s="143" t="s">
        <v>715</v>
      </c>
      <c r="M980" s="143" t="s">
        <v>101</v>
      </c>
    </row>
    <row r="981" spans="2:13" x14ac:dyDescent="0.35">
      <c r="B981" s="145">
        <v>46045</v>
      </c>
      <c r="C981" s="146">
        <v>46043</v>
      </c>
      <c r="D981" s="147" t="s">
        <v>185</v>
      </c>
      <c r="E981" s="148">
        <v>19</v>
      </c>
      <c r="F981" s="147" t="s">
        <v>198</v>
      </c>
      <c r="G981" s="147" t="s">
        <v>199</v>
      </c>
      <c r="H981" s="149">
        <v>0</v>
      </c>
      <c r="I981" s="149">
        <v>100000000</v>
      </c>
      <c r="J981" s="141">
        <f>+J980+Tabla69[[#This Row],[DEBE]]-Tabla69[[#This Row],[HABER]]</f>
        <v>-421561881.22000009</v>
      </c>
      <c r="K981" s="142" t="s">
        <v>872</v>
      </c>
      <c r="L981" s="143" t="s">
        <v>716</v>
      </c>
      <c r="M981" s="143" t="s">
        <v>83</v>
      </c>
    </row>
    <row r="982" spans="2:13" x14ac:dyDescent="0.35">
      <c r="B982" s="145">
        <v>46045</v>
      </c>
      <c r="C982" s="146">
        <v>46045</v>
      </c>
      <c r="D982" s="138" t="s">
        <v>874</v>
      </c>
      <c r="E982" s="148">
        <v>49</v>
      </c>
      <c r="F982" s="147" t="s">
        <v>197</v>
      </c>
      <c r="G982" s="147" t="s">
        <v>1475</v>
      </c>
      <c r="H982" s="149">
        <v>566717000</v>
      </c>
      <c r="I982" s="149">
        <v>0</v>
      </c>
      <c r="J982" s="141">
        <f>+J981+Tabla69[[#This Row],[DEBE]]-Tabla69[[#This Row],[HABER]]</f>
        <v>145155118.77999991</v>
      </c>
      <c r="K982" s="142" t="s">
        <v>872</v>
      </c>
      <c r="L982" s="176" t="s">
        <v>1476</v>
      </c>
      <c r="M982" s="143" t="s">
        <v>89</v>
      </c>
    </row>
    <row r="983" spans="2:13" x14ac:dyDescent="0.35">
      <c r="B983" s="145">
        <v>46045</v>
      </c>
      <c r="C983" s="146">
        <v>46045</v>
      </c>
      <c r="D983" s="138" t="s">
        <v>874</v>
      </c>
      <c r="E983" s="148">
        <v>50</v>
      </c>
      <c r="F983" s="147" t="s">
        <v>430</v>
      </c>
      <c r="G983" s="147" t="s">
        <v>431</v>
      </c>
      <c r="H983" s="149">
        <v>14961242.9</v>
      </c>
      <c r="I983" s="149">
        <v>0</v>
      </c>
      <c r="J983" s="141">
        <f>+J982+Tabla69[[#This Row],[DEBE]]-Tabla69[[#This Row],[HABER]]</f>
        <v>160116361.67999992</v>
      </c>
      <c r="K983" s="142" t="s">
        <v>872</v>
      </c>
      <c r="L983" s="176" t="s">
        <v>1477</v>
      </c>
      <c r="M983" s="143" t="s">
        <v>89</v>
      </c>
    </row>
    <row r="984" spans="2:13" x14ac:dyDescent="0.35">
      <c r="B984" s="145">
        <v>46045</v>
      </c>
      <c r="C984" s="146">
        <v>46044</v>
      </c>
      <c r="D984" s="138" t="s">
        <v>874</v>
      </c>
      <c r="E984" s="148">
        <v>52</v>
      </c>
      <c r="F984" s="147" t="s">
        <v>254</v>
      </c>
      <c r="G984" s="147" t="s">
        <v>432</v>
      </c>
      <c r="H984" s="149">
        <v>2926400.76</v>
      </c>
      <c r="I984" s="149">
        <v>0</v>
      </c>
      <c r="J984" s="141">
        <f>+J983+Tabla69[[#This Row],[DEBE]]-Tabla69[[#This Row],[HABER]]</f>
        <v>163042762.43999991</v>
      </c>
      <c r="K984" s="142" t="s">
        <v>872</v>
      </c>
      <c r="L984" s="143" t="s">
        <v>1456</v>
      </c>
      <c r="M984" s="143" t="s">
        <v>83</v>
      </c>
    </row>
    <row r="985" spans="2:13" x14ac:dyDescent="0.35">
      <c r="B985" s="145">
        <v>46045</v>
      </c>
      <c r="C985" s="146">
        <v>46044</v>
      </c>
      <c r="D985" s="138" t="s">
        <v>874</v>
      </c>
      <c r="E985" s="148">
        <v>53</v>
      </c>
      <c r="F985" s="147" t="s">
        <v>254</v>
      </c>
      <c r="G985" s="147" t="s">
        <v>433</v>
      </c>
      <c r="H985" s="149">
        <v>3658000.95</v>
      </c>
      <c r="I985" s="149">
        <v>0</v>
      </c>
      <c r="J985" s="141">
        <f>+J984+Tabla69[[#This Row],[DEBE]]-Tabla69[[#This Row],[HABER]]</f>
        <v>166700763.3899999</v>
      </c>
      <c r="K985" s="142" t="s">
        <v>872</v>
      </c>
      <c r="L985" s="143" t="s">
        <v>1457</v>
      </c>
      <c r="M985" s="143" t="s">
        <v>83</v>
      </c>
    </row>
    <row r="986" spans="2:13" x14ac:dyDescent="0.35">
      <c r="B986" s="145">
        <v>46045</v>
      </c>
      <c r="C986" s="146">
        <v>46045</v>
      </c>
      <c r="D986" s="147" t="s">
        <v>184</v>
      </c>
      <c r="E986" s="148">
        <v>767</v>
      </c>
      <c r="F986" s="147" t="s">
        <v>1478</v>
      </c>
      <c r="G986" s="147"/>
      <c r="H986" s="149">
        <v>0</v>
      </c>
      <c r="I986" s="149">
        <v>451000</v>
      </c>
      <c r="J986" s="141">
        <f>+J985+Tabla69[[#This Row],[DEBE]]-Tabla69[[#This Row],[HABER]]</f>
        <v>166249763.3899999</v>
      </c>
      <c r="K986" s="142" t="s">
        <v>872</v>
      </c>
      <c r="L986" s="143" t="s">
        <v>714</v>
      </c>
      <c r="M986" s="143" t="s">
        <v>91</v>
      </c>
    </row>
    <row r="987" spans="2:13" x14ac:dyDescent="0.35">
      <c r="B987" s="145">
        <v>46045</v>
      </c>
      <c r="C987" s="146">
        <v>46045</v>
      </c>
      <c r="D987" s="147" t="s">
        <v>184</v>
      </c>
      <c r="E987" s="148">
        <v>768</v>
      </c>
      <c r="F987" s="147" t="s">
        <v>1478</v>
      </c>
      <c r="G987" s="147" t="s">
        <v>326</v>
      </c>
      <c r="H987" s="149">
        <v>0</v>
      </c>
      <c r="I987" s="149">
        <v>200000</v>
      </c>
      <c r="J987" s="141">
        <f>+J986+Tabla69[[#This Row],[DEBE]]-Tabla69[[#This Row],[HABER]]</f>
        <v>166049763.3899999</v>
      </c>
      <c r="K987" s="142" t="s">
        <v>872</v>
      </c>
      <c r="L987" s="143" t="s">
        <v>714</v>
      </c>
      <c r="M987" s="143" t="s">
        <v>91</v>
      </c>
    </row>
    <row r="988" spans="2:13" x14ac:dyDescent="0.35">
      <c r="B988" s="145">
        <v>46045</v>
      </c>
      <c r="C988" s="146">
        <v>46045</v>
      </c>
      <c r="D988" s="147" t="s">
        <v>184</v>
      </c>
      <c r="E988" s="148">
        <v>769</v>
      </c>
      <c r="F988" s="147" t="s">
        <v>917</v>
      </c>
      <c r="G988" s="147" t="s">
        <v>434</v>
      </c>
      <c r="H988" s="149">
        <v>0</v>
      </c>
      <c r="I988" s="149">
        <v>3136000</v>
      </c>
      <c r="J988" s="141">
        <f>+J987+Tabla69[[#This Row],[DEBE]]-Tabla69[[#This Row],[HABER]]</f>
        <v>162913763.3899999</v>
      </c>
      <c r="K988" s="142" t="s">
        <v>872</v>
      </c>
      <c r="L988" s="143" t="s">
        <v>717</v>
      </c>
      <c r="M988" s="143" t="s">
        <v>1505</v>
      </c>
    </row>
    <row r="989" spans="2:13" x14ac:dyDescent="0.35">
      <c r="B989" s="145">
        <v>46045</v>
      </c>
      <c r="C989" s="146">
        <v>46045</v>
      </c>
      <c r="D989" s="147" t="s">
        <v>184</v>
      </c>
      <c r="E989" s="148">
        <v>770</v>
      </c>
      <c r="F989" s="147" t="s">
        <v>1123</v>
      </c>
      <c r="G989" s="147" t="s">
        <v>435</v>
      </c>
      <c r="H989" s="149">
        <v>0</v>
      </c>
      <c r="I989" s="149">
        <v>131241.60000000001</v>
      </c>
      <c r="J989" s="141">
        <f>+J988+Tabla69[[#This Row],[DEBE]]-Tabla69[[#This Row],[HABER]]</f>
        <v>162782521.7899999</v>
      </c>
      <c r="K989" s="142" t="s">
        <v>872</v>
      </c>
      <c r="L989" s="143" t="s">
        <v>718</v>
      </c>
      <c r="M989" s="143" t="s">
        <v>1505</v>
      </c>
    </row>
    <row r="990" spans="2:13" x14ac:dyDescent="0.35">
      <c r="B990" s="145">
        <v>46045</v>
      </c>
      <c r="C990" s="146">
        <v>46045</v>
      </c>
      <c r="D990" s="147" t="s">
        <v>184</v>
      </c>
      <c r="E990" s="148">
        <v>771</v>
      </c>
      <c r="F990" s="147" t="s">
        <v>1124</v>
      </c>
      <c r="G990" s="147" t="s">
        <v>436</v>
      </c>
      <c r="H990" s="149">
        <v>0</v>
      </c>
      <c r="I990" s="149">
        <v>96000</v>
      </c>
      <c r="J990" s="141">
        <f>+J989+Tabla69[[#This Row],[DEBE]]-Tabla69[[#This Row],[HABER]]</f>
        <v>162686521.7899999</v>
      </c>
      <c r="K990" s="142" t="s">
        <v>872</v>
      </c>
      <c r="L990" s="143" t="s">
        <v>719</v>
      </c>
      <c r="M990" s="143" t="s">
        <v>1505</v>
      </c>
    </row>
    <row r="991" spans="2:13" x14ac:dyDescent="0.35">
      <c r="B991" s="145">
        <v>46045</v>
      </c>
      <c r="C991" s="146">
        <v>46045</v>
      </c>
      <c r="D991" s="147" t="s">
        <v>184</v>
      </c>
      <c r="E991" s="148">
        <v>772</v>
      </c>
      <c r="F991" s="147" t="s">
        <v>1125</v>
      </c>
      <c r="G991" s="147" t="s">
        <v>437</v>
      </c>
      <c r="H991" s="149">
        <v>0</v>
      </c>
      <c r="I991" s="149">
        <v>3430000</v>
      </c>
      <c r="J991" s="141">
        <f>+J990+Tabla69[[#This Row],[DEBE]]-Tabla69[[#This Row],[HABER]]</f>
        <v>159256521.7899999</v>
      </c>
      <c r="K991" s="142" t="s">
        <v>872</v>
      </c>
      <c r="L991" s="143" t="s">
        <v>720</v>
      </c>
      <c r="M991" s="143" t="s">
        <v>1505</v>
      </c>
    </row>
    <row r="992" spans="2:13" x14ac:dyDescent="0.35">
      <c r="B992" s="145">
        <v>46045</v>
      </c>
      <c r="C992" s="146">
        <v>46045</v>
      </c>
      <c r="D992" s="147" t="s">
        <v>184</v>
      </c>
      <c r="E992" s="148">
        <v>773</v>
      </c>
      <c r="F992" s="147" t="s">
        <v>1126</v>
      </c>
      <c r="G992" s="147" t="s">
        <v>438</v>
      </c>
      <c r="H992" s="149">
        <v>0</v>
      </c>
      <c r="I992" s="149">
        <v>480000</v>
      </c>
      <c r="J992" s="141">
        <f>+J991+Tabla69[[#This Row],[DEBE]]-Tabla69[[#This Row],[HABER]]</f>
        <v>158776521.7899999</v>
      </c>
      <c r="K992" s="142" t="s">
        <v>872</v>
      </c>
      <c r="L992" s="143" t="s">
        <v>721</v>
      </c>
      <c r="M992" s="143" t="s">
        <v>1505</v>
      </c>
    </row>
    <row r="993" spans="2:13" x14ac:dyDescent="0.35">
      <c r="B993" s="145">
        <v>46045</v>
      </c>
      <c r="C993" s="146">
        <v>46045</v>
      </c>
      <c r="D993" s="147" t="s">
        <v>184</v>
      </c>
      <c r="E993" s="148">
        <v>774</v>
      </c>
      <c r="F993" s="147" t="s">
        <v>1127</v>
      </c>
      <c r="G993" s="147" t="s">
        <v>439</v>
      </c>
      <c r="H993" s="149">
        <v>0</v>
      </c>
      <c r="I993" s="149">
        <v>600000</v>
      </c>
      <c r="J993" s="141">
        <f>+J992+Tabla69[[#This Row],[DEBE]]-Tabla69[[#This Row],[HABER]]</f>
        <v>158176521.7899999</v>
      </c>
      <c r="K993" s="142" t="s">
        <v>872</v>
      </c>
      <c r="L993" s="143" t="s">
        <v>722</v>
      </c>
      <c r="M993" s="143" t="s">
        <v>1505</v>
      </c>
    </row>
    <row r="994" spans="2:13" x14ac:dyDescent="0.35">
      <c r="B994" s="145">
        <v>46045</v>
      </c>
      <c r="C994" s="146">
        <v>46045</v>
      </c>
      <c r="D994" s="147" t="s">
        <v>184</v>
      </c>
      <c r="E994" s="148">
        <v>775</v>
      </c>
      <c r="F994" s="147" t="s">
        <v>1128</v>
      </c>
      <c r="G994" s="147" t="s">
        <v>440</v>
      </c>
      <c r="H994" s="149">
        <v>0</v>
      </c>
      <c r="I994" s="149">
        <v>264600</v>
      </c>
      <c r="J994" s="141">
        <f>+J993+Tabla69[[#This Row],[DEBE]]-Tabla69[[#This Row],[HABER]]</f>
        <v>157911921.7899999</v>
      </c>
      <c r="K994" s="142" t="s">
        <v>872</v>
      </c>
      <c r="L994" s="143" t="s">
        <v>723</v>
      </c>
      <c r="M994" s="143" t="s">
        <v>1505</v>
      </c>
    </row>
    <row r="995" spans="2:13" x14ac:dyDescent="0.35">
      <c r="B995" s="145">
        <v>46045</v>
      </c>
      <c r="C995" s="146">
        <v>46045</v>
      </c>
      <c r="D995" s="147" t="s">
        <v>184</v>
      </c>
      <c r="E995" s="148">
        <v>776</v>
      </c>
      <c r="F995" s="147" t="s">
        <v>1129</v>
      </c>
      <c r="G995" s="147" t="s">
        <v>441</v>
      </c>
      <c r="H995" s="149">
        <v>0</v>
      </c>
      <c r="I995" s="149">
        <v>156000</v>
      </c>
      <c r="J995" s="141">
        <f>+J994+Tabla69[[#This Row],[DEBE]]-Tabla69[[#This Row],[HABER]]</f>
        <v>157755921.7899999</v>
      </c>
      <c r="K995" s="142" t="s">
        <v>872</v>
      </c>
      <c r="L995" s="143" t="s">
        <v>724</v>
      </c>
      <c r="M995" s="143" t="s">
        <v>1505</v>
      </c>
    </row>
    <row r="996" spans="2:13" x14ac:dyDescent="0.35">
      <c r="B996" s="145">
        <v>46045</v>
      </c>
      <c r="C996" s="146">
        <v>46045</v>
      </c>
      <c r="D996" s="147" t="s">
        <v>184</v>
      </c>
      <c r="E996" s="148">
        <v>777</v>
      </c>
      <c r="F996" s="147" t="s">
        <v>909</v>
      </c>
      <c r="G996" s="147" t="s">
        <v>442</v>
      </c>
      <c r="H996" s="149">
        <v>0</v>
      </c>
      <c r="I996" s="149">
        <v>9334200</v>
      </c>
      <c r="J996" s="141">
        <f>+J995+Tabla69[[#This Row],[DEBE]]-Tabla69[[#This Row],[HABER]]</f>
        <v>148421721.7899999</v>
      </c>
      <c r="K996" s="142" t="s">
        <v>872</v>
      </c>
      <c r="L996" s="143" t="s">
        <v>725</v>
      </c>
      <c r="M996" s="143" t="s">
        <v>1505</v>
      </c>
    </row>
    <row r="997" spans="2:13" x14ac:dyDescent="0.35">
      <c r="B997" s="145">
        <v>46045</v>
      </c>
      <c r="C997" s="146">
        <v>46045</v>
      </c>
      <c r="D997" s="147" t="s">
        <v>184</v>
      </c>
      <c r="E997" s="148">
        <v>778</v>
      </c>
      <c r="F997" s="147" t="s">
        <v>1056</v>
      </c>
      <c r="G997" s="147" t="s">
        <v>443</v>
      </c>
      <c r="H997" s="149">
        <v>0</v>
      </c>
      <c r="I997" s="149">
        <v>5909300</v>
      </c>
      <c r="J997" s="141">
        <f>+J996+Tabla69[[#This Row],[DEBE]]-Tabla69[[#This Row],[HABER]]</f>
        <v>142512421.7899999</v>
      </c>
      <c r="K997" s="142" t="s">
        <v>872</v>
      </c>
      <c r="L997" s="143" t="s">
        <v>726</v>
      </c>
      <c r="M997" s="143" t="s">
        <v>1505</v>
      </c>
    </row>
    <row r="998" spans="2:13" x14ac:dyDescent="0.35">
      <c r="B998" s="145">
        <v>46045</v>
      </c>
      <c r="C998" s="146">
        <v>46045</v>
      </c>
      <c r="D998" s="147" t="s">
        <v>184</v>
      </c>
      <c r="E998" s="148">
        <v>779</v>
      </c>
      <c r="F998" s="147" t="s">
        <v>1130</v>
      </c>
      <c r="G998" s="147" t="s">
        <v>444</v>
      </c>
      <c r="H998" s="149">
        <v>0</v>
      </c>
      <c r="I998" s="149">
        <v>4175177.12</v>
      </c>
      <c r="J998" s="141">
        <f>+J997+Tabla69[[#This Row],[DEBE]]-Tabla69[[#This Row],[HABER]]</f>
        <v>138337244.6699999</v>
      </c>
      <c r="K998" s="142" t="s">
        <v>872</v>
      </c>
      <c r="L998" s="143" t="s">
        <v>727</v>
      </c>
      <c r="M998" s="143" t="s">
        <v>1505</v>
      </c>
    </row>
    <row r="999" spans="2:13" x14ac:dyDescent="0.35">
      <c r="B999" s="145">
        <v>46045</v>
      </c>
      <c r="C999" s="146">
        <v>46045</v>
      </c>
      <c r="D999" s="147" t="s">
        <v>184</v>
      </c>
      <c r="E999" s="148">
        <v>780</v>
      </c>
      <c r="F999" s="147" t="s">
        <v>1131</v>
      </c>
      <c r="G999" s="147" t="s">
        <v>445</v>
      </c>
      <c r="H999" s="149">
        <v>0</v>
      </c>
      <c r="I999" s="149">
        <v>9962063.4000000004</v>
      </c>
      <c r="J999" s="141">
        <f>+J998+Tabla69[[#This Row],[DEBE]]-Tabla69[[#This Row],[HABER]]</f>
        <v>128375181.26999989</v>
      </c>
      <c r="K999" s="142" t="s">
        <v>872</v>
      </c>
      <c r="L999" s="143" t="s">
        <v>728</v>
      </c>
      <c r="M999" s="143" t="s">
        <v>1505</v>
      </c>
    </row>
    <row r="1000" spans="2:13" x14ac:dyDescent="0.35">
      <c r="B1000" s="145">
        <v>46045</v>
      </c>
      <c r="C1000" s="146">
        <v>46045</v>
      </c>
      <c r="D1000" s="147" t="s">
        <v>184</v>
      </c>
      <c r="E1000" s="148">
        <v>781</v>
      </c>
      <c r="F1000" s="147" t="s">
        <v>1132</v>
      </c>
      <c r="G1000" s="147" t="s">
        <v>446</v>
      </c>
      <c r="H1000" s="149">
        <v>0</v>
      </c>
      <c r="I1000" s="149">
        <v>156000</v>
      </c>
      <c r="J1000" s="141">
        <f>+J999+Tabla69[[#This Row],[DEBE]]-Tabla69[[#This Row],[HABER]]</f>
        <v>128219181.26999989</v>
      </c>
      <c r="K1000" s="142" t="s">
        <v>872</v>
      </c>
      <c r="L1000" s="143" t="s">
        <v>729</v>
      </c>
      <c r="M1000" s="143" t="s">
        <v>1505</v>
      </c>
    </row>
    <row r="1001" spans="2:13" x14ac:dyDescent="0.35">
      <c r="B1001" s="145">
        <v>46045</v>
      </c>
      <c r="C1001" s="146">
        <v>46045</v>
      </c>
      <c r="D1001" s="147" t="s">
        <v>184</v>
      </c>
      <c r="E1001" s="148">
        <v>782</v>
      </c>
      <c r="F1001" s="147" t="s">
        <v>1133</v>
      </c>
      <c r="G1001" s="147" t="s">
        <v>447</v>
      </c>
      <c r="H1001" s="149">
        <v>0</v>
      </c>
      <c r="I1001" s="149">
        <v>5730000</v>
      </c>
      <c r="J1001" s="141">
        <f>+J1000+Tabla69[[#This Row],[DEBE]]-Tabla69[[#This Row],[HABER]]</f>
        <v>122489181.26999989</v>
      </c>
      <c r="K1001" s="142" t="s">
        <v>872</v>
      </c>
      <c r="L1001" s="143" t="s">
        <v>730</v>
      </c>
      <c r="M1001" s="143" t="s">
        <v>1505</v>
      </c>
    </row>
    <row r="1002" spans="2:13" x14ac:dyDescent="0.35">
      <c r="B1002" s="145">
        <v>46045</v>
      </c>
      <c r="C1002" s="146">
        <v>46045</v>
      </c>
      <c r="D1002" s="147" t="s">
        <v>184</v>
      </c>
      <c r="E1002" s="148">
        <v>783</v>
      </c>
      <c r="F1002" s="147" t="s">
        <v>1069</v>
      </c>
      <c r="G1002" s="147" t="s">
        <v>317</v>
      </c>
      <c r="H1002" s="149">
        <v>0</v>
      </c>
      <c r="I1002" s="149">
        <v>1281408</v>
      </c>
      <c r="J1002" s="141">
        <f>+J1001+Tabla69[[#This Row],[DEBE]]-Tabla69[[#This Row],[HABER]]</f>
        <v>121207773.26999989</v>
      </c>
      <c r="K1002" s="142" t="s">
        <v>872</v>
      </c>
      <c r="L1002" s="143" t="s">
        <v>712</v>
      </c>
      <c r="M1002" s="143" t="s">
        <v>1505</v>
      </c>
    </row>
    <row r="1003" spans="2:13" x14ac:dyDescent="0.35">
      <c r="B1003" s="145">
        <v>46045</v>
      </c>
      <c r="C1003" s="146">
        <v>46045</v>
      </c>
      <c r="D1003" s="147" t="s">
        <v>184</v>
      </c>
      <c r="E1003" s="148">
        <v>784</v>
      </c>
      <c r="F1003" s="147" t="s">
        <v>883</v>
      </c>
      <c r="G1003" s="147" t="s">
        <v>448</v>
      </c>
      <c r="H1003" s="149">
        <v>0</v>
      </c>
      <c r="I1003" s="149">
        <v>700000</v>
      </c>
      <c r="J1003" s="141">
        <f>+J1002+Tabla69[[#This Row],[DEBE]]-Tabla69[[#This Row],[HABER]]</f>
        <v>120507773.26999989</v>
      </c>
      <c r="K1003" s="142" t="s">
        <v>872</v>
      </c>
      <c r="L1003" s="143" t="s">
        <v>731</v>
      </c>
      <c r="M1003" s="143" t="s">
        <v>1505</v>
      </c>
    </row>
    <row r="1004" spans="2:13" x14ac:dyDescent="0.35">
      <c r="B1004" s="145">
        <v>46045</v>
      </c>
      <c r="C1004" s="146">
        <v>46045</v>
      </c>
      <c r="D1004" s="147" t="s">
        <v>184</v>
      </c>
      <c r="E1004" s="148">
        <v>785</v>
      </c>
      <c r="F1004" s="147" t="s">
        <v>1134</v>
      </c>
      <c r="G1004" s="147" t="s">
        <v>449</v>
      </c>
      <c r="H1004" s="149">
        <v>0</v>
      </c>
      <c r="I1004" s="149">
        <v>663316.68999999994</v>
      </c>
      <c r="J1004" s="141">
        <f>+J1003+Tabla69[[#This Row],[DEBE]]-Tabla69[[#This Row],[HABER]]</f>
        <v>119844456.57999989</v>
      </c>
      <c r="K1004" s="142" t="s">
        <v>872</v>
      </c>
      <c r="L1004" s="143" t="s">
        <v>732</v>
      </c>
      <c r="M1004" s="143" t="s">
        <v>1505</v>
      </c>
    </row>
    <row r="1005" spans="2:13" x14ac:dyDescent="0.35">
      <c r="B1005" s="145">
        <v>46045</v>
      </c>
      <c r="C1005" s="146">
        <v>46045</v>
      </c>
      <c r="D1005" s="147" t="s">
        <v>184</v>
      </c>
      <c r="E1005" s="148">
        <v>786</v>
      </c>
      <c r="F1005" s="147" t="s">
        <v>1134</v>
      </c>
      <c r="G1005" s="147" t="s">
        <v>450</v>
      </c>
      <c r="H1005" s="149">
        <v>0</v>
      </c>
      <c r="I1005" s="149">
        <v>583041.31999999995</v>
      </c>
      <c r="J1005" s="141">
        <f>+J1004+Tabla69[[#This Row],[DEBE]]-Tabla69[[#This Row],[HABER]]</f>
        <v>119261415.2599999</v>
      </c>
      <c r="K1005" s="142" t="s">
        <v>872</v>
      </c>
      <c r="L1005" s="143" t="s">
        <v>733</v>
      </c>
      <c r="M1005" s="143" t="s">
        <v>1505</v>
      </c>
    </row>
    <row r="1006" spans="2:13" x14ac:dyDescent="0.35">
      <c r="B1006" s="145">
        <v>46045</v>
      </c>
      <c r="C1006" s="146">
        <v>46045</v>
      </c>
      <c r="D1006" s="147" t="s">
        <v>184</v>
      </c>
      <c r="E1006" s="148">
        <v>787</v>
      </c>
      <c r="F1006" s="147" t="s">
        <v>1135</v>
      </c>
      <c r="G1006" s="147" t="s">
        <v>451</v>
      </c>
      <c r="H1006" s="149">
        <v>0</v>
      </c>
      <c r="I1006" s="149">
        <v>2132200</v>
      </c>
      <c r="J1006" s="141">
        <f>+J1005+Tabla69[[#This Row],[DEBE]]-Tabla69[[#This Row],[HABER]]</f>
        <v>117129215.2599999</v>
      </c>
      <c r="K1006" s="142" t="s">
        <v>872</v>
      </c>
      <c r="L1006" s="143" t="s">
        <v>734</v>
      </c>
      <c r="M1006" s="143" t="s">
        <v>1505</v>
      </c>
    </row>
    <row r="1007" spans="2:13" x14ac:dyDescent="0.35">
      <c r="B1007" s="145">
        <v>46045</v>
      </c>
      <c r="C1007" s="146">
        <v>46045</v>
      </c>
      <c r="D1007" s="147" t="s">
        <v>184</v>
      </c>
      <c r="E1007" s="148">
        <v>788</v>
      </c>
      <c r="F1007" s="147" t="s">
        <v>1136</v>
      </c>
      <c r="G1007" s="147" t="s">
        <v>452</v>
      </c>
      <c r="H1007" s="149">
        <v>0</v>
      </c>
      <c r="I1007" s="149">
        <v>3415572.85</v>
      </c>
      <c r="J1007" s="141">
        <f>+J1006+Tabla69[[#This Row],[DEBE]]-Tabla69[[#This Row],[HABER]]</f>
        <v>113713642.40999991</v>
      </c>
      <c r="K1007" s="142" t="s">
        <v>872</v>
      </c>
      <c r="L1007" s="143" t="s">
        <v>735</v>
      </c>
      <c r="M1007" s="143" t="s">
        <v>1505</v>
      </c>
    </row>
    <row r="1008" spans="2:13" x14ac:dyDescent="0.35">
      <c r="B1008" s="145">
        <v>46045</v>
      </c>
      <c r="C1008" s="146">
        <v>46045</v>
      </c>
      <c r="D1008" s="147" t="s">
        <v>184</v>
      </c>
      <c r="E1008" s="148">
        <v>789</v>
      </c>
      <c r="F1008" s="147" t="s">
        <v>1137</v>
      </c>
      <c r="G1008" s="147" t="s">
        <v>453</v>
      </c>
      <c r="H1008" s="149">
        <v>0</v>
      </c>
      <c r="I1008" s="149">
        <v>910000</v>
      </c>
      <c r="J1008" s="141">
        <f>+J1007+Tabla69[[#This Row],[DEBE]]-Tabla69[[#This Row],[HABER]]</f>
        <v>112803642.40999991</v>
      </c>
      <c r="K1008" s="142" t="s">
        <v>872</v>
      </c>
      <c r="L1008" s="143" t="s">
        <v>736</v>
      </c>
      <c r="M1008" s="143" t="s">
        <v>1505</v>
      </c>
    </row>
    <row r="1009" spans="2:13" x14ac:dyDescent="0.35">
      <c r="B1009" s="145">
        <v>46045</v>
      </c>
      <c r="C1009" s="146">
        <v>46045</v>
      </c>
      <c r="D1009" s="147" t="s">
        <v>184</v>
      </c>
      <c r="E1009" s="148">
        <v>790</v>
      </c>
      <c r="F1009" s="147" t="s">
        <v>1138</v>
      </c>
      <c r="G1009" s="147" t="s">
        <v>454</v>
      </c>
      <c r="H1009" s="149">
        <v>0</v>
      </c>
      <c r="I1009" s="149">
        <v>4376000</v>
      </c>
      <c r="J1009" s="141">
        <f>+J1008+Tabla69[[#This Row],[DEBE]]-Tabla69[[#This Row],[HABER]]</f>
        <v>108427642.40999991</v>
      </c>
      <c r="K1009" s="142" t="s">
        <v>872</v>
      </c>
      <c r="L1009" s="143" t="s">
        <v>737</v>
      </c>
      <c r="M1009" s="143" t="s">
        <v>1505</v>
      </c>
    </row>
    <row r="1010" spans="2:13" x14ac:dyDescent="0.35">
      <c r="B1010" s="145">
        <v>46045</v>
      </c>
      <c r="C1010" s="146">
        <v>46045</v>
      </c>
      <c r="D1010" s="147" t="s">
        <v>184</v>
      </c>
      <c r="E1010" s="148">
        <v>791</v>
      </c>
      <c r="F1010" s="147" t="s">
        <v>1136</v>
      </c>
      <c r="G1010" s="147" t="s">
        <v>455</v>
      </c>
      <c r="H1010" s="149">
        <v>0</v>
      </c>
      <c r="I1010" s="149">
        <v>156453</v>
      </c>
      <c r="J1010" s="141">
        <f>+J1009+Tabla69[[#This Row],[DEBE]]-Tabla69[[#This Row],[HABER]]</f>
        <v>108271189.40999991</v>
      </c>
      <c r="K1010" s="142" t="s">
        <v>872</v>
      </c>
      <c r="L1010" s="143" t="s">
        <v>738</v>
      </c>
      <c r="M1010" s="143" t="s">
        <v>1505</v>
      </c>
    </row>
    <row r="1011" spans="2:13" x14ac:dyDescent="0.35">
      <c r="B1011" s="145">
        <v>46045</v>
      </c>
      <c r="C1011" s="146">
        <v>46045</v>
      </c>
      <c r="D1011" s="147" t="s">
        <v>184</v>
      </c>
      <c r="E1011" s="148">
        <v>792</v>
      </c>
      <c r="F1011" s="147" t="s">
        <v>1139</v>
      </c>
      <c r="G1011" s="147" t="s">
        <v>456</v>
      </c>
      <c r="H1011" s="149">
        <v>0</v>
      </c>
      <c r="I1011" s="149">
        <v>6743565.3200000003</v>
      </c>
      <c r="J1011" s="141">
        <f>+J1010+Tabla69[[#This Row],[DEBE]]-Tabla69[[#This Row],[HABER]]</f>
        <v>101527624.08999991</v>
      </c>
      <c r="K1011" s="142" t="s">
        <v>872</v>
      </c>
      <c r="L1011" s="143" t="s">
        <v>739</v>
      </c>
      <c r="M1011" s="143" t="s">
        <v>1505</v>
      </c>
    </row>
    <row r="1012" spans="2:13" x14ac:dyDescent="0.35">
      <c r="B1012" s="145">
        <v>46045</v>
      </c>
      <c r="C1012" s="146">
        <v>46045</v>
      </c>
      <c r="D1012" s="147" t="s">
        <v>184</v>
      </c>
      <c r="E1012" s="148">
        <v>793</v>
      </c>
      <c r="F1012" s="147" t="s">
        <v>1140</v>
      </c>
      <c r="G1012" s="147" t="s">
        <v>457</v>
      </c>
      <c r="H1012" s="149">
        <v>0</v>
      </c>
      <c r="I1012" s="149">
        <v>2835000</v>
      </c>
      <c r="J1012" s="141">
        <f>+J1011+Tabla69[[#This Row],[DEBE]]-Tabla69[[#This Row],[HABER]]</f>
        <v>98692624.089999914</v>
      </c>
      <c r="K1012" s="142" t="s">
        <v>872</v>
      </c>
      <c r="L1012" s="143" t="s">
        <v>740</v>
      </c>
      <c r="M1012" s="143" t="s">
        <v>1505</v>
      </c>
    </row>
    <row r="1013" spans="2:13" x14ac:dyDescent="0.35">
      <c r="B1013" s="145">
        <v>46045</v>
      </c>
      <c r="C1013" s="146">
        <v>46045</v>
      </c>
      <c r="D1013" s="147" t="s">
        <v>184</v>
      </c>
      <c r="E1013" s="148">
        <v>794</v>
      </c>
      <c r="F1013" s="147" t="s">
        <v>905</v>
      </c>
      <c r="G1013" s="147" t="s">
        <v>458</v>
      </c>
      <c r="H1013" s="149">
        <v>0</v>
      </c>
      <c r="I1013" s="149">
        <v>5851281</v>
      </c>
      <c r="J1013" s="141">
        <f>+J1012+Tabla69[[#This Row],[DEBE]]-Tabla69[[#This Row],[HABER]]</f>
        <v>92841343.089999914</v>
      </c>
      <c r="K1013" s="142" t="s">
        <v>872</v>
      </c>
      <c r="L1013" s="143" t="s">
        <v>741</v>
      </c>
      <c r="M1013" s="143" t="s">
        <v>1505</v>
      </c>
    </row>
    <row r="1014" spans="2:13" x14ac:dyDescent="0.35">
      <c r="B1014" s="145">
        <v>46045</v>
      </c>
      <c r="C1014" s="146">
        <v>46045</v>
      </c>
      <c r="D1014" s="147" t="s">
        <v>184</v>
      </c>
      <c r="E1014" s="148">
        <v>795</v>
      </c>
      <c r="F1014" s="147" t="s">
        <v>1141</v>
      </c>
      <c r="G1014" s="147" t="s">
        <v>459</v>
      </c>
      <c r="H1014" s="149">
        <v>0</v>
      </c>
      <c r="I1014" s="149">
        <v>8359781.5599999996</v>
      </c>
      <c r="J1014" s="141">
        <f>+J1013+Tabla69[[#This Row],[DEBE]]-Tabla69[[#This Row],[HABER]]</f>
        <v>84481561.529999912</v>
      </c>
      <c r="K1014" s="142" t="s">
        <v>872</v>
      </c>
      <c r="L1014" s="143" t="s">
        <v>742</v>
      </c>
      <c r="M1014" s="143" t="s">
        <v>1505</v>
      </c>
    </row>
    <row r="1015" spans="2:13" x14ac:dyDescent="0.35">
      <c r="B1015" s="145">
        <v>46045</v>
      </c>
      <c r="C1015" s="146">
        <v>46045</v>
      </c>
      <c r="D1015" s="147" t="s">
        <v>184</v>
      </c>
      <c r="E1015" s="148">
        <v>796</v>
      </c>
      <c r="F1015" s="147" t="s">
        <v>1141</v>
      </c>
      <c r="G1015" s="147" t="s">
        <v>460</v>
      </c>
      <c r="H1015" s="149">
        <v>0</v>
      </c>
      <c r="I1015" s="149">
        <v>43472603</v>
      </c>
      <c r="J1015" s="141">
        <f>+J1014+Tabla69[[#This Row],[DEBE]]-Tabla69[[#This Row],[HABER]]</f>
        <v>41008958.529999912</v>
      </c>
      <c r="K1015" s="142" t="s">
        <v>872</v>
      </c>
      <c r="L1015" s="143" t="s">
        <v>742</v>
      </c>
      <c r="M1015" s="143" t="s">
        <v>1505</v>
      </c>
    </row>
    <row r="1016" spans="2:13" x14ac:dyDescent="0.35">
      <c r="B1016" s="145">
        <v>46045</v>
      </c>
      <c r="C1016" s="146">
        <v>46045</v>
      </c>
      <c r="D1016" s="147" t="s">
        <v>184</v>
      </c>
      <c r="E1016" s="148">
        <v>797</v>
      </c>
      <c r="F1016" s="147" t="s">
        <v>1142</v>
      </c>
      <c r="G1016" s="147" t="s">
        <v>461</v>
      </c>
      <c r="H1016" s="149">
        <v>0</v>
      </c>
      <c r="I1016" s="149">
        <v>144000</v>
      </c>
      <c r="J1016" s="141">
        <f>+J1015+Tabla69[[#This Row],[DEBE]]-Tabla69[[#This Row],[HABER]]</f>
        <v>40864958.529999912</v>
      </c>
      <c r="K1016" s="142" t="s">
        <v>872</v>
      </c>
      <c r="L1016" s="143" t="s">
        <v>743</v>
      </c>
      <c r="M1016" s="143" t="s">
        <v>1505</v>
      </c>
    </row>
    <row r="1017" spans="2:13" x14ac:dyDescent="0.35">
      <c r="B1017" s="145">
        <v>46045</v>
      </c>
      <c r="C1017" s="146">
        <v>46045</v>
      </c>
      <c r="D1017" s="147" t="s">
        <v>184</v>
      </c>
      <c r="E1017" s="148">
        <v>798</v>
      </c>
      <c r="F1017" s="147" t="s">
        <v>1143</v>
      </c>
      <c r="G1017" s="147" t="s">
        <v>462</v>
      </c>
      <c r="H1017" s="149">
        <v>0</v>
      </c>
      <c r="I1017" s="149">
        <v>520000</v>
      </c>
      <c r="J1017" s="141">
        <f>+J1016+Tabla69[[#This Row],[DEBE]]-Tabla69[[#This Row],[HABER]]</f>
        <v>40344958.529999912</v>
      </c>
      <c r="K1017" s="142" t="s">
        <v>872</v>
      </c>
      <c r="L1017" s="143" t="s">
        <v>744</v>
      </c>
      <c r="M1017" s="143" t="s">
        <v>1505</v>
      </c>
    </row>
    <row r="1018" spans="2:13" x14ac:dyDescent="0.35">
      <c r="B1018" s="165">
        <v>46045</v>
      </c>
      <c r="C1018" s="166">
        <v>46045</v>
      </c>
      <c r="D1018" s="167" t="s">
        <v>184</v>
      </c>
      <c r="E1018" s="168">
        <v>799</v>
      </c>
      <c r="F1018" s="167" t="s">
        <v>1144</v>
      </c>
      <c r="G1018" s="167" t="s">
        <v>463</v>
      </c>
      <c r="H1018" s="169">
        <v>0</v>
      </c>
      <c r="I1018" s="169">
        <v>5692500</v>
      </c>
      <c r="J1018" s="155">
        <f>+J1017+Tabla69[[#This Row],[DEBE]]-Tabla69[[#This Row],[HABER]]</f>
        <v>34652458.529999912</v>
      </c>
      <c r="K1018" s="156" t="s">
        <v>871</v>
      </c>
      <c r="L1018" s="157" t="s">
        <v>745</v>
      </c>
      <c r="M1018" s="157"/>
    </row>
    <row r="1019" spans="2:13" x14ac:dyDescent="0.35">
      <c r="B1019" s="165">
        <v>46045</v>
      </c>
      <c r="C1019" s="166">
        <v>46045</v>
      </c>
      <c r="D1019" s="167" t="s">
        <v>184</v>
      </c>
      <c r="E1019" s="168">
        <v>799</v>
      </c>
      <c r="F1019" s="167" t="s">
        <v>1144</v>
      </c>
      <c r="G1019" s="167" t="s">
        <v>463</v>
      </c>
      <c r="H1019" s="169">
        <v>0</v>
      </c>
      <c r="I1019" s="169">
        <v>-5692500</v>
      </c>
      <c r="J1019" s="155">
        <f>+J1018+Tabla69[[#This Row],[DEBE]]-Tabla69[[#This Row],[HABER]]</f>
        <v>40344958.529999912</v>
      </c>
      <c r="K1019" s="156" t="s">
        <v>871</v>
      </c>
      <c r="L1019" s="157" t="s">
        <v>745</v>
      </c>
      <c r="M1019" s="157"/>
    </row>
    <row r="1020" spans="2:13" x14ac:dyDescent="0.35">
      <c r="B1020" s="145">
        <v>46045</v>
      </c>
      <c r="C1020" s="146">
        <v>46045</v>
      </c>
      <c r="D1020" s="147" t="s">
        <v>184</v>
      </c>
      <c r="E1020" s="148">
        <v>800</v>
      </c>
      <c r="F1020" s="147" t="s">
        <v>1145</v>
      </c>
      <c r="G1020" s="147" t="s">
        <v>464</v>
      </c>
      <c r="H1020" s="149">
        <v>0</v>
      </c>
      <c r="I1020" s="149">
        <v>960000</v>
      </c>
      <c r="J1020" s="141">
        <f>+J1019+Tabla69[[#This Row],[DEBE]]-Tabla69[[#This Row],[HABER]]</f>
        <v>39384958.529999912</v>
      </c>
      <c r="K1020" s="142" t="s">
        <v>872</v>
      </c>
      <c r="L1020" s="143" t="s">
        <v>746</v>
      </c>
      <c r="M1020" s="143" t="s">
        <v>1505</v>
      </c>
    </row>
    <row r="1021" spans="2:13" x14ac:dyDescent="0.35">
      <c r="B1021" s="145">
        <v>46045</v>
      </c>
      <c r="C1021" s="146">
        <v>46045</v>
      </c>
      <c r="D1021" s="147" t="s">
        <v>184</v>
      </c>
      <c r="E1021" s="148">
        <v>801</v>
      </c>
      <c r="F1021" s="147" t="s">
        <v>1146</v>
      </c>
      <c r="G1021" s="147" t="s">
        <v>465</v>
      </c>
      <c r="H1021" s="149">
        <v>0</v>
      </c>
      <c r="I1021" s="149">
        <v>287404.96000000002</v>
      </c>
      <c r="J1021" s="141">
        <f>+J1020+Tabla69[[#This Row],[DEBE]]-Tabla69[[#This Row],[HABER]]</f>
        <v>39097553.569999911</v>
      </c>
      <c r="K1021" s="142" t="s">
        <v>872</v>
      </c>
      <c r="L1021" s="143" t="s">
        <v>747</v>
      </c>
      <c r="M1021" s="143" t="s">
        <v>1505</v>
      </c>
    </row>
    <row r="1022" spans="2:13" x14ac:dyDescent="0.35">
      <c r="B1022" s="145">
        <v>46045</v>
      </c>
      <c r="C1022" s="146">
        <v>46045</v>
      </c>
      <c r="D1022" s="147" t="s">
        <v>184</v>
      </c>
      <c r="E1022" s="148">
        <v>802</v>
      </c>
      <c r="F1022" s="147" t="s">
        <v>1147</v>
      </c>
      <c r="G1022" s="147" t="s">
        <v>466</v>
      </c>
      <c r="H1022" s="149">
        <v>0</v>
      </c>
      <c r="I1022" s="149">
        <v>3009560.4</v>
      </c>
      <c r="J1022" s="141">
        <f>+J1021+Tabla69[[#This Row],[DEBE]]-Tabla69[[#This Row],[HABER]]</f>
        <v>36087993.169999912</v>
      </c>
      <c r="K1022" s="142" t="s">
        <v>872</v>
      </c>
      <c r="L1022" s="143" t="s">
        <v>748</v>
      </c>
      <c r="M1022" s="143" t="s">
        <v>1505</v>
      </c>
    </row>
    <row r="1023" spans="2:13" x14ac:dyDescent="0.35">
      <c r="B1023" s="145">
        <v>46045</v>
      </c>
      <c r="C1023" s="146">
        <v>46045</v>
      </c>
      <c r="D1023" s="147" t="s">
        <v>184</v>
      </c>
      <c r="E1023" s="148">
        <v>803</v>
      </c>
      <c r="F1023" s="147" t="s">
        <v>1148</v>
      </c>
      <c r="G1023" s="147" t="s">
        <v>467</v>
      </c>
      <c r="H1023" s="149">
        <v>0</v>
      </c>
      <c r="I1023" s="149">
        <v>1350000</v>
      </c>
      <c r="J1023" s="141">
        <f>+J1022+Tabla69[[#This Row],[DEBE]]-Tabla69[[#This Row],[HABER]]</f>
        <v>34737993.169999912</v>
      </c>
      <c r="K1023" s="142" t="s">
        <v>872</v>
      </c>
      <c r="L1023" s="143" t="s">
        <v>749</v>
      </c>
      <c r="M1023" s="143" t="s">
        <v>1505</v>
      </c>
    </row>
    <row r="1024" spans="2:13" x14ac:dyDescent="0.35">
      <c r="B1024" s="145">
        <v>46045</v>
      </c>
      <c r="C1024" s="146">
        <v>46045</v>
      </c>
      <c r="D1024" s="147" t="s">
        <v>184</v>
      </c>
      <c r="E1024" s="148">
        <v>804</v>
      </c>
      <c r="F1024" s="147" t="s">
        <v>883</v>
      </c>
      <c r="G1024" s="147" t="s">
        <v>468</v>
      </c>
      <c r="H1024" s="149">
        <v>0</v>
      </c>
      <c r="I1024" s="149">
        <v>510000</v>
      </c>
      <c r="J1024" s="141">
        <f>+J1023+Tabla69[[#This Row],[DEBE]]-Tabla69[[#This Row],[HABER]]</f>
        <v>34227993.169999912</v>
      </c>
      <c r="K1024" s="142" t="s">
        <v>872</v>
      </c>
      <c r="L1024" s="143" t="s">
        <v>750</v>
      </c>
      <c r="M1024" s="143" t="s">
        <v>1505</v>
      </c>
    </row>
    <row r="1025" spans="2:13" x14ac:dyDescent="0.35">
      <c r="B1025" s="145">
        <v>46045</v>
      </c>
      <c r="C1025" s="146">
        <v>46045</v>
      </c>
      <c r="D1025" s="147" t="s">
        <v>184</v>
      </c>
      <c r="E1025" s="148">
        <v>805</v>
      </c>
      <c r="F1025" s="147" t="s">
        <v>1149</v>
      </c>
      <c r="G1025" s="147" t="s">
        <v>469</v>
      </c>
      <c r="H1025" s="149">
        <v>0</v>
      </c>
      <c r="I1025" s="149">
        <v>3571436</v>
      </c>
      <c r="J1025" s="141">
        <f>+J1024+Tabla69[[#This Row],[DEBE]]-Tabla69[[#This Row],[HABER]]</f>
        <v>30656557.169999912</v>
      </c>
      <c r="K1025" s="142" t="s">
        <v>872</v>
      </c>
      <c r="L1025" s="143" t="s">
        <v>751</v>
      </c>
      <c r="M1025" s="143" t="s">
        <v>1505</v>
      </c>
    </row>
    <row r="1026" spans="2:13" x14ac:dyDescent="0.35">
      <c r="B1026" s="145">
        <v>46045</v>
      </c>
      <c r="C1026" s="146">
        <v>46045</v>
      </c>
      <c r="D1026" s="147" t="s">
        <v>184</v>
      </c>
      <c r="E1026" s="148">
        <v>806</v>
      </c>
      <c r="F1026" s="147" t="s">
        <v>903</v>
      </c>
      <c r="G1026" s="147" t="s">
        <v>470</v>
      </c>
      <c r="H1026" s="149">
        <v>0</v>
      </c>
      <c r="I1026" s="149">
        <v>7547512.0599999996</v>
      </c>
      <c r="J1026" s="141">
        <f>+J1025+Tabla69[[#This Row],[DEBE]]-Tabla69[[#This Row],[HABER]]</f>
        <v>23109045.109999914</v>
      </c>
      <c r="K1026" s="142" t="s">
        <v>872</v>
      </c>
      <c r="L1026" s="143" t="s">
        <v>752</v>
      </c>
      <c r="M1026" s="143" t="s">
        <v>1505</v>
      </c>
    </row>
    <row r="1027" spans="2:13" x14ac:dyDescent="0.35">
      <c r="B1027" s="145">
        <v>46045</v>
      </c>
      <c r="C1027" s="146">
        <v>46045</v>
      </c>
      <c r="D1027" s="147" t="s">
        <v>184</v>
      </c>
      <c r="E1027" s="148">
        <v>807</v>
      </c>
      <c r="F1027" s="147" t="s">
        <v>1150</v>
      </c>
      <c r="G1027" s="147" t="s">
        <v>471</v>
      </c>
      <c r="H1027" s="149">
        <v>0</v>
      </c>
      <c r="I1027" s="149">
        <v>51418</v>
      </c>
      <c r="J1027" s="141">
        <f>+J1026+Tabla69[[#This Row],[DEBE]]-Tabla69[[#This Row],[HABER]]</f>
        <v>23057627.109999914</v>
      </c>
      <c r="K1027" s="142" t="s">
        <v>872</v>
      </c>
      <c r="L1027" s="143" t="s">
        <v>753</v>
      </c>
      <c r="M1027" s="143" t="s">
        <v>1505</v>
      </c>
    </row>
    <row r="1028" spans="2:13" x14ac:dyDescent="0.35">
      <c r="B1028" s="145">
        <v>46045</v>
      </c>
      <c r="C1028" s="146">
        <v>46045</v>
      </c>
      <c r="D1028" s="147" t="s">
        <v>184</v>
      </c>
      <c r="E1028" s="148">
        <v>808</v>
      </c>
      <c r="F1028" s="147" t="s">
        <v>1151</v>
      </c>
      <c r="G1028" s="147" t="s">
        <v>472</v>
      </c>
      <c r="H1028" s="149">
        <v>0</v>
      </c>
      <c r="I1028" s="149">
        <v>19355111.940000001</v>
      </c>
      <c r="J1028" s="141">
        <f>+J1027+Tabla69[[#This Row],[DEBE]]-Tabla69[[#This Row],[HABER]]</f>
        <v>3702515.1699999124</v>
      </c>
      <c r="K1028" s="142" t="s">
        <v>872</v>
      </c>
      <c r="L1028" s="143" t="s">
        <v>754</v>
      </c>
      <c r="M1028" s="143" t="s">
        <v>1505</v>
      </c>
    </row>
    <row r="1029" spans="2:13" x14ac:dyDescent="0.35">
      <c r="B1029" s="145">
        <v>46045</v>
      </c>
      <c r="C1029" s="146">
        <v>46045</v>
      </c>
      <c r="D1029" s="147" t="s">
        <v>184</v>
      </c>
      <c r="E1029" s="148">
        <v>809</v>
      </c>
      <c r="F1029" s="147" t="s">
        <v>1152</v>
      </c>
      <c r="G1029" s="147" t="s">
        <v>473</v>
      </c>
      <c r="H1029" s="149">
        <v>0</v>
      </c>
      <c r="I1029" s="149">
        <v>2250000</v>
      </c>
      <c r="J1029" s="141">
        <f>+J1028+Tabla69[[#This Row],[DEBE]]-Tabla69[[#This Row],[HABER]]</f>
        <v>1452515.1699999124</v>
      </c>
      <c r="K1029" s="142" t="s">
        <v>872</v>
      </c>
      <c r="L1029" s="143" t="s">
        <v>755</v>
      </c>
      <c r="M1029" s="143" t="s">
        <v>1505</v>
      </c>
    </row>
    <row r="1030" spans="2:13" x14ac:dyDescent="0.35">
      <c r="B1030" s="145">
        <v>46045</v>
      </c>
      <c r="C1030" s="146">
        <v>46045</v>
      </c>
      <c r="D1030" s="147" t="s">
        <v>184</v>
      </c>
      <c r="E1030" s="148">
        <v>810</v>
      </c>
      <c r="F1030" s="147" t="s">
        <v>1153</v>
      </c>
      <c r="G1030" s="147" t="s">
        <v>474</v>
      </c>
      <c r="H1030" s="149">
        <v>0</v>
      </c>
      <c r="I1030" s="149">
        <v>235000</v>
      </c>
      <c r="J1030" s="141">
        <f>+J1029+Tabla69[[#This Row],[DEBE]]-Tabla69[[#This Row],[HABER]]</f>
        <v>1217515.1699999124</v>
      </c>
      <c r="K1030" s="142" t="s">
        <v>872</v>
      </c>
      <c r="L1030" s="143" t="s">
        <v>756</v>
      </c>
      <c r="M1030" s="143" t="s">
        <v>1505</v>
      </c>
    </row>
    <row r="1031" spans="2:13" x14ac:dyDescent="0.35">
      <c r="B1031" s="145">
        <v>46045</v>
      </c>
      <c r="C1031" s="146">
        <v>46045</v>
      </c>
      <c r="D1031" s="147" t="s">
        <v>184</v>
      </c>
      <c r="E1031" s="148">
        <v>811</v>
      </c>
      <c r="F1031" s="147" t="s">
        <v>1154</v>
      </c>
      <c r="G1031" s="147" t="s">
        <v>475</v>
      </c>
      <c r="H1031" s="149">
        <v>0</v>
      </c>
      <c r="I1031" s="149">
        <v>18904200</v>
      </c>
      <c r="J1031" s="141">
        <f>+J1030+Tabla69[[#This Row],[DEBE]]-Tabla69[[#This Row],[HABER]]</f>
        <v>-17686684.830000088</v>
      </c>
      <c r="K1031" s="142" t="s">
        <v>872</v>
      </c>
      <c r="L1031" s="143" t="s">
        <v>757</v>
      </c>
      <c r="M1031" s="143" t="s">
        <v>1505</v>
      </c>
    </row>
    <row r="1032" spans="2:13" x14ac:dyDescent="0.35">
      <c r="B1032" s="145">
        <v>46045</v>
      </c>
      <c r="C1032" s="146">
        <v>46045</v>
      </c>
      <c r="D1032" s="147" t="s">
        <v>184</v>
      </c>
      <c r="E1032" s="148">
        <v>812</v>
      </c>
      <c r="F1032" s="147" t="s">
        <v>1155</v>
      </c>
      <c r="G1032" s="147" t="s">
        <v>476</v>
      </c>
      <c r="H1032" s="149">
        <v>0</v>
      </c>
      <c r="I1032" s="149">
        <v>363296.25</v>
      </c>
      <c r="J1032" s="141">
        <f>+J1031+Tabla69[[#This Row],[DEBE]]-Tabla69[[#This Row],[HABER]]</f>
        <v>-18049981.080000088</v>
      </c>
      <c r="K1032" s="142" t="s">
        <v>872</v>
      </c>
      <c r="L1032" s="143" t="s">
        <v>758</v>
      </c>
      <c r="M1032" s="143" t="s">
        <v>1505</v>
      </c>
    </row>
    <row r="1033" spans="2:13" x14ac:dyDescent="0.35">
      <c r="B1033" s="145">
        <v>46045</v>
      </c>
      <c r="C1033" s="146">
        <v>46045</v>
      </c>
      <c r="D1033" s="147" t="s">
        <v>184</v>
      </c>
      <c r="E1033" s="148">
        <v>813</v>
      </c>
      <c r="F1033" s="147" t="s">
        <v>1156</v>
      </c>
      <c r="G1033" s="147" t="s">
        <v>476</v>
      </c>
      <c r="H1033" s="149">
        <v>0</v>
      </c>
      <c r="I1033" s="149">
        <v>423564</v>
      </c>
      <c r="J1033" s="141">
        <f>+J1032+Tabla69[[#This Row],[DEBE]]-Tabla69[[#This Row],[HABER]]</f>
        <v>-18473545.080000088</v>
      </c>
      <c r="K1033" s="142" t="s">
        <v>872</v>
      </c>
      <c r="L1033" s="143" t="s">
        <v>758</v>
      </c>
      <c r="M1033" s="143" t="s">
        <v>1505</v>
      </c>
    </row>
    <row r="1034" spans="2:13" x14ac:dyDescent="0.35">
      <c r="B1034" s="145">
        <v>46045</v>
      </c>
      <c r="C1034" s="146">
        <v>46045</v>
      </c>
      <c r="D1034" s="147" t="s">
        <v>184</v>
      </c>
      <c r="E1034" s="148">
        <v>814</v>
      </c>
      <c r="F1034" s="147" t="s">
        <v>1157</v>
      </c>
      <c r="G1034" s="147" t="s">
        <v>476</v>
      </c>
      <c r="H1034" s="149">
        <v>0</v>
      </c>
      <c r="I1034" s="149">
        <v>423564</v>
      </c>
      <c r="J1034" s="141">
        <f>+J1033+Tabla69[[#This Row],[DEBE]]-Tabla69[[#This Row],[HABER]]</f>
        <v>-18897109.080000088</v>
      </c>
      <c r="K1034" s="142" t="s">
        <v>872</v>
      </c>
      <c r="L1034" s="143" t="s">
        <v>758</v>
      </c>
      <c r="M1034" s="143" t="s">
        <v>1505</v>
      </c>
    </row>
    <row r="1035" spans="2:13" x14ac:dyDescent="0.35">
      <c r="B1035" s="145">
        <v>46045</v>
      </c>
      <c r="C1035" s="146">
        <v>46045</v>
      </c>
      <c r="D1035" s="147" t="s">
        <v>184</v>
      </c>
      <c r="E1035" s="148">
        <v>815</v>
      </c>
      <c r="F1035" s="147" t="s">
        <v>1158</v>
      </c>
      <c r="G1035" s="147" t="s">
        <v>476</v>
      </c>
      <c r="H1035" s="149">
        <v>0</v>
      </c>
      <c r="I1035" s="149">
        <v>363296.25</v>
      </c>
      <c r="J1035" s="141">
        <f>+J1034+Tabla69[[#This Row],[DEBE]]-Tabla69[[#This Row],[HABER]]</f>
        <v>-19260405.330000088</v>
      </c>
      <c r="K1035" s="142" t="s">
        <v>872</v>
      </c>
      <c r="L1035" s="143" t="s">
        <v>758</v>
      </c>
      <c r="M1035" s="143" t="s">
        <v>1505</v>
      </c>
    </row>
    <row r="1036" spans="2:13" x14ac:dyDescent="0.35">
      <c r="B1036" s="145">
        <v>46045</v>
      </c>
      <c r="C1036" s="146">
        <v>46045</v>
      </c>
      <c r="D1036" s="147" t="s">
        <v>184</v>
      </c>
      <c r="E1036" s="148">
        <v>816</v>
      </c>
      <c r="F1036" s="147" t="s">
        <v>1159</v>
      </c>
      <c r="G1036" s="147" t="s">
        <v>477</v>
      </c>
      <c r="H1036" s="149">
        <v>0</v>
      </c>
      <c r="I1036" s="149">
        <v>363296.25</v>
      </c>
      <c r="J1036" s="141">
        <f>+J1035+Tabla69[[#This Row],[DEBE]]-Tabla69[[#This Row],[HABER]]</f>
        <v>-19623701.580000088</v>
      </c>
      <c r="K1036" s="142" t="s">
        <v>872</v>
      </c>
      <c r="L1036" s="143" t="s">
        <v>758</v>
      </c>
      <c r="M1036" s="143" t="s">
        <v>1505</v>
      </c>
    </row>
    <row r="1037" spans="2:13" x14ac:dyDescent="0.35">
      <c r="B1037" s="145">
        <v>46045</v>
      </c>
      <c r="C1037" s="146">
        <v>46045</v>
      </c>
      <c r="D1037" s="147" t="s">
        <v>184</v>
      </c>
      <c r="E1037" s="148">
        <v>817</v>
      </c>
      <c r="F1037" s="147" t="s">
        <v>1160</v>
      </c>
      <c r="G1037" s="147" t="s">
        <v>477</v>
      </c>
      <c r="H1037" s="149">
        <v>0</v>
      </c>
      <c r="I1037" s="149">
        <v>363296.25</v>
      </c>
      <c r="J1037" s="141">
        <f>+J1036+Tabla69[[#This Row],[DEBE]]-Tabla69[[#This Row],[HABER]]</f>
        <v>-19986997.830000088</v>
      </c>
      <c r="K1037" s="142" t="s">
        <v>872</v>
      </c>
      <c r="L1037" s="143" t="s">
        <v>758</v>
      </c>
      <c r="M1037" s="143" t="s">
        <v>1505</v>
      </c>
    </row>
    <row r="1038" spans="2:13" x14ac:dyDescent="0.35">
      <c r="B1038" s="145">
        <v>46045</v>
      </c>
      <c r="C1038" s="146">
        <v>46045</v>
      </c>
      <c r="D1038" s="147" t="s">
        <v>184</v>
      </c>
      <c r="E1038" s="148">
        <v>818</v>
      </c>
      <c r="F1038" s="147" t="s">
        <v>1161</v>
      </c>
      <c r="G1038" s="147" t="s">
        <v>477</v>
      </c>
      <c r="H1038" s="149">
        <v>0</v>
      </c>
      <c r="I1038" s="149">
        <v>363296.25</v>
      </c>
      <c r="J1038" s="141">
        <f>+J1037+Tabla69[[#This Row],[DEBE]]-Tabla69[[#This Row],[HABER]]</f>
        <v>-20350294.080000088</v>
      </c>
      <c r="K1038" s="142" t="s">
        <v>872</v>
      </c>
      <c r="L1038" s="143" t="s">
        <v>758</v>
      </c>
      <c r="M1038" s="143" t="s">
        <v>1505</v>
      </c>
    </row>
    <row r="1039" spans="2:13" x14ac:dyDescent="0.35">
      <c r="B1039" s="145">
        <v>46045</v>
      </c>
      <c r="C1039" s="146">
        <v>46045</v>
      </c>
      <c r="D1039" s="147" t="s">
        <v>184</v>
      </c>
      <c r="E1039" s="148">
        <v>819</v>
      </c>
      <c r="F1039" s="147" t="s">
        <v>1162</v>
      </c>
      <c r="G1039" s="147" t="s">
        <v>476</v>
      </c>
      <c r="H1039" s="149">
        <v>0</v>
      </c>
      <c r="I1039" s="149">
        <v>363296.25</v>
      </c>
      <c r="J1039" s="141">
        <f>+J1038+Tabla69[[#This Row],[DEBE]]-Tabla69[[#This Row],[HABER]]</f>
        <v>-20713590.330000088</v>
      </c>
      <c r="K1039" s="142" t="s">
        <v>872</v>
      </c>
      <c r="L1039" s="143" t="s">
        <v>758</v>
      </c>
      <c r="M1039" s="143" t="s">
        <v>1505</v>
      </c>
    </row>
    <row r="1040" spans="2:13" x14ac:dyDescent="0.35">
      <c r="B1040" s="145">
        <v>46045</v>
      </c>
      <c r="C1040" s="146">
        <v>46045</v>
      </c>
      <c r="D1040" s="147" t="s">
        <v>184</v>
      </c>
      <c r="E1040" s="148">
        <v>820</v>
      </c>
      <c r="F1040" s="147" t="s">
        <v>1163</v>
      </c>
      <c r="G1040" s="147" t="s">
        <v>477</v>
      </c>
      <c r="H1040" s="149">
        <v>0</v>
      </c>
      <c r="I1040" s="149">
        <v>363296.25</v>
      </c>
      <c r="J1040" s="141">
        <f>+J1039+Tabla69[[#This Row],[DEBE]]-Tabla69[[#This Row],[HABER]]</f>
        <v>-21076886.580000088</v>
      </c>
      <c r="K1040" s="142" t="s">
        <v>872</v>
      </c>
      <c r="L1040" s="143" t="s">
        <v>758</v>
      </c>
      <c r="M1040" s="143" t="s">
        <v>1505</v>
      </c>
    </row>
    <row r="1041" spans="2:13" x14ac:dyDescent="0.35">
      <c r="B1041" s="145">
        <v>46045</v>
      </c>
      <c r="C1041" s="146">
        <v>46045</v>
      </c>
      <c r="D1041" s="147" t="s">
        <v>184</v>
      </c>
      <c r="E1041" s="148">
        <v>821</v>
      </c>
      <c r="F1041" s="147" t="s">
        <v>1164</v>
      </c>
      <c r="G1041" s="147" t="s">
        <v>477</v>
      </c>
      <c r="H1041" s="149">
        <v>0</v>
      </c>
      <c r="I1041" s="149">
        <v>363296.25</v>
      </c>
      <c r="J1041" s="141">
        <f>+J1040+Tabla69[[#This Row],[DEBE]]-Tabla69[[#This Row],[HABER]]</f>
        <v>-21440182.830000088</v>
      </c>
      <c r="K1041" s="142" t="s">
        <v>872</v>
      </c>
      <c r="L1041" s="143" t="s">
        <v>758</v>
      </c>
      <c r="M1041" s="143" t="s">
        <v>1505</v>
      </c>
    </row>
    <row r="1042" spans="2:13" x14ac:dyDescent="0.35">
      <c r="B1042" s="145">
        <v>46045</v>
      </c>
      <c r="C1042" s="146">
        <v>46045</v>
      </c>
      <c r="D1042" s="147" t="s">
        <v>184</v>
      </c>
      <c r="E1042" s="148">
        <v>822</v>
      </c>
      <c r="F1042" s="147" t="s">
        <v>1165</v>
      </c>
      <c r="G1042" s="147" t="s">
        <v>476</v>
      </c>
      <c r="H1042" s="149">
        <v>0</v>
      </c>
      <c r="I1042" s="149">
        <v>363296.25</v>
      </c>
      <c r="J1042" s="141">
        <f>+J1041+Tabla69[[#This Row],[DEBE]]-Tabla69[[#This Row],[HABER]]</f>
        <v>-21803479.080000088</v>
      </c>
      <c r="K1042" s="142" t="s">
        <v>872</v>
      </c>
      <c r="L1042" s="143" t="s">
        <v>758</v>
      </c>
      <c r="M1042" s="143" t="s">
        <v>1505</v>
      </c>
    </row>
    <row r="1043" spans="2:13" x14ac:dyDescent="0.35">
      <c r="B1043" s="145">
        <v>46045</v>
      </c>
      <c r="C1043" s="146">
        <v>46045</v>
      </c>
      <c r="D1043" s="147" t="s">
        <v>184</v>
      </c>
      <c r="E1043" s="148">
        <v>823</v>
      </c>
      <c r="F1043" s="147" t="s">
        <v>1166</v>
      </c>
      <c r="G1043" s="147" t="s">
        <v>476</v>
      </c>
      <c r="H1043" s="149">
        <v>0</v>
      </c>
      <c r="I1043" s="149">
        <v>363296.25</v>
      </c>
      <c r="J1043" s="141">
        <f>+J1042+Tabla69[[#This Row],[DEBE]]-Tabla69[[#This Row],[HABER]]</f>
        <v>-22166775.330000088</v>
      </c>
      <c r="K1043" s="142" t="s">
        <v>872</v>
      </c>
      <c r="L1043" s="143" t="s">
        <v>758</v>
      </c>
      <c r="M1043" s="143" t="s">
        <v>1505</v>
      </c>
    </row>
    <row r="1044" spans="2:13" x14ac:dyDescent="0.35">
      <c r="B1044" s="145">
        <v>46045</v>
      </c>
      <c r="C1044" s="146">
        <v>46045</v>
      </c>
      <c r="D1044" s="147" t="s">
        <v>184</v>
      </c>
      <c r="E1044" s="148">
        <v>824</v>
      </c>
      <c r="F1044" s="147" t="s">
        <v>1167</v>
      </c>
      <c r="G1044" s="147" t="s">
        <v>477</v>
      </c>
      <c r="H1044" s="149">
        <v>0</v>
      </c>
      <c r="I1044" s="149">
        <v>363296.25</v>
      </c>
      <c r="J1044" s="141">
        <f>+J1043+Tabla69[[#This Row],[DEBE]]-Tabla69[[#This Row],[HABER]]</f>
        <v>-22530071.580000088</v>
      </c>
      <c r="K1044" s="142" t="s">
        <v>872</v>
      </c>
      <c r="L1044" s="143" t="s">
        <v>758</v>
      </c>
      <c r="M1044" s="143" t="s">
        <v>1505</v>
      </c>
    </row>
    <row r="1045" spans="2:13" x14ac:dyDescent="0.35">
      <c r="B1045" s="145">
        <v>46045</v>
      </c>
      <c r="C1045" s="146">
        <v>46045</v>
      </c>
      <c r="D1045" s="147" t="s">
        <v>184</v>
      </c>
      <c r="E1045" s="148">
        <v>825</v>
      </c>
      <c r="F1045" s="147" t="s">
        <v>1168</v>
      </c>
      <c r="G1045" s="147" t="s">
        <v>476</v>
      </c>
      <c r="H1045" s="149">
        <v>0</v>
      </c>
      <c r="I1045" s="149">
        <v>363296.25</v>
      </c>
      <c r="J1045" s="141">
        <f>+J1044+Tabla69[[#This Row],[DEBE]]-Tabla69[[#This Row],[HABER]]</f>
        <v>-22893367.830000088</v>
      </c>
      <c r="K1045" s="142" t="s">
        <v>872</v>
      </c>
      <c r="L1045" s="143" t="s">
        <v>758</v>
      </c>
      <c r="M1045" s="143" t="s">
        <v>1505</v>
      </c>
    </row>
    <row r="1046" spans="2:13" x14ac:dyDescent="0.35">
      <c r="B1046" s="165">
        <v>46045</v>
      </c>
      <c r="C1046" s="166">
        <v>46045</v>
      </c>
      <c r="D1046" s="167" t="s">
        <v>184</v>
      </c>
      <c r="E1046" s="168">
        <v>826</v>
      </c>
      <c r="F1046" s="167" t="s">
        <v>1169</v>
      </c>
      <c r="G1046" s="167"/>
      <c r="H1046" s="169">
        <v>0</v>
      </c>
      <c r="I1046" s="169">
        <v>-363296.25</v>
      </c>
      <c r="J1046" s="155">
        <f>+J1045+Tabla69[[#This Row],[DEBE]]-Tabla69[[#This Row],[HABER]]</f>
        <v>-22530071.580000088</v>
      </c>
      <c r="K1046" s="156" t="s">
        <v>871</v>
      </c>
      <c r="L1046" s="157" t="s">
        <v>758</v>
      </c>
      <c r="M1046" s="157"/>
    </row>
    <row r="1047" spans="2:13" x14ac:dyDescent="0.35">
      <c r="B1047" s="165">
        <v>46045</v>
      </c>
      <c r="C1047" s="166">
        <v>46045</v>
      </c>
      <c r="D1047" s="167" t="s">
        <v>184</v>
      </c>
      <c r="E1047" s="168">
        <v>826</v>
      </c>
      <c r="F1047" s="167" t="s">
        <v>1169</v>
      </c>
      <c r="G1047" s="167"/>
      <c r="H1047" s="169">
        <v>0</v>
      </c>
      <c r="I1047" s="169">
        <v>363296.25</v>
      </c>
      <c r="J1047" s="155">
        <f>+J1046+Tabla69[[#This Row],[DEBE]]-Tabla69[[#This Row],[HABER]]</f>
        <v>-22893367.830000088</v>
      </c>
      <c r="K1047" s="156" t="s">
        <v>871</v>
      </c>
      <c r="L1047" s="157" t="s">
        <v>758</v>
      </c>
      <c r="M1047" s="157"/>
    </row>
    <row r="1048" spans="2:13" x14ac:dyDescent="0.35">
      <c r="B1048" s="165">
        <v>46045</v>
      </c>
      <c r="C1048" s="166">
        <v>46045</v>
      </c>
      <c r="D1048" s="167" t="s">
        <v>184</v>
      </c>
      <c r="E1048" s="168">
        <v>827</v>
      </c>
      <c r="F1048" s="167" t="s">
        <v>1170</v>
      </c>
      <c r="G1048" s="167" t="s">
        <v>476</v>
      </c>
      <c r="H1048" s="169">
        <v>0</v>
      </c>
      <c r="I1048" s="169">
        <v>363296.25</v>
      </c>
      <c r="J1048" s="155">
        <f>+J1047+Tabla69[[#This Row],[DEBE]]-Tabla69[[#This Row],[HABER]]</f>
        <v>-23256664.080000088</v>
      </c>
      <c r="K1048" s="156" t="s">
        <v>871</v>
      </c>
      <c r="L1048" s="157" t="s">
        <v>758</v>
      </c>
      <c r="M1048" s="157"/>
    </row>
    <row r="1049" spans="2:13" x14ac:dyDescent="0.35">
      <c r="B1049" s="165">
        <v>46045</v>
      </c>
      <c r="C1049" s="166">
        <v>46045</v>
      </c>
      <c r="D1049" s="167" t="s">
        <v>184</v>
      </c>
      <c r="E1049" s="168">
        <v>827</v>
      </c>
      <c r="F1049" s="167" t="s">
        <v>1170</v>
      </c>
      <c r="G1049" s="167" t="s">
        <v>476</v>
      </c>
      <c r="H1049" s="169">
        <v>0</v>
      </c>
      <c r="I1049" s="169">
        <v>-363296.25</v>
      </c>
      <c r="J1049" s="155">
        <f>+J1048+Tabla69[[#This Row],[DEBE]]-Tabla69[[#This Row],[HABER]]</f>
        <v>-22893367.830000088</v>
      </c>
      <c r="K1049" s="156" t="s">
        <v>871</v>
      </c>
      <c r="L1049" s="157" t="s">
        <v>758</v>
      </c>
      <c r="M1049" s="157"/>
    </row>
    <row r="1050" spans="2:13" x14ac:dyDescent="0.35">
      <c r="B1050" s="165">
        <v>46045</v>
      </c>
      <c r="C1050" s="166">
        <v>46045</v>
      </c>
      <c r="D1050" s="167" t="s">
        <v>184</v>
      </c>
      <c r="E1050" s="168">
        <v>828</v>
      </c>
      <c r="F1050" s="167" t="s">
        <v>1144</v>
      </c>
      <c r="G1050" s="167" t="s">
        <v>463</v>
      </c>
      <c r="H1050" s="169">
        <v>0</v>
      </c>
      <c r="I1050" s="169">
        <v>5692500</v>
      </c>
      <c r="J1050" s="155">
        <f>+J1049+Tabla69[[#This Row],[DEBE]]-Tabla69[[#This Row],[HABER]]</f>
        <v>-28585867.830000088</v>
      </c>
      <c r="K1050" s="156" t="s">
        <v>871</v>
      </c>
      <c r="L1050" s="157" t="s">
        <v>745</v>
      </c>
      <c r="M1050" s="157"/>
    </row>
    <row r="1051" spans="2:13" x14ac:dyDescent="0.35">
      <c r="B1051" s="165">
        <v>46045</v>
      </c>
      <c r="C1051" s="166">
        <v>46045</v>
      </c>
      <c r="D1051" s="167" t="s">
        <v>184</v>
      </c>
      <c r="E1051" s="168">
        <v>828</v>
      </c>
      <c r="F1051" s="167" t="s">
        <v>1171</v>
      </c>
      <c r="G1051" s="167" t="s">
        <v>463</v>
      </c>
      <c r="H1051" s="169">
        <v>0</v>
      </c>
      <c r="I1051" s="169">
        <v>-5692500</v>
      </c>
      <c r="J1051" s="155">
        <f>+J1050+Tabla69[[#This Row],[DEBE]]-Tabla69[[#This Row],[HABER]]</f>
        <v>-22893367.830000088</v>
      </c>
      <c r="K1051" s="156" t="s">
        <v>871</v>
      </c>
      <c r="L1051" s="157" t="s">
        <v>745</v>
      </c>
      <c r="M1051" s="157"/>
    </row>
    <row r="1052" spans="2:13" x14ac:dyDescent="0.35">
      <c r="B1052" s="165">
        <v>46045</v>
      </c>
      <c r="C1052" s="166">
        <v>46045</v>
      </c>
      <c r="D1052" s="167" t="s">
        <v>184</v>
      </c>
      <c r="E1052" s="168">
        <v>829</v>
      </c>
      <c r="F1052" s="167" t="s">
        <v>1171</v>
      </c>
      <c r="G1052" s="167" t="s">
        <v>463</v>
      </c>
      <c r="H1052" s="169">
        <v>0</v>
      </c>
      <c r="I1052" s="169">
        <v>5692500</v>
      </c>
      <c r="J1052" s="155">
        <f>+J1051+Tabla69[[#This Row],[DEBE]]-Tabla69[[#This Row],[HABER]]</f>
        <v>-28585867.830000088</v>
      </c>
      <c r="K1052" s="156" t="s">
        <v>871</v>
      </c>
      <c r="L1052" s="157" t="s">
        <v>745</v>
      </c>
      <c r="M1052" s="157"/>
    </row>
    <row r="1053" spans="2:13" x14ac:dyDescent="0.35">
      <c r="B1053" s="165">
        <v>46045</v>
      </c>
      <c r="C1053" s="166">
        <v>46045</v>
      </c>
      <c r="D1053" s="167" t="s">
        <v>184</v>
      </c>
      <c r="E1053" s="168">
        <v>829</v>
      </c>
      <c r="F1053" s="167" t="s">
        <v>1171</v>
      </c>
      <c r="G1053" s="167" t="s">
        <v>463</v>
      </c>
      <c r="H1053" s="169">
        <v>0</v>
      </c>
      <c r="I1053" s="169">
        <v>-5692500</v>
      </c>
      <c r="J1053" s="155">
        <f>+J1052+Tabla69[[#This Row],[DEBE]]-Tabla69[[#This Row],[HABER]]</f>
        <v>-22893367.830000088</v>
      </c>
      <c r="K1053" s="156" t="s">
        <v>871</v>
      </c>
      <c r="L1053" s="157" t="s">
        <v>745</v>
      </c>
      <c r="M1053" s="157"/>
    </row>
    <row r="1054" spans="2:13" x14ac:dyDescent="0.35">
      <c r="B1054" s="145">
        <v>46045</v>
      </c>
      <c r="C1054" s="146">
        <v>46045</v>
      </c>
      <c r="D1054" s="147" t="s">
        <v>184</v>
      </c>
      <c r="E1054" s="148">
        <v>830</v>
      </c>
      <c r="F1054" s="147" t="s">
        <v>1535</v>
      </c>
      <c r="G1054" s="147"/>
      <c r="H1054" s="149">
        <v>0</v>
      </c>
      <c r="I1054" s="149">
        <v>363296.25</v>
      </c>
      <c r="J1054" s="141">
        <f>+J1053+Tabla69[[#This Row],[DEBE]]-Tabla69[[#This Row],[HABER]]</f>
        <v>-23256664.080000088</v>
      </c>
      <c r="K1054" s="142" t="s">
        <v>872</v>
      </c>
      <c r="L1054" s="143" t="s">
        <v>758</v>
      </c>
      <c r="M1054" s="143" t="s">
        <v>1505</v>
      </c>
    </row>
    <row r="1055" spans="2:13" x14ac:dyDescent="0.35">
      <c r="B1055" s="145">
        <v>46045</v>
      </c>
      <c r="C1055" s="146">
        <v>46045</v>
      </c>
      <c r="D1055" s="147" t="s">
        <v>184</v>
      </c>
      <c r="E1055" s="148">
        <v>831</v>
      </c>
      <c r="F1055" s="147" t="s">
        <v>1170</v>
      </c>
      <c r="G1055" s="147" t="s">
        <v>476</v>
      </c>
      <c r="H1055" s="149">
        <v>0</v>
      </c>
      <c r="I1055" s="149">
        <v>363296.25</v>
      </c>
      <c r="J1055" s="141">
        <f>+J1054+Tabla69[[#This Row],[DEBE]]-Tabla69[[#This Row],[HABER]]</f>
        <v>-23619960.330000088</v>
      </c>
      <c r="K1055" s="142" t="s">
        <v>872</v>
      </c>
      <c r="L1055" s="143" t="s">
        <v>758</v>
      </c>
      <c r="M1055" s="143" t="s">
        <v>1505</v>
      </c>
    </row>
    <row r="1056" spans="2:13" x14ac:dyDescent="0.35">
      <c r="B1056" s="145">
        <v>46045</v>
      </c>
      <c r="C1056" s="146">
        <v>46045</v>
      </c>
      <c r="D1056" s="147" t="s">
        <v>184</v>
      </c>
      <c r="E1056" s="148">
        <v>832</v>
      </c>
      <c r="F1056" s="147" t="s">
        <v>1172</v>
      </c>
      <c r="G1056" s="147" t="s">
        <v>478</v>
      </c>
      <c r="H1056" s="149">
        <v>0</v>
      </c>
      <c r="I1056" s="149">
        <v>4000000</v>
      </c>
      <c r="J1056" s="141">
        <f>+J1055+Tabla69[[#This Row],[DEBE]]-Tabla69[[#This Row],[HABER]]</f>
        <v>-27619960.330000088</v>
      </c>
      <c r="K1056" s="142" t="s">
        <v>872</v>
      </c>
      <c r="L1056" s="143" t="s">
        <v>759</v>
      </c>
      <c r="M1056" s="143" t="s">
        <v>1505</v>
      </c>
    </row>
    <row r="1057" spans="2:13" x14ac:dyDescent="0.35">
      <c r="B1057" s="145">
        <v>46048</v>
      </c>
      <c r="C1057" s="146">
        <v>46044</v>
      </c>
      <c r="D1057" s="138" t="s">
        <v>873</v>
      </c>
      <c r="E1057" s="148">
        <v>20</v>
      </c>
      <c r="F1057" s="147" t="s">
        <v>254</v>
      </c>
      <c r="G1057" s="147" t="s">
        <v>253</v>
      </c>
      <c r="H1057" s="149">
        <v>196341999.05000001</v>
      </c>
      <c r="I1057" s="149">
        <v>0</v>
      </c>
      <c r="J1057" s="141">
        <f>+J1056+Tabla69[[#This Row],[DEBE]]-Tabla69[[#This Row],[HABER]]</f>
        <v>168722038.71999991</v>
      </c>
      <c r="K1057" s="142" t="s">
        <v>872</v>
      </c>
      <c r="L1057" s="143" t="s">
        <v>760</v>
      </c>
      <c r="M1057" s="143" t="s">
        <v>83</v>
      </c>
    </row>
    <row r="1058" spans="2:13" x14ac:dyDescent="0.35">
      <c r="B1058" s="145">
        <v>46048</v>
      </c>
      <c r="C1058" s="146">
        <v>46044</v>
      </c>
      <c r="D1058" s="138" t="s">
        <v>873</v>
      </c>
      <c r="E1058" s="148">
        <v>21</v>
      </c>
      <c r="F1058" s="147" t="s">
        <v>254</v>
      </c>
      <c r="G1058" s="147" t="s">
        <v>479</v>
      </c>
      <c r="H1058" s="149">
        <v>157073599.25</v>
      </c>
      <c r="I1058" s="149">
        <v>0</v>
      </c>
      <c r="J1058" s="141">
        <f>+J1057+Tabla69[[#This Row],[DEBE]]-Tabla69[[#This Row],[HABER]]</f>
        <v>325795637.96999991</v>
      </c>
      <c r="K1058" s="142" t="s">
        <v>872</v>
      </c>
      <c r="L1058" s="143" t="s">
        <v>761</v>
      </c>
      <c r="M1058" s="143" t="s">
        <v>83</v>
      </c>
    </row>
    <row r="1059" spans="2:13" x14ac:dyDescent="0.35">
      <c r="B1059" s="145">
        <v>46048</v>
      </c>
      <c r="C1059" s="146">
        <v>46045</v>
      </c>
      <c r="D1059" s="147" t="s">
        <v>185</v>
      </c>
      <c r="E1059" s="148">
        <v>22</v>
      </c>
      <c r="F1059" s="147" t="s">
        <v>198</v>
      </c>
      <c r="G1059" s="147" t="s">
        <v>199</v>
      </c>
      <c r="H1059" s="149">
        <v>0</v>
      </c>
      <c r="I1059" s="149">
        <v>400000000</v>
      </c>
      <c r="J1059" s="141">
        <f>+J1058+Tabla69[[#This Row],[DEBE]]-Tabla69[[#This Row],[HABER]]</f>
        <v>-74204362.030000091</v>
      </c>
      <c r="K1059" s="142" t="s">
        <v>872</v>
      </c>
      <c r="L1059" s="143" t="s">
        <v>762</v>
      </c>
      <c r="M1059" s="143" t="s">
        <v>83</v>
      </c>
    </row>
    <row r="1060" spans="2:13" x14ac:dyDescent="0.35">
      <c r="B1060" s="145">
        <v>46048</v>
      </c>
      <c r="C1060" s="146">
        <v>46035</v>
      </c>
      <c r="D1060" s="138" t="s">
        <v>874</v>
      </c>
      <c r="E1060" s="148">
        <v>58</v>
      </c>
      <c r="F1060" s="147" t="s">
        <v>480</v>
      </c>
      <c r="G1060" s="147" t="s">
        <v>481</v>
      </c>
      <c r="H1060" s="149">
        <v>3992627.28</v>
      </c>
      <c r="I1060" s="149">
        <v>0</v>
      </c>
      <c r="J1060" s="141">
        <f>+J1059+Tabla69[[#This Row],[DEBE]]-Tabla69[[#This Row],[HABER]]</f>
        <v>-70211734.750000089</v>
      </c>
      <c r="K1060" s="142" t="s">
        <v>872</v>
      </c>
      <c r="L1060" s="147" t="s">
        <v>1558</v>
      </c>
      <c r="M1060" s="143" t="s">
        <v>85</v>
      </c>
    </row>
    <row r="1061" spans="2:13" x14ac:dyDescent="0.35">
      <c r="B1061" s="145">
        <v>46048</v>
      </c>
      <c r="C1061" s="146">
        <v>46048</v>
      </c>
      <c r="D1061" s="138" t="s">
        <v>874</v>
      </c>
      <c r="E1061" s="148">
        <v>62</v>
      </c>
      <c r="F1061" s="147" t="s">
        <v>197</v>
      </c>
      <c r="G1061" s="147" t="s">
        <v>1475</v>
      </c>
      <c r="H1061" s="149">
        <v>566717000</v>
      </c>
      <c r="I1061" s="149">
        <v>0</v>
      </c>
      <c r="J1061" s="141">
        <f>+J1060+Tabla69[[#This Row],[DEBE]]-Tabla69[[#This Row],[HABER]]</f>
        <v>496505265.24999988</v>
      </c>
      <c r="K1061" s="142" t="s">
        <v>872</v>
      </c>
      <c r="L1061" s="176" t="s">
        <v>1476</v>
      </c>
      <c r="M1061" s="143" t="s">
        <v>89</v>
      </c>
    </row>
    <row r="1062" spans="2:13" x14ac:dyDescent="0.35">
      <c r="B1062" s="145">
        <v>46048</v>
      </c>
      <c r="C1062" s="146">
        <v>46048</v>
      </c>
      <c r="D1062" s="147" t="s">
        <v>184</v>
      </c>
      <c r="E1062" s="148">
        <v>833</v>
      </c>
      <c r="F1062" s="147" t="s">
        <v>1173</v>
      </c>
      <c r="G1062" s="147" t="s">
        <v>482</v>
      </c>
      <c r="H1062" s="149">
        <v>0</v>
      </c>
      <c r="I1062" s="149">
        <v>11265</v>
      </c>
      <c r="J1062" s="141">
        <f>+J1061+Tabla69[[#This Row],[DEBE]]-Tabla69[[#This Row],[HABER]]</f>
        <v>496494000.24999988</v>
      </c>
      <c r="K1062" s="142" t="s">
        <v>872</v>
      </c>
      <c r="L1062" s="143" t="s">
        <v>763</v>
      </c>
      <c r="M1062" s="143" t="s">
        <v>1505</v>
      </c>
    </row>
    <row r="1063" spans="2:13" x14ac:dyDescent="0.35">
      <c r="B1063" s="165">
        <v>46048</v>
      </c>
      <c r="C1063" s="166">
        <v>46048</v>
      </c>
      <c r="D1063" s="167" t="s">
        <v>184</v>
      </c>
      <c r="E1063" s="168">
        <v>834</v>
      </c>
      <c r="F1063" s="167" t="s">
        <v>1174</v>
      </c>
      <c r="G1063" s="167" t="s">
        <v>483</v>
      </c>
      <c r="H1063" s="169">
        <v>0</v>
      </c>
      <c r="I1063" s="169">
        <v>45060</v>
      </c>
      <c r="J1063" s="155">
        <f>+J1062+Tabla69[[#This Row],[DEBE]]-Tabla69[[#This Row],[HABER]]</f>
        <v>496448940.24999988</v>
      </c>
      <c r="K1063" s="156" t="s">
        <v>871</v>
      </c>
      <c r="L1063" s="157" t="s">
        <v>764</v>
      </c>
      <c r="M1063" s="157"/>
    </row>
    <row r="1064" spans="2:13" x14ac:dyDescent="0.35">
      <c r="B1064" s="165">
        <v>46048</v>
      </c>
      <c r="C1064" s="166">
        <v>46048</v>
      </c>
      <c r="D1064" s="167" t="s">
        <v>184</v>
      </c>
      <c r="E1064" s="168">
        <v>835</v>
      </c>
      <c r="F1064" s="167" t="s">
        <v>1175</v>
      </c>
      <c r="G1064" s="167" t="s">
        <v>484</v>
      </c>
      <c r="H1064" s="169">
        <v>0</v>
      </c>
      <c r="I1064" s="169">
        <v>454496.11</v>
      </c>
      <c r="J1064" s="155">
        <f>+J1063+Tabla69[[#This Row],[DEBE]]-Tabla69[[#This Row],[HABER]]</f>
        <v>495994444.13999987</v>
      </c>
      <c r="K1064" s="156" t="s">
        <v>871</v>
      </c>
      <c r="L1064" s="157" t="s">
        <v>765</v>
      </c>
      <c r="M1064" s="157"/>
    </row>
    <row r="1065" spans="2:13" x14ac:dyDescent="0.35">
      <c r="B1065" s="165">
        <v>46048</v>
      </c>
      <c r="C1065" s="166">
        <v>46048</v>
      </c>
      <c r="D1065" s="167" t="s">
        <v>184</v>
      </c>
      <c r="E1065" s="168">
        <v>835</v>
      </c>
      <c r="F1065" s="167" t="s">
        <v>1175</v>
      </c>
      <c r="G1065" s="167" t="s">
        <v>484</v>
      </c>
      <c r="H1065" s="169">
        <v>0</v>
      </c>
      <c r="I1065" s="169">
        <v>-454496.11</v>
      </c>
      <c r="J1065" s="155">
        <f>+J1064+Tabla69[[#This Row],[DEBE]]-Tabla69[[#This Row],[HABER]]</f>
        <v>496448940.24999988</v>
      </c>
      <c r="K1065" s="156" t="s">
        <v>871</v>
      </c>
      <c r="L1065" s="157" t="s">
        <v>765</v>
      </c>
      <c r="M1065" s="157"/>
    </row>
    <row r="1066" spans="2:13" x14ac:dyDescent="0.35">
      <c r="B1066" s="165">
        <v>46048</v>
      </c>
      <c r="C1066" s="166">
        <v>46048</v>
      </c>
      <c r="D1066" s="167" t="s">
        <v>184</v>
      </c>
      <c r="E1066" s="168">
        <v>836</v>
      </c>
      <c r="F1066" s="167" t="s">
        <v>1016</v>
      </c>
      <c r="G1066" s="167" t="s">
        <v>485</v>
      </c>
      <c r="H1066" s="169">
        <v>0</v>
      </c>
      <c r="I1066" s="169">
        <v>1258292</v>
      </c>
      <c r="J1066" s="155">
        <f>+J1065+Tabla69[[#This Row],[DEBE]]-Tabla69[[#This Row],[HABER]]</f>
        <v>495190648.24999988</v>
      </c>
      <c r="K1066" s="156" t="s">
        <v>871</v>
      </c>
      <c r="L1066" s="157" t="s">
        <v>765</v>
      </c>
      <c r="M1066" s="157"/>
    </row>
    <row r="1067" spans="2:13" x14ac:dyDescent="0.35">
      <c r="B1067" s="165">
        <v>46048</v>
      </c>
      <c r="C1067" s="166">
        <v>46048</v>
      </c>
      <c r="D1067" s="167" t="s">
        <v>184</v>
      </c>
      <c r="E1067" s="168">
        <v>836</v>
      </c>
      <c r="F1067" s="167" t="s">
        <v>1016</v>
      </c>
      <c r="G1067" s="167" t="s">
        <v>485</v>
      </c>
      <c r="H1067" s="169">
        <v>0</v>
      </c>
      <c r="I1067" s="169">
        <v>-1258292</v>
      </c>
      <c r="J1067" s="155">
        <f>+J1066+Tabla69[[#This Row],[DEBE]]-Tabla69[[#This Row],[HABER]]</f>
        <v>496448940.24999988</v>
      </c>
      <c r="K1067" s="156" t="s">
        <v>871</v>
      </c>
      <c r="L1067" s="157" t="s">
        <v>765</v>
      </c>
      <c r="M1067" s="157"/>
    </row>
    <row r="1068" spans="2:13" x14ac:dyDescent="0.35">
      <c r="B1068" s="165">
        <v>46048</v>
      </c>
      <c r="C1068" s="166">
        <v>46048</v>
      </c>
      <c r="D1068" s="167" t="s">
        <v>184</v>
      </c>
      <c r="E1068" s="168">
        <v>837</v>
      </c>
      <c r="F1068" s="167" t="s">
        <v>1176</v>
      </c>
      <c r="G1068" s="167" t="s">
        <v>486</v>
      </c>
      <c r="H1068" s="169">
        <v>0</v>
      </c>
      <c r="I1068" s="169">
        <v>4598056.79</v>
      </c>
      <c r="J1068" s="155">
        <f>+J1067+Tabla69[[#This Row],[DEBE]]-Tabla69[[#This Row],[HABER]]</f>
        <v>491850883.45999986</v>
      </c>
      <c r="K1068" s="156" t="s">
        <v>871</v>
      </c>
      <c r="L1068" s="157" t="s">
        <v>766</v>
      </c>
      <c r="M1068" s="157"/>
    </row>
    <row r="1069" spans="2:13" x14ac:dyDescent="0.35">
      <c r="B1069" s="165">
        <v>46048</v>
      </c>
      <c r="C1069" s="166">
        <v>46048</v>
      </c>
      <c r="D1069" s="167" t="s">
        <v>184</v>
      </c>
      <c r="E1069" s="168">
        <v>837</v>
      </c>
      <c r="F1069" s="167" t="s">
        <v>1176</v>
      </c>
      <c r="G1069" s="167" t="s">
        <v>486</v>
      </c>
      <c r="H1069" s="169">
        <v>0</v>
      </c>
      <c r="I1069" s="169">
        <v>-4598056.79</v>
      </c>
      <c r="J1069" s="155">
        <f>+J1068+Tabla69[[#This Row],[DEBE]]-Tabla69[[#This Row],[HABER]]</f>
        <v>496448940.24999988</v>
      </c>
      <c r="K1069" s="156" t="s">
        <v>871</v>
      </c>
      <c r="L1069" s="157" t="s">
        <v>766</v>
      </c>
      <c r="M1069" s="157"/>
    </row>
    <row r="1070" spans="2:13" x14ac:dyDescent="0.35">
      <c r="B1070" s="145">
        <v>46048</v>
      </c>
      <c r="C1070" s="146">
        <v>46048</v>
      </c>
      <c r="D1070" s="147" t="s">
        <v>184</v>
      </c>
      <c r="E1070" s="148">
        <v>838</v>
      </c>
      <c r="F1070" s="147" t="s">
        <v>1176</v>
      </c>
      <c r="G1070" s="147" t="s">
        <v>486</v>
      </c>
      <c r="H1070" s="149">
        <v>0</v>
      </c>
      <c r="I1070" s="149">
        <v>4598056.79</v>
      </c>
      <c r="J1070" s="141">
        <f>+J1069+Tabla69[[#This Row],[DEBE]]-Tabla69[[#This Row],[HABER]]</f>
        <v>491850883.45999986</v>
      </c>
      <c r="K1070" s="142" t="s">
        <v>872</v>
      </c>
      <c r="L1070" s="143" t="s">
        <v>766</v>
      </c>
      <c r="M1070" s="143" t="s">
        <v>1505</v>
      </c>
    </row>
    <row r="1071" spans="2:13" x14ac:dyDescent="0.35">
      <c r="B1071" s="145">
        <v>46048</v>
      </c>
      <c r="C1071" s="146">
        <v>46048</v>
      </c>
      <c r="D1071" s="147" t="s">
        <v>184</v>
      </c>
      <c r="E1071" s="148">
        <v>839</v>
      </c>
      <c r="F1071" s="147" t="s">
        <v>1016</v>
      </c>
      <c r="G1071" s="147" t="s">
        <v>485</v>
      </c>
      <c r="H1071" s="149">
        <v>0</v>
      </c>
      <c r="I1071" s="149">
        <v>1258292</v>
      </c>
      <c r="J1071" s="141">
        <f>+J1070+Tabla69[[#This Row],[DEBE]]-Tabla69[[#This Row],[HABER]]</f>
        <v>490592591.45999986</v>
      </c>
      <c r="K1071" s="142" t="s">
        <v>872</v>
      </c>
      <c r="L1071" s="143" t="s">
        <v>765</v>
      </c>
      <c r="M1071" s="143" t="s">
        <v>92</v>
      </c>
    </row>
    <row r="1072" spans="2:13" x14ac:dyDescent="0.35">
      <c r="B1072" s="145">
        <v>46048</v>
      </c>
      <c r="C1072" s="146">
        <v>46048</v>
      </c>
      <c r="D1072" s="147" t="s">
        <v>184</v>
      </c>
      <c r="E1072" s="148">
        <v>840</v>
      </c>
      <c r="F1072" s="147" t="s">
        <v>1175</v>
      </c>
      <c r="G1072" s="147" t="s">
        <v>484</v>
      </c>
      <c r="H1072" s="149">
        <v>0</v>
      </c>
      <c r="I1072" s="149">
        <v>454496.11</v>
      </c>
      <c r="J1072" s="141">
        <f>+J1071+Tabla69[[#This Row],[DEBE]]-Tabla69[[#This Row],[HABER]]</f>
        <v>490138095.34999985</v>
      </c>
      <c r="K1072" s="142" t="s">
        <v>872</v>
      </c>
      <c r="L1072" s="143" t="s">
        <v>765</v>
      </c>
      <c r="M1072" s="143" t="s">
        <v>92</v>
      </c>
    </row>
    <row r="1073" spans="2:13" x14ac:dyDescent="0.35">
      <c r="B1073" s="145">
        <v>46048</v>
      </c>
      <c r="C1073" s="146">
        <v>46048</v>
      </c>
      <c r="D1073" s="147" t="s">
        <v>184</v>
      </c>
      <c r="E1073" s="148">
        <v>841</v>
      </c>
      <c r="F1073" s="147" t="s">
        <v>1171</v>
      </c>
      <c r="G1073" s="147" t="s">
        <v>463</v>
      </c>
      <c r="H1073" s="149">
        <v>0</v>
      </c>
      <c r="I1073" s="149">
        <v>5692500</v>
      </c>
      <c r="J1073" s="141">
        <f>+J1072+Tabla69[[#This Row],[DEBE]]-Tabla69[[#This Row],[HABER]]</f>
        <v>484445595.34999985</v>
      </c>
      <c r="K1073" s="142" t="s">
        <v>872</v>
      </c>
      <c r="L1073" s="143" t="s">
        <v>745</v>
      </c>
      <c r="M1073" s="143" t="s">
        <v>1505</v>
      </c>
    </row>
    <row r="1074" spans="2:13" x14ac:dyDescent="0.35">
      <c r="B1074" s="165">
        <v>46048</v>
      </c>
      <c r="C1074" s="166">
        <v>46048</v>
      </c>
      <c r="D1074" s="167" t="s">
        <v>184</v>
      </c>
      <c r="E1074" s="168">
        <v>842</v>
      </c>
      <c r="F1074" s="167" t="s">
        <v>1177</v>
      </c>
      <c r="G1074" s="167" t="s">
        <v>487</v>
      </c>
      <c r="H1074" s="169">
        <v>0</v>
      </c>
      <c r="I1074" s="169">
        <v>-133333.32999999999</v>
      </c>
      <c r="J1074" s="155">
        <f>+J1073+Tabla69[[#This Row],[DEBE]]-Tabla69[[#This Row],[HABER]]</f>
        <v>484578928.67999983</v>
      </c>
      <c r="K1074" s="156" t="s">
        <v>871</v>
      </c>
      <c r="L1074" s="157" t="s">
        <v>767</v>
      </c>
      <c r="M1074" s="157"/>
    </row>
    <row r="1075" spans="2:13" x14ac:dyDescent="0.35">
      <c r="B1075" s="165">
        <v>46048</v>
      </c>
      <c r="C1075" s="166">
        <v>46048</v>
      </c>
      <c r="D1075" s="167" t="s">
        <v>184</v>
      </c>
      <c r="E1075" s="168">
        <v>842</v>
      </c>
      <c r="F1075" s="167" t="s">
        <v>1177</v>
      </c>
      <c r="G1075" s="167" t="s">
        <v>487</v>
      </c>
      <c r="H1075" s="169">
        <v>0</v>
      </c>
      <c r="I1075" s="169">
        <v>133333.32999999999</v>
      </c>
      <c r="J1075" s="155">
        <f>+J1074+Tabla69[[#This Row],[DEBE]]-Tabla69[[#This Row],[HABER]]</f>
        <v>484445595.34999985</v>
      </c>
      <c r="K1075" s="156" t="s">
        <v>871</v>
      </c>
      <c r="L1075" s="157" t="s">
        <v>767</v>
      </c>
      <c r="M1075" s="157"/>
    </row>
    <row r="1076" spans="2:13" x14ac:dyDescent="0.35">
      <c r="B1076" s="165">
        <v>46048</v>
      </c>
      <c r="C1076" s="166">
        <v>46048</v>
      </c>
      <c r="D1076" s="167" t="s">
        <v>184</v>
      </c>
      <c r="E1076" s="168">
        <v>843</v>
      </c>
      <c r="F1076" s="167" t="s">
        <v>1178</v>
      </c>
      <c r="G1076" s="167" t="s">
        <v>487</v>
      </c>
      <c r="H1076" s="169">
        <v>0</v>
      </c>
      <c r="I1076" s="169">
        <v>-133333.32999999999</v>
      </c>
      <c r="J1076" s="155">
        <f>+J1075+Tabla69[[#This Row],[DEBE]]-Tabla69[[#This Row],[HABER]]</f>
        <v>484578928.67999983</v>
      </c>
      <c r="K1076" s="156" t="s">
        <v>871</v>
      </c>
      <c r="L1076" s="157" t="s">
        <v>767</v>
      </c>
      <c r="M1076" s="157"/>
    </row>
    <row r="1077" spans="2:13" x14ac:dyDescent="0.35">
      <c r="B1077" s="165">
        <v>46048</v>
      </c>
      <c r="C1077" s="166">
        <v>46048</v>
      </c>
      <c r="D1077" s="167" t="s">
        <v>184</v>
      </c>
      <c r="E1077" s="168">
        <v>843</v>
      </c>
      <c r="F1077" s="167" t="s">
        <v>1178</v>
      </c>
      <c r="G1077" s="167" t="s">
        <v>487</v>
      </c>
      <c r="H1077" s="169">
        <v>0</v>
      </c>
      <c r="I1077" s="169">
        <v>133333.32999999999</v>
      </c>
      <c r="J1077" s="155">
        <f>+J1076+Tabla69[[#This Row],[DEBE]]-Tabla69[[#This Row],[HABER]]</f>
        <v>484445595.34999985</v>
      </c>
      <c r="K1077" s="156" t="s">
        <v>871</v>
      </c>
      <c r="L1077" s="157" t="s">
        <v>767</v>
      </c>
      <c r="M1077" s="157"/>
    </row>
    <row r="1078" spans="2:13" x14ac:dyDescent="0.35">
      <c r="B1078" s="165">
        <v>46048</v>
      </c>
      <c r="C1078" s="166">
        <v>46048</v>
      </c>
      <c r="D1078" s="167" t="s">
        <v>184</v>
      </c>
      <c r="E1078" s="168">
        <v>844</v>
      </c>
      <c r="F1078" s="167" t="s">
        <v>1179</v>
      </c>
      <c r="G1078" s="167" t="s">
        <v>487</v>
      </c>
      <c r="H1078" s="169">
        <v>0</v>
      </c>
      <c r="I1078" s="169">
        <v>133333.32999999999</v>
      </c>
      <c r="J1078" s="155">
        <f>+J1077+Tabla69[[#This Row],[DEBE]]-Tabla69[[#This Row],[HABER]]</f>
        <v>484312262.01999986</v>
      </c>
      <c r="K1078" s="156" t="s">
        <v>871</v>
      </c>
      <c r="L1078" s="157" t="s">
        <v>767</v>
      </c>
      <c r="M1078" s="157"/>
    </row>
    <row r="1079" spans="2:13" x14ac:dyDescent="0.35">
      <c r="B1079" s="165">
        <v>46048</v>
      </c>
      <c r="C1079" s="166">
        <v>46048</v>
      </c>
      <c r="D1079" s="167" t="s">
        <v>184</v>
      </c>
      <c r="E1079" s="168">
        <v>844</v>
      </c>
      <c r="F1079" s="167" t="s">
        <v>1179</v>
      </c>
      <c r="G1079" s="167" t="s">
        <v>487</v>
      </c>
      <c r="H1079" s="169">
        <v>0</v>
      </c>
      <c r="I1079" s="169">
        <v>-133333.32999999999</v>
      </c>
      <c r="J1079" s="155">
        <f>+J1078+Tabla69[[#This Row],[DEBE]]-Tabla69[[#This Row],[HABER]]</f>
        <v>484445595.34999985</v>
      </c>
      <c r="K1079" s="156" t="s">
        <v>871</v>
      </c>
      <c r="L1079" s="157" t="s">
        <v>767</v>
      </c>
      <c r="M1079" s="157"/>
    </row>
    <row r="1080" spans="2:13" x14ac:dyDescent="0.35">
      <c r="B1080" s="165">
        <v>46048</v>
      </c>
      <c r="C1080" s="166">
        <v>46048</v>
      </c>
      <c r="D1080" s="167" t="s">
        <v>184</v>
      </c>
      <c r="E1080" s="168">
        <v>845</v>
      </c>
      <c r="F1080" s="167" t="s">
        <v>1180</v>
      </c>
      <c r="G1080" s="167" t="s">
        <v>487</v>
      </c>
      <c r="H1080" s="169">
        <v>0</v>
      </c>
      <c r="I1080" s="169">
        <v>-133333.32999999999</v>
      </c>
      <c r="J1080" s="155">
        <f>+J1079+Tabla69[[#This Row],[DEBE]]-Tabla69[[#This Row],[HABER]]</f>
        <v>484578928.67999983</v>
      </c>
      <c r="K1080" s="156" t="s">
        <v>871</v>
      </c>
      <c r="L1080" s="157" t="s">
        <v>767</v>
      </c>
      <c r="M1080" s="157"/>
    </row>
    <row r="1081" spans="2:13" x14ac:dyDescent="0.35">
      <c r="B1081" s="165">
        <v>46048</v>
      </c>
      <c r="C1081" s="166">
        <v>46048</v>
      </c>
      <c r="D1081" s="167" t="s">
        <v>184</v>
      </c>
      <c r="E1081" s="168">
        <v>845</v>
      </c>
      <c r="F1081" s="167" t="s">
        <v>1180</v>
      </c>
      <c r="G1081" s="167" t="s">
        <v>487</v>
      </c>
      <c r="H1081" s="169">
        <v>0</v>
      </c>
      <c r="I1081" s="169">
        <v>133333.32999999999</v>
      </c>
      <c r="J1081" s="155">
        <f>+J1080+Tabla69[[#This Row],[DEBE]]-Tabla69[[#This Row],[HABER]]</f>
        <v>484445595.34999985</v>
      </c>
      <c r="K1081" s="156" t="s">
        <v>871</v>
      </c>
      <c r="L1081" s="157" t="s">
        <v>767</v>
      </c>
      <c r="M1081" s="157"/>
    </row>
    <row r="1082" spans="2:13" x14ac:dyDescent="0.35">
      <c r="B1082" s="165">
        <v>46048</v>
      </c>
      <c r="C1082" s="166">
        <v>46048</v>
      </c>
      <c r="D1082" s="167" t="s">
        <v>184</v>
      </c>
      <c r="E1082" s="168">
        <v>846</v>
      </c>
      <c r="F1082" s="167" t="s">
        <v>1181</v>
      </c>
      <c r="G1082" s="167" t="s">
        <v>487</v>
      </c>
      <c r="H1082" s="169">
        <v>0</v>
      </c>
      <c r="I1082" s="169">
        <v>133333.32999999999</v>
      </c>
      <c r="J1082" s="155">
        <f>+J1081+Tabla69[[#This Row],[DEBE]]-Tabla69[[#This Row],[HABER]]</f>
        <v>484312262.01999986</v>
      </c>
      <c r="K1082" s="156" t="s">
        <v>871</v>
      </c>
      <c r="L1082" s="157" t="s">
        <v>767</v>
      </c>
      <c r="M1082" s="157"/>
    </row>
    <row r="1083" spans="2:13" x14ac:dyDescent="0.35">
      <c r="B1083" s="165">
        <v>46048</v>
      </c>
      <c r="C1083" s="166">
        <v>46048</v>
      </c>
      <c r="D1083" s="167" t="s">
        <v>184</v>
      </c>
      <c r="E1083" s="168">
        <v>846</v>
      </c>
      <c r="F1083" s="167" t="s">
        <v>1181</v>
      </c>
      <c r="G1083" s="167" t="s">
        <v>487</v>
      </c>
      <c r="H1083" s="169">
        <v>0</v>
      </c>
      <c r="I1083" s="169">
        <v>-133333.32999999999</v>
      </c>
      <c r="J1083" s="155">
        <f>+J1082+Tabla69[[#This Row],[DEBE]]-Tabla69[[#This Row],[HABER]]</f>
        <v>484445595.34999985</v>
      </c>
      <c r="K1083" s="156" t="s">
        <v>871</v>
      </c>
      <c r="L1083" s="157" t="s">
        <v>767</v>
      </c>
      <c r="M1083" s="157"/>
    </row>
    <row r="1084" spans="2:13" x14ac:dyDescent="0.35">
      <c r="B1084" s="165">
        <v>46048</v>
      </c>
      <c r="C1084" s="166">
        <v>46048</v>
      </c>
      <c r="D1084" s="167" t="s">
        <v>184</v>
      </c>
      <c r="E1084" s="168">
        <v>847</v>
      </c>
      <c r="F1084" s="167" t="s">
        <v>1182</v>
      </c>
      <c r="G1084" s="167" t="s">
        <v>487</v>
      </c>
      <c r="H1084" s="169">
        <v>0</v>
      </c>
      <c r="I1084" s="169">
        <v>-133333.32999999999</v>
      </c>
      <c r="J1084" s="155">
        <f>+J1083+Tabla69[[#This Row],[DEBE]]-Tabla69[[#This Row],[HABER]]</f>
        <v>484578928.67999983</v>
      </c>
      <c r="K1084" s="156" t="s">
        <v>871</v>
      </c>
      <c r="L1084" s="157" t="s">
        <v>767</v>
      </c>
      <c r="M1084" s="157"/>
    </row>
    <row r="1085" spans="2:13" x14ac:dyDescent="0.35">
      <c r="B1085" s="165">
        <v>46048</v>
      </c>
      <c r="C1085" s="166">
        <v>46048</v>
      </c>
      <c r="D1085" s="167" t="s">
        <v>184</v>
      </c>
      <c r="E1085" s="168">
        <v>847</v>
      </c>
      <c r="F1085" s="167" t="s">
        <v>1182</v>
      </c>
      <c r="G1085" s="167" t="s">
        <v>487</v>
      </c>
      <c r="H1085" s="169">
        <v>0</v>
      </c>
      <c r="I1085" s="169">
        <v>133333.32999999999</v>
      </c>
      <c r="J1085" s="155">
        <f>+J1084+Tabla69[[#This Row],[DEBE]]-Tabla69[[#This Row],[HABER]]</f>
        <v>484445595.34999985</v>
      </c>
      <c r="K1085" s="156" t="s">
        <v>871</v>
      </c>
      <c r="L1085" s="157" t="s">
        <v>767</v>
      </c>
      <c r="M1085" s="157"/>
    </row>
    <row r="1086" spans="2:13" x14ac:dyDescent="0.35">
      <c r="B1086" s="165">
        <v>46048</v>
      </c>
      <c r="C1086" s="166">
        <v>46048</v>
      </c>
      <c r="D1086" s="167" t="s">
        <v>184</v>
      </c>
      <c r="E1086" s="168">
        <v>848</v>
      </c>
      <c r="F1086" s="167" t="s">
        <v>1183</v>
      </c>
      <c r="G1086" s="167" t="s">
        <v>487</v>
      </c>
      <c r="H1086" s="169">
        <v>0</v>
      </c>
      <c r="I1086" s="169">
        <v>-133333.32999999999</v>
      </c>
      <c r="J1086" s="155">
        <f>+J1085+Tabla69[[#This Row],[DEBE]]-Tabla69[[#This Row],[HABER]]</f>
        <v>484578928.67999983</v>
      </c>
      <c r="K1086" s="156" t="s">
        <v>871</v>
      </c>
      <c r="L1086" s="157" t="s">
        <v>767</v>
      </c>
      <c r="M1086" s="157"/>
    </row>
    <row r="1087" spans="2:13" x14ac:dyDescent="0.35">
      <c r="B1087" s="165">
        <v>46048</v>
      </c>
      <c r="C1087" s="166">
        <v>46048</v>
      </c>
      <c r="D1087" s="167" t="s">
        <v>184</v>
      </c>
      <c r="E1087" s="168">
        <v>848</v>
      </c>
      <c r="F1087" s="167" t="s">
        <v>1183</v>
      </c>
      <c r="G1087" s="167" t="s">
        <v>487</v>
      </c>
      <c r="H1087" s="169">
        <v>0</v>
      </c>
      <c r="I1087" s="169">
        <v>133333.32999999999</v>
      </c>
      <c r="J1087" s="155">
        <f>+J1086+Tabla69[[#This Row],[DEBE]]-Tabla69[[#This Row],[HABER]]</f>
        <v>484445595.34999985</v>
      </c>
      <c r="K1087" s="156" t="s">
        <v>871</v>
      </c>
      <c r="L1087" s="157" t="s">
        <v>767</v>
      </c>
      <c r="M1087" s="157"/>
    </row>
    <row r="1088" spans="2:13" x14ac:dyDescent="0.35">
      <c r="B1088" s="165">
        <v>46048</v>
      </c>
      <c r="C1088" s="166">
        <v>46048</v>
      </c>
      <c r="D1088" s="167" t="s">
        <v>184</v>
      </c>
      <c r="E1088" s="168">
        <v>849</v>
      </c>
      <c r="F1088" s="167" t="s">
        <v>1184</v>
      </c>
      <c r="G1088" s="167" t="s">
        <v>487</v>
      </c>
      <c r="H1088" s="169">
        <v>0</v>
      </c>
      <c r="I1088" s="169">
        <v>133333.32999999999</v>
      </c>
      <c r="J1088" s="155">
        <f>+J1087+Tabla69[[#This Row],[DEBE]]-Tabla69[[#This Row],[HABER]]</f>
        <v>484312262.01999986</v>
      </c>
      <c r="K1088" s="156" t="s">
        <v>871</v>
      </c>
      <c r="L1088" s="157" t="s">
        <v>767</v>
      </c>
      <c r="M1088" s="157"/>
    </row>
    <row r="1089" spans="2:13" x14ac:dyDescent="0.35">
      <c r="B1089" s="165">
        <v>46048</v>
      </c>
      <c r="C1089" s="166">
        <v>46048</v>
      </c>
      <c r="D1089" s="167" t="s">
        <v>184</v>
      </c>
      <c r="E1089" s="168">
        <v>849</v>
      </c>
      <c r="F1089" s="167" t="s">
        <v>1184</v>
      </c>
      <c r="G1089" s="167" t="s">
        <v>487</v>
      </c>
      <c r="H1089" s="169">
        <v>0</v>
      </c>
      <c r="I1089" s="169">
        <v>-133333.32999999999</v>
      </c>
      <c r="J1089" s="155">
        <f>+J1088+Tabla69[[#This Row],[DEBE]]-Tabla69[[#This Row],[HABER]]</f>
        <v>484445595.34999985</v>
      </c>
      <c r="K1089" s="156" t="s">
        <v>871</v>
      </c>
      <c r="L1089" s="157" t="s">
        <v>767</v>
      </c>
      <c r="M1089" s="157"/>
    </row>
    <row r="1090" spans="2:13" x14ac:dyDescent="0.35">
      <c r="B1090" s="165">
        <v>46048</v>
      </c>
      <c r="C1090" s="166">
        <v>46048</v>
      </c>
      <c r="D1090" s="167" t="s">
        <v>184</v>
      </c>
      <c r="E1090" s="168">
        <v>850</v>
      </c>
      <c r="F1090" s="167" t="s">
        <v>1185</v>
      </c>
      <c r="G1090" s="167" t="s">
        <v>487</v>
      </c>
      <c r="H1090" s="169">
        <v>0</v>
      </c>
      <c r="I1090" s="169">
        <v>-133333.32999999999</v>
      </c>
      <c r="J1090" s="155">
        <f>+J1089+Tabla69[[#This Row],[DEBE]]-Tabla69[[#This Row],[HABER]]</f>
        <v>484578928.67999983</v>
      </c>
      <c r="K1090" s="156" t="s">
        <v>871</v>
      </c>
      <c r="L1090" s="157" t="s">
        <v>767</v>
      </c>
      <c r="M1090" s="157"/>
    </row>
    <row r="1091" spans="2:13" x14ac:dyDescent="0.35">
      <c r="B1091" s="165">
        <v>46048</v>
      </c>
      <c r="C1091" s="166">
        <v>46048</v>
      </c>
      <c r="D1091" s="167" t="s">
        <v>184</v>
      </c>
      <c r="E1091" s="168">
        <v>850</v>
      </c>
      <c r="F1091" s="167" t="s">
        <v>1185</v>
      </c>
      <c r="G1091" s="167" t="s">
        <v>487</v>
      </c>
      <c r="H1091" s="169">
        <v>0</v>
      </c>
      <c r="I1091" s="169">
        <v>133333.32999999999</v>
      </c>
      <c r="J1091" s="155">
        <f>+J1090+Tabla69[[#This Row],[DEBE]]-Tabla69[[#This Row],[HABER]]</f>
        <v>484445595.34999985</v>
      </c>
      <c r="K1091" s="156" t="s">
        <v>871</v>
      </c>
      <c r="L1091" s="157" t="s">
        <v>767</v>
      </c>
      <c r="M1091" s="157"/>
    </row>
    <row r="1092" spans="2:13" x14ac:dyDescent="0.35">
      <c r="B1092" s="165">
        <v>46048</v>
      </c>
      <c r="C1092" s="166">
        <v>46048</v>
      </c>
      <c r="D1092" s="167" t="s">
        <v>184</v>
      </c>
      <c r="E1092" s="168">
        <v>851</v>
      </c>
      <c r="F1092" s="167" t="s">
        <v>1186</v>
      </c>
      <c r="G1092" s="167" t="s">
        <v>487</v>
      </c>
      <c r="H1092" s="169">
        <v>0</v>
      </c>
      <c r="I1092" s="169">
        <v>133333.32999999999</v>
      </c>
      <c r="J1092" s="155">
        <f>+J1091+Tabla69[[#This Row],[DEBE]]-Tabla69[[#This Row],[HABER]]</f>
        <v>484312262.01999986</v>
      </c>
      <c r="K1092" s="156" t="s">
        <v>871</v>
      </c>
      <c r="L1092" s="157" t="s">
        <v>767</v>
      </c>
      <c r="M1092" s="157"/>
    </row>
    <row r="1093" spans="2:13" x14ac:dyDescent="0.35">
      <c r="B1093" s="165">
        <v>46048</v>
      </c>
      <c r="C1093" s="166">
        <v>46048</v>
      </c>
      <c r="D1093" s="167" t="s">
        <v>184</v>
      </c>
      <c r="E1093" s="168">
        <v>851</v>
      </c>
      <c r="F1093" s="167" t="s">
        <v>1186</v>
      </c>
      <c r="G1093" s="167" t="s">
        <v>487</v>
      </c>
      <c r="H1093" s="169">
        <v>0</v>
      </c>
      <c r="I1093" s="169">
        <v>-133333.32999999999</v>
      </c>
      <c r="J1093" s="155">
        <f>+J1092+Tabla69[[#This Row],[DEBE]]-Tabla69[[#This Row],[HABER]]</f>
        <v>484445595.34999985</v>
      </c>
      <c r="K1093" s="156" t="s">
        <v>871</v>
      </c>
      <c r="L1093" s="157" t="s">
        <v>767</v>
      </c>
      <c r="M1093" s="157"/>
    </row>
    <row r="1094" spans="2:13" x14ac:dyDescent="0.35">
      <c r="B1094" s="165">
        <v>46048</v>
      </c>
      <c r="C1094" s="166">
        <v>46048</v>
      </c>
      <c r="D1094" s="167" t="s">
        <v>184</v>
      </c>
      <c r="E1094" s="168">
        <v>852</v>
      </c>
      <c r="F1094" s="167" t="s">
        <v>1187</v>
      </c>
      <c r="G1094" s="167" t="s">
        <v>487</v>
      </c>
      <c r="H1094" s="169">
        <v>0</v>
      </c>
      <c r="I1094" s="169">
        <v>133333.32999999999</v>
      </c>
      <c r="J1094" s="155">
        <f>+J1093+Tabla69[[#This Row],[DEBE]]-Tabla69[[#This Row],[HABER]]</f>
        <v>484312262.01999986</v>
      </c>
      <c r="K1094" s="156" t="s">
        <v>871</v>
      </c>
      <c r="L1094" s="157" t="s">
        <v>767</v>
      </c>
      <c r="M1094" s="157"/>
    </row>
    <row r="1095" spans="2:13" x14ac:dyDescent="0.35">
      <c r="B1095" s="165">
        <v>46048</v>
      </c>
      <c r="C1095" s="166">
        <v>46048</v>
      </c>
      <c r="D1095" s="167" t="s">
        <v>184</v>
      </c>
      <c r="E1095" s="168">
        <v>852</v>
      </c>
      <c r="F1095" s="167" t="s">
        <v>1187</v>
      </c>
      <c r="G1095" s="167" t="s">
        <v>487</v>
      </c>
      <c r="H1095" s="169">
        <v>0</v>
      </c>
      <c r="I1095" s="169">
        <v>-133333.32999999999</v>
      </c>
      <c r="J1095" s="155">
        <f>+J1094+Tabla69[[#This Row],[DEBE]]-Tabla69[[#This Row],[HABER]]</f>
        <v>484445595.34999985</v>
      </c>
      <c r="K1095" s="156" t="s">
        <v>871</v>
      </c>
      <c r="L1095" s="157" t="s">
        <v>767</v>
      </c>
      <c r="M1095" s="157"/>
    </row>
    <row r="1096" spans="2:13" x14ac:dyDescent="0.35">
      <c r="B1096" s="165">
        <v>46048</v>
      </c>
      <c r="C1096" s="166">
        <v>46048</v>
      </c>
      <c r="D1096" s="167" t="s">
        <v>184</v>
      </c>
      <c r="E1096" s="168">
        <v>853</v>
      </c>
      <c r="F1096" s="167" t="s">
        <v>1188</v>
      </c>
      <c r="G1096" s="167" t="s">
        <v>487</v>
      </c>
      <c r="H1096" s="169">
        <v>0</v>
      </c>
      <c r="I1096" s="169">
        <v>-133333.32999999999</v>
      </c>
      <c r="J1096" s="155">
        <f>+J1095+Tabla69[[#This Row],[DEBE]]-Tabla69[[#This Row],[HABER]]</f>
        <v>484578928.67999983</v>
      </c>
      <c r="K1096" s="156" t="s">
        <v>871</v>
      </c>
      <c r="L1096" s="157" t="s">
        <v>767</v>
      </c>
      <c r="M1096" s="157"/>
    </row>
    <row r="1097" spans="2:13" x14ac:dyDescent="0.35">
      <c r="B1097" s="165">
        <v>46048</v>
      </c>
      <c r="C1097" s="166">
        <v>46048</v>
      </c>
      <c r="D1097" s="167" t="s">
        <v>184</v>
      </c>
      <c r="E1097" s="168">
        <v>853</v>
      </c>
      <c r="F1097" s="167" t="s">
        <v>1188</v>
      </c>
      <c r="G1097" s="167" t="s">
        <v>487</v>
      </c>
      <c r="H1097" s="169">
        <v>0</v>
      </c>
      <c r="I1097" s="169">
        <v>133333.32999999999</v>
      </c>
      <c r="J1097" s="155">
        <f>+J1096+Tabla69[[#This Row],[DEBE]]-Tabla69[[#This Row],[HABER]]</f>
        <v>484445595.34999985</v>
      </c>
      <c r="K1097" s="156" t="s">
        <v>871</v>
      </c>
      <c r="L1097" s="157" t="s">
        <v>767</v>
      </c>
      <c r="M1097" s="157"/>
    </row>
    <row r="1098" spans="2:13" x14ac:dyDescent="0.35">
      <c r="B1098" s="165">
        <v>46048</v>
      </c>
      <c r="C1098" s="166">
        <v>46048</v>
      </c>
      <c r="D1098" s="167" t="s">
        <v>184</v>
      </c>
      <c r="E1098" s="168">
        <v>854</v>
      </c>
      <c r="F1098" s="167" t="s">
        <v>1189</v>
      </c>
      <c r="G1098" s="167" t="s">
        <v>487</v>
      </c>
      <c r="H1098" s="169">
        <v>0</v>
      </c>
      <c r="I1098" s="169">
        <v>133333.32999999999</v>
      </c>
      <c r="J1098" s="155">
        <f>+J1097+Tabla69[[#This Row],[DEBE]]-Tabla69[[#This Row],[HABER]]</f>
        <v>484312262.01999986</v>
      </c>
      <c r="K1098" s="156" t="s">
        <v>871</v>
      </c>
      <c r="L1098" s="157" t="s">
        <v>767</v>
      </c>
      <c r="M1098" s="157"/>
    </row>
    <row r="1099" spans="2:13" x14ac:dyDescent="0.35">
      <c r="B1099" s="165">
        <v>46048</v>
      </c>
      <c r="C1099" s="166">
        <v>46048</v>
      </c>
      <c r="D1099" s="167" t="s">
        <v>184</v>
      </c>
      <c r="E1099" s="168">
        <v>854</v>
      </c>
      <c r="F1099" s="167" t="s">
        <v>1189</v>
      </c>
      <c r="G1099" s="167" t="s">
        <v>487</v>
      </c>
      <c r="H1099" s="169">
        <v>0</v>
      </c>
      <c r="I1099" s="169">
        <v>-133333.32999999999</v>
      </c>
      <c r="J1099" s="155">
        <f>+J1098+Tabla69[[#This Row],[DEBE]]-Tabla69[[#This Row],[HABER]]</f>
        <v>484445595.34999985</v>
      </c>
      <c r="K1099" s="156" t="s">
        <v>871</v>
      </c>
      <c r="L1099" s="157" t="s">
        <v>767</v>
      </c>
      <c r="M1099" s="157"/>
    </row>
    <row r="1100" spans="2:13" x14ac:dyDescent="0.35">
      <c r="B1100" s="165">
        <v>46048</v>
      </c>
      <c r="C1100" s="166">
        <v>46048</v>
      </c>
      <c r="D1100" s="167" t="s">
        <v>184</v>
      </c>
      <c r="E1100" s="168">
        <v>855</v>
      </c>
      <c r="F1100" s="167" t="s">
        <v>1190</v>
      </c>
      <c r="G1100" s="167" t="s">
        <v>487</v>
      </c>
      <c r="H1100" s="169">
        <v>0</v>
      </c>
      <c r="I1100" s="169">
        <v>-133333.32999999999</v>
      </c>
      <c r="J1100" s="155">
        <f>+J1099+Tabla69[[#This Row],[DEBE]]-Tabla69[[#This Row],[HABER]]</f>
        <v>484578928.67999983</v>
      </c>
      <c r="K1100" s="156" t="s">
        <v>871</v>
      </c>
      <c r="L1100" s="157" t="s">
        <v>767</v>
      </c>
      <c r="M1100" s="157"/>
    </row>
    <row r="1101" spans="2:13" x14ac:dyDescent="0.35">
      <c r="B1101" s="165">
        <v>46048</v>
      </c>
      <c r="C1101" s="166">
        <v>46048</v>
      </c>
      <c r="D1101" s="167" t="s">
        <v>184</v>
      </c>
      <c r="E1101" s="168">
        <v>855</v>
      </c>
      <c r="F1101" s="167" t="s">
        <v>1190</v>
      </c>
      <c r="G1101" s="167" t="s">
        <v>487</v>
      </c>
      <c r="H1101" s="169">
        <v>0</v>
      </c>
      <c r="I1101" s="169">
        <v>133333.32999999999</v>
      </c>
      <c r="J1101" s="155">
        <f>+J1100+Tabla69[[#This Row],[DEBE]]-Tabla69[[#This Row],[HABER]]</f>
        <v>484445595.34999985</v>
      </c>
      <c r="K1101" s="156" t="s">
        <v>871</v>
      </c>
      <c r="L1101" s="157" t="s">
        <v>767</v>
      </c>
      <c r="M1101" s="157"/>
    </row>
    <row r="1102" spans="2:13" x14ac:dyDescent="0.35">
      <c r="B1102" s="165">
        <v>46048</v>
      </c>
      <c r="C1102" s="166">
        <v>46048</v>
      </c>
      <c r="D1102" s="167" t="s">
        <v>184</v>
      </c>
      <c r="E1102" s="168">
        <v>856</v>
      </c>
      <c r="F1102" s="167" t="s">
        <v>1191</v>
      </c>
      <c r="G1102" s="167" t="s">
        <v>487</v>
      </c>
      <c r="H1102" s="169">
        <v>0</v>
      </c>
      <c r="I1102" s="169">
        <v>133333.32999999999</v>
      </c>
      <c r="J1102" s="155">
        <f>+J1101+Tabla69[[#This Row],[DEBE]]-Tabla69[[#This Row],[HABER]]</f>
        <v>484312262.01999986</v>
      </c>
      <c r="K1102" s="156" t="s">
        <v>871</v>
      </c>
      <c r="L1102" s="157" t="s">
        <v>767</v>
      </c>
      <c r="M1102" s="157"/>
    </row>
    <row r="1103" spans="2:13" x14ac:dyDescent="0.35">
      <c r="B1103" s="165">
        <v>46048</v>
      </c>
      <c r="C1103" s="166">
        <v>46048</v>
      </c>
      <c r="D1103" s="167" t="s">
        <v>184</v>
      </c>
      <c r="E1103" s="168">
        <v>856</v>
      </c>
      <c r="F1103" s="167" t="s">
        <v>1191</v>
      </c>
      <c r="G1103" s="167" t="s">
        <v>487</v>
      </c>
      <c r="H1103" s="169">
        <v>0</v>
      </c>
      <c r="I1103" s="169">
        <v>-133333.32999999999</v>
      </c>
      <c r="J1103" s="155">
        <f>+J1102+Tabla69[[#This Row],[DEBE]]-Tabla69[[#This Row],[HABER]]</f>
        <v>484445595.34999985</v>
      </c>
      <c r="K1103" s="156" t="s">
        <v>871</v>
      </c>
      <c r="L1103" s="157" t="s">
        <v>767</v>
      </c>
      <c r="M1103" s="157"/>
    </row>
    <row r="1104" spans="2:13" x14ac:dyDescent="0.35">
      <c r="B1104" s="165">
        <v>46048</v>
      </c>
      <c r="C1104" s="166">
        <v>46048</v>
      </c>
      <c r="D1104" s="167" t="s">
        <v>184</v>
      </c>
      <c r="E1104" s="168">
        <v>857</v>
      </c>
      <c r="F1104" s="167" t="s">
        <v>1192</v>
      </c>
      <c r="G1104" s="167" t="s">
        <v>487</v>
      </c>
      <c r="H1104" s="169">
        <v>0</v>
      </c>
      <c r="I1104" s="169">
        <v>-133333.32999999999</v>
      </c>
      <c r="J1104" s="155">
        <f>+J1103+Tabla69[[#This Row],[DEBE]]-Tabla69[[#This Row],[HABER]]</f>
        <v>484578928.67999983</v>
      </c>
      <c r="K1104" s="156" t="s">
        <v>871</v>
      </c>
      <c r="L1104" s="157" t="s">
        <v>767</v>
      </c>
      <c r="M1104" s="157"/>
    </row>
    <row r="1105" spans="2:13" x14ac:dyDescent="0.35">
      <c r="B1105" s="165">
        <v>46048</v>
      </c>
      <c r="C1105" s="166">
        <v>46048</v>
      </c>
      <c r="D1105" s="167" t="s">
        <v>184</v>
      </c>
      <c r="E1105" s="168">
        <v>857</v>
      </c>
      <c r="F1105" s="167" t="s">
        <v>1192</v>
      </c>
      <c r="G1105" s="167" t="s">
        <v>487</v>
      </c>
      <c r="H1105" s="169">
        <v>0</v>
      </c>
      <c r="I1105" s="169">
        <v>133333.32999999999</v>
      </c>
      <c r="J1105" s="155">
        <f>+J1104+Tabla69[[#This Row],[DEBE]]-Tabla69[[#This Row],[HABER]]</f>
        <v>484445595.34999985</v>
      </c>
      <c r="K1105" s="156" t="s">
        <v>871</v>
      </c>
      <c r="L1105" s="157" t="s">
        <v>767</v>
      </c>
      <c r="M1105" s="157"/>
    </row>
    <row r="1106" spans="2:13" x14ac:dyDescent="0.35">
      <c r="B1106" s="165">
        <v>46048</v>
      </c>
      <c r="C1106" s="166">
        <v>46048</v>
      </c>
      <c r="D1106" s="167" t="s">
        <v>184</v>
      </c>
      <c r="E1106" s="168">
        <v>858</v>
      </c>
      <c r="F1106" s="167" t="s">
        <v>1193</v>
      </c>
      <c r="G1106" s="167" t="s">
        <v>487</v>
      </c>
      <c r="H1106" s="169">
        <v>0</v>
      </c>
      <c r="I1106" s="169">
        <v>-133333.32999999999</v>
      </c>
      <c r="J1106" s="155">
        <f>+J1105+Tabla69[[#This Row],[DEBE]]-Tabla69[[#This Row],[HABER]]</f>
        <v>484578928.67999983</v>
      </c>
      <c r="K1106" s="156" t="s">
        <v>871</v>
      </c>
      <c r="L1106" s="157" t="s">
        <v>767</v>
      </c>
      <c r="M1106" s="157"/>
    </row>
    <row r="1107" spans="2:13" x14ac:dyDescent="0.35">
      <c r="B1107" s="165">
        <v>46048</v>
      </c>
      <c r="C1107" s="166">
        <v>46048</v>
      </c>
      <c r="D1107" s="167" t="s">
        <v>184</v>
      </c>
      <c r="E1107" s="168">
        <v>858</v>
      </c>
      <c r="F1107" s="167" t="s">
        <v>1193</v>
      </c>
      <c r="G1107" s="167" t="s">
        <v>487</v>
      </c>
      <c r="H1107" s="169">
        <v>0</v>
      </c>
      <c r="I1107" s="169">
        <v>133333.32999999999</v>
      </c>
      <c r="J1107" s="155">
        <f>+J1106+Tabla69[[#This Row],[DEBE]]-Tabla69[[#This Row],[HABER]]</f>
        <v>484445595.34999985</v>
      </c>
      <c r="K1107" s="156" t="s">
        <v>871</v>
      </c>
      <c r="L1107" s="157" t="s">
        <v>767</v>
      </c>
      <c r="M1107" s="157"/>
    </row>
    <row r="1108" spans="2:13" x14ac:dyDescent="0.35">
      <c r="B1108" s="165">
        <v>46048</v>
      </c>
      <c r="C1108" s="166">
        <v>46048</v>
      </c>
      <c r="D1108" s="167" t="s">
        <v>184</v>
      </c>
      <c r="E1108" s="168">
        <v>859</v>
      </c>
      <c r="F1108" s="167" t="s">
        <v>1194</v>
      </c>
      <c r="G1108" s="167" t="s">
        <v>487</v>
      </c>
      <c r="H1108" s="169">
        <v>0</v>
      </c>
      <c r="I1108" s="169">
        <v>-133333.32999999999</v>
      </c>
      <c r="J1108" s="155">
        <f>+J1107+Tabla69[[#This Row],[DEBE]]-Tabla69[[#This Row],[HABER]]</f>
        <v>484578928.67999983</v>
      </c>
      <c r="K1108" s="156" t="s">
        <v>871</v>
      </c>
      <c r="L1108" s="157" t="s">
        <v>767</v>
      </c>
      <c r="M1108" s="157"/>
    </row>
    <row r="1109" spans="2:13" x14ac:dyDescent="0.35">
      <c r="B1109" s="165">
        <v>46048</v>
      </c>
      <c r="C1109" s="166">
        <v>46048</v>
      </c>
      <c r="D1109" s="167" t="s">
        <v>184</v>
      </c>
      <c r="E1109" s="168">
        <v>859</v>
      </c>
      <c r="F1109" s="167" t="s">
        <v>1194</v>
      </c>
      <c r="G1109" s="167" t="s">
        <v>487</v>
      </c>
      <c r="H1109" s="169">
        <v>0</v>
      </c>
      <c r="I1109" s="169">
        <v>133333.32999999999</v>
      </c>
      <c r="J1109" s="155">
        <f>+J1108+Tabla69[[#This Row],[DEBE]]-Tabla69[[#This Row],[HABER]]</f>
        <v>484445595.34999985</v>
      </c>
      <c r="K1109" s="156" t="s">
        <v>871</v>
      </c>
      <c r="L1109" s="157" t="s">
        <v>767</v>
      </c>
      <c r="M1109" s="157"/>
    </row>
    <row r="1110" spans="2:13" x14ac:dyDescent="0.35">
      <c r="B1110" s="165">
        <v>46048</v>
      </c>
      <c r="C1110" s="166">
        <v>46048</v>
      </c>
      <c r="D1110" s="167" t="s">
        <v>184</v>
      </c>
      <c r="E1110" s="168">
        <v>860</v>
      </c>
      <c r="F1110" s="167" t="s">
        <v>1195</v>
      </c>
      <c r="G1110" s="167" t="s">
        <v>487</v>
      </c>
      <c r="H1110" s="169">
        <v>0</v>
      </c>
      <c r="I1110" s="169">
        <v>133333.32999999999</v>
      </c>
      <c r="J1110" s="155">
        <f>+J1109+Tabla69[[#This Row],[DEBE]]-Tabla69[[#This Row],[HABER]]</f>
        <v>484312262.01999986</v>
      </c>
      <c r="K1110" s="156" t="s">
        <v>871</v>
      </c>
      <c r="L1110" s="157" t="s">
        <v>767</v>
      </c>
      <c r="M1110" s="157"/>
    </row>
    <row r="1111" spans="2:13" x14ac:dyDescent="0.35">
      <c r="B1111" s="165">
        <v>46048</v>
      </c>
      <c r="C1111" s="166">
        <v>46048</v>
      </c>
      <c r="D1111" s="167" t="s">
        <v>184</v>
      </c>
      <c r="E1111" s="168">
        <v>860</v>
      </c>
      <c r="F1111" s="167" t="s">
        <v>1195</v>
      </c>
      <c r="G1111" s="167" t="s">
        <v>487</v>
      </c>
      <c r="H1111" s="169">
        <v>0</v>
      </c>
      <c r="I1111" s="169">
        <v>-133333.32999999999</v>
      </c>
      <c r="J1111" s="155">
        <f>+J1110+Tabla69[[#This Row],[DEBE]]-Tabla69[[#This Row],[HABER]]</f>
        <v>484445595.34999985</v>
      </c>
      <c r="K1111" s="156" t="s">
        <v>871</v>
      </c>
      <c r="L1111" s="157" t="s">
        <v>767</v>
      </c>
      <c r="M1111" s="157"/>
    </row>
    <row r="1112" spans="2:13" x14ac:dyDescent="0.35">
      <c r="B1112" s="165">
        <v>46048</v>
      </c>
      <c r="C1112" s="166">
        <v>46048</v>
      </c>
      <c r="D1112" s="167" t="s">
        <v>184</v>
      </c>
      <c r="E1112" s="168">
        <v>861</v>
      </c>
      <c r="F1112" s="167" t="s">
        <v>1196</v>
      </c>
      <c r="G1112" s="167" t="s">
        <v>487</v>
      </c>
      <c r="H1112" s="169">
        <v>0</v>
      </c>
      <c r="I1112" s="169">
        <v>-133333.32999999999</v>
      </c>
      <c r="J1112" s="155">
        <f>+J1111+Tabla69[[#This Row],[DEBE]]-Tabla69[[#This Row],[HABER]]</f>
        <v>484578928.67999983</v>
      </c>
      <c r="K1112" s="156" t="s">
        <v>871</v>
      </c>
      <c r="L1112" s="157" t="s">
        <v>767</v>
      </c>
      <c r="M1112" s="157"/>
    </row>
    <row r="1113" spans="2:13" x14ac:dyDescent="0.35">
      <c r="B1113" s="165">
        <v>46048</v>
      </c>
      <c r="C1113" s="166">
        <v>46048</v>
      </c>
      <c r="D1113" s="167" t="s">
        <v>184</v>
      </c>
      <c r="E1113" s="168">
        <v>861</v>
      </c>
      <c r="F1113" s="167" t="s">
        <v>1196</v>
      </c>
      <c r="G1113" s="167" t="s">
        <v>487</v>
      </c>
      <c r="H1113" s="169">
        <v>0</v>
      </c>
      <c r="I1113" s="169">
        <v>133333.32999999999</v>
      </c>
      <c r="J1113" s="155">
        <f>+J1112+Tabla69[[#This Row],[DEBE]]-Tabla69[[#This Row],[HABER]]</f>
        <v>484445595.34999985</v>
      </c>
      <c r="K1113" s="156" t="s">
        <v>871</v>
      </c>
      <c r="L1113" s="157" t="s">
        <v>767</v>
      </c>
      <c r="M1113" s="157"/>
    </row>
    <row r="1114" spans="2:13" x14ac:dyDescent="0.35">
      <c r="B1114" s="165">
        <v>46048</v>
      </c>
      <c r="C1114" s="166">
        <v>46048</v>
      </c>
      <c r="D1114" s="167" t="s">
        <v>184</v>
      </c>
      <c r="E1114" s="168">
        <v>862</v>
      </c>
      <c r="F1114" s="167" t="s">
        <v>1197</v>
      </c>
      <c r="G1114" s="167" t="s">
        <v>487</v>
      </c>
      <c r="H1114" s="169">
        <v>0</v>
      </c>
      <c r="I1114" s="169">
        <v>133333.32999999999</v>
      </c>
      <c r="J1114" s="155">
        <f>+J1113+Tabla69[[#This Row],[DEBE]]-Tabla69[[#This Row],[HABER]]</f>
        <v>484312262.01999986</v>
      </c>
      <c r="K1114" s="156" t="s">
        <v>871</v>
      </c>
      <c r="L1114" s="157" t="s">
        <v>767</v>
      </c>
      <c r="M1114" s="157"/>
    </row>
    <row r="1115" spans="2:13" x14ac:dyDescent="0.35">
      <c r="B1115" s="165">
        <v>46048</v>
      </c>
      <c r="C1115" s="166">
        <v>46048</v>
      </c>
      <c r="D1115" s="167" t="s">
        <v>184</v>
      </c>
      <c r="E1115" s="168">
        <v>862</v>
      </c>
      <c r="F1115" s="167" t="s">
        <v>1197</v>
      </c>
      <c r="G1115" s="167" t="s">
        <v>487</v>
      </c>
      <c r="H1115" s="169">
        <v>0</v>
      </c>
      <c r="I1115" s="169">
        <v>-133333.32999999999</v>
      </c>
      <c r="J1115" s="155">
        <f>+J1114+Tabla69[[#This Row],[DEBE]]-Tabla69[[#This Row],[HABER]]</f>
        <v>484445595.34999985</v>
      </c>
      <c r="K1115" s="156" t="s">
        <v>871</v>
      </c>
      <c r="L1115" s="157" t="s">
        <v>767</v>
      </c>
      <c r="M1115" s="157"/>
    </row>
    <row r="1116" spans="2:13" x14ac:dyDescent="0.35">
      <c r="B1116" s="165">
        <v>46048</v>
      </c>
      <c r="C1116" s="166">
        <v>46048</v>
      </c>
      <c r="D1116" s="167" t="s">
        <v>184</v>
      </c>
      <c r="E1116" s="168">
        <v>863</v>
      </c>
      <c r="F1116" s="167" t="s">
        <v>1198</v>
      </c>
      <c r="G1116" s="167" t="s">
        <v>487</v>
      </c>
      <c r="H1116" s="169">
        <v>0</v>
      </c>
      <c r="I1116" s="169">
        <v>133333.32999999999</v>
      </c>
      <c r="J1116" s="155">
        <f>+J1115+Tabla69[[#This Row],[DEBE]]-Tabla69[[#This Row],[HABER]]</f>
        <v>484312262.01999986</v>
      </c>
      <c r="K1116" s="156" t="s">
        <v>871</v>
      </c>
      <c r="L1116" s="157" t="s">
        <v>767</v>
      </c>
      <c r="M1116" s="157"/>
    </row>
    <row r="1117" spans="2:13" x14ac:dyDescent="0.35">
      <c r="B1117" s="165">
        <v>46048</v>
      </c>
      <c r="C1117" s="166">
        <v>46048</v>
      </c>
      <c r="D1117" s="167" t="s">
        <v>184</v>
      </c>
      <c r="E1117" s="168">
        <v>863</v>
      </c>
      <c r="F1117" s="167" t="s">
        <v>1198</v>
      </c>
      <c r="G1117" s="167" t="s">
        <v>487</v>
      </c>
      <c r="H1117" s="169">
        <v>0</v>
      </c>
      <c r="I1117" s="169">
        <v>-133333.32999999999</v>
      </c>
      <c r="J1117" s="155">
        <f>+J1116+Tabla69[[#This Row],[DEBE]]-Tabla69[[#This Row],[HABER]]</f>
        <v>484445595.34999985</v>
      </c>
      <c r="K1117" s="156" t="s">
        <v>871</v>
      </c>
      <c r="L1117" s="157" t="s">
        <v>767</v>
      </c>
      <c r="M1117" s="157"/>
    </row>
    <row r="1118" spans="2:13" x14ac:dyDescent="0.35">
      <c r="B1118" s="165">
        <v>46048</v>
      </c>
      <c r="C1118" s="166">
        <v>46048</v>
      </c>
      <c r="D1118" s="167" t="s">
        <v>184</v>
      </c>
      <c r="E1118" s="168">
        <v>864</v>
      </c>
      <c r="F1118" s="167" t="s">
        <v>1199</v>
      </c>
      <c r="G1118" s="167" t="s">
        <v>487</v>
      </c>
      <c r="H1118" s="169">
        <v>0</v>
      </c>
      <c r="I1118" s="169">
        <v>-133333.32999999999</v>
      </c>
      <c r="J1118" s="155">
        <f>+J1117+Tabla69[[#This Row],[DEBE]]-Tabla69[[#This Row],[HABER]]</f>
        <v>484578928.67999983</v>
      </c>
      <c r="K1118" s="156" t="s">
        <v>871</v>
      </c>
      <c r="L1118" s="157" t="s">
        <v>767</v>
      </c>
      <c r="M1118" s="157"/>
    </row>
    <row r="1119" spans="2:13" x14ac:dyDescent="0.35">
      <c r="B1119" s="165">
        <v>46048</v>
      </c>
      <c r="C1119" s="166">
        <v>46048</v>
      </c>
      <c r="D1119" s="167" t="s">
        <v>184</v>
      </c>
      <c r="E1119" s="168">
        <v>864</v>
      </c>
      <c r="F1119" s="167" t="s">
        <v>1199</v>
      </c>
      <c r="G1119" s="167" t="s">
        <v>487</v>
      </c>
      <c r="H1119" s="169">
        <v>0</v>
      </c>
      <c r="I1119" s="169">
        <v>133333.32999999999</v>
      </c>
      <c r="J1119" s="155">
        <f>+J1118+Tabla69[[#This Row],[DEBE]]-Tabla69[[#This Row],[HABER]]</f>
        <v>484445595.34999985</v>
      </c>
      <c r="K1119" s="156" t="s">
        <v>871</v>
      </c>
      <c r="L1119" s="157" t="s">
        <v>767</v>
      </c>
      <c r="M1119" s="157"/>
    </row>
    <row r="1120" spans="2:13" x14ac:dyDescent="0.35">
      <c r="B1120" s="165">
        <v>46048</v>
      </c>
      <c r="C1120" s="166">
        <v>46048</v>
      </c>
      <c r="D1120" s="167" t="s">
        <v>184</v>
      </c>
      <c r="E1120" s="168">
        <v>865</v>
      </c>
      <c r="F1120" s="167" t="s">
        <v>1200</v>
      </c>
      <c r="G1120" s="167" t="s">
        <v>487</v>
      </c>
      <c r="H1120" s="169">
        <v>0</v>
      </c>
      <c r="I1120" s="169">
        <v>133333.32999999999</v>
      </c>
      <c r="J1120" s="155">
        <f>+J1119+Tabla69[[#This Row],[DEBE]]-Tabla69[[#This Row],[HABER]]</f>
        <v>484312262.01999986</v>
      </c>
      <c r="K1120" s="156" t="s">
        <v>871</v>
      </c>
      <c r="L1120" s="157" t="s">
        <v>767</v>
      </c>
      <c r="M1120" s="157"/>
    </row>
    <row r="1121" spans="2:13" x14ac:dyDescent="0.35">
      <c r="B1121" s="165">
        <v>46048</v>
      </c>
      <c r="C1121" s="166">
        <v>46048</v>
      </c>
      <c r="D1121" s="167" t="s">
        <v>184</v>
      </c>
      <c r="E1121" s="168">
        <v>865</v>
      </c>
      <c r="F1121" s="167" t="s">
        <v>1200</v>
      </c>
      <c r="G1121" s="167" t="s">
        <v>487</v>
      </c>
      <c r="H1121" s="169">
        <v>0</v>
      </c>
      <c r="I1121" s="169">
        <v>-133333.32999999999</v>
      </c>
      <c r="J1121" s="155">
        <f>+J1120+Tabla69[[#This Row],[DEBE]]-Tabla69[[#This Row],[HABER]]</f>
        <v>484445595.34999985</v>
      </c>
      <c r="K1121" s="156" t="s">
        <v>871</v>
      </c>
      <c r="L1121" s="157" t="s">
        <v>767</v>
      </c>
      <c r="M1121" s="157"/>
    </row>
    <row r="1122" spans="2:13" x14ac:dyDescent="0.35">
      <c r="B1122" s="165">
        <v>46048</v>
      </c>
      <c r="C1122" s="166">
        <v>46048</v>
      </c>
      <c r="D1122" s="167" t="s">
        <v>184</v>
      </c>
      <c r="E1122" s="168">
        <v>866</v>
      </c>
      <c r="F1122" s="167" t="s">
        <v>1201</v>
      </c>
      <c r="G1122" s="167" t="s">
        <v>487</v>
      </c>
      <c r="H1122" s="169">
        <v>0</v>
      </c>
      <c r="I1122" s="169">
        <v>-133333.32999999999</v>
      </c>
      <c r="J1122" s="155">
        <f>+J1121+Tabla69[[#This Row],[DEBE]]-Tabla69[[#This Row],[HABER]]</f>
        <v>484578928.67999983</v>
      </c>
      <c r="K1122" s="156" t="s">
        <v>871</v>
      </c>
      <c r="L1122" s="157" t="s">
        <v>767</v>
      </c>
      <c r="M1122" s="157"/>
    </row>
    <row r="1123" spans="2:13" x14ac:dyDescent="0.35">
      <c r="B1123" s="165">
        <v>46048</v>
      </c>
      <c r="C1123" s="166">
        <v>46048</v>
      </c>
      <c r="D1123" s="167" t="s">
        <v>184</v>
      </c>
      <c r="E1123" s="168">
        <v>866</v>
      </c>
      <c r="F1123" s="167" t="s">
        <v>1201</v>
      </c>
      <c r="G1123" s="167" t="s">
        <v>487</v>
      </c>
      <c r="H1123" s="169">
        <v>0</v>
      </c>
      <c r="I1123" s="169">
        <v>133333.32999999999</v>
      </c>
      <c r="J1123" s="155">
        <f>+J1122+Tabla69[[#This Row],[DEBE]]-Tabla69[[#This Row],[HABER]]</f>
        <v>484445595.34999985</v>
      </c>
      <c r="K1123" s="156" t="s">
        <v>871</v>
      </c>
      <c r="L1123" s="157" t="s">
        <v>767</v>
      </c>
      <c r="M1123" s="157"/>
    </row>
    <row r="1124" spans="2:13" x14ac:dyDescent="0.35">
      <c r="B1124" s="165">
        <v>46048</v>
      </c>
      <c r="C1124" s="166">
        <v>46048</v>
      </c>
      <c r="D1124" s="167" t="s">
        <v>184</v>
      </c>
      <c r="E1124" s="168">
        <v>867</v>
      </c>
      <c r="F1124" s="167" t="s">
        <v>1202</v>
      </c>
      <c r="G1124" s="167" t="s">
        <v>487</v>
      </c>
      <c r="H1124" s="169">
        <v>0</v>
      </c>
      <c r="I1124" s="169">
        <v>133333.32999999999</v>
      </c>
      <c r="J1124" s="155">
        <f>+J1123+Tabla69[[#This Row],[DEBE]]-Tabla69[[#This Row],[HABER]]</f>
        <v>484312262.01999986</v>
      </c>
      <c r="K1124" s="156" t="s">
        <v>871</v>
      </c>
      <c r="L1124" s="157" t="s">
        <v>767</v>
      </c>
      <c r="M1124" s="157"/>
    </row>
    <row r="1125" spans="2:13" x14ac:dyDescent="0.35">
      <c r="B1125" s="165">
        <v>46048</v>
      </c>
      <c r="C1125" s="166">
        <v>46048</v>
      </c>
      <c r="D1125" s="167" t="s">
        <v>184</v>
      </c>
      <c r="E1125" s="168">
        <v>867</v>
      </c>
      <c r="F1125" s="167" t="s">
        <v>1202</v>
      </c>
      <c r="G1125" s="167" t="s">
        <v>487</v>
      </c>
      <c r="H1125" s="169">
        <v>0</v>
      </c>
      <c r="I1125" s="169">
        <v>-133333.32999999999</v>
      </c>
      <c r="J1125" s="155">
        <f>+J1124+Tabla69[[#This Row],[DEBE]]-Tabla69[[#This Row],[HABER]]</f>
        <v>484445595.34999985</v>
      </c>
      <c r="K1125" s="156" t="s">
        <v>871</v>
      </c>
      <c r="L1125" s="157" t="s">
        <v>767</v>
      </c>
      <c r="M1125" s="157"/>
    </row>
    <row r="1126" spans="2:13" x14ac:dyDescent="0.35">
      <c r="B1126" s="165">
        <v>46048</v>
      </c>
      <c r="C1126" s="166">
        <v>46048</v>
      </c>
      <c r="D1126" s="167" t="s">
        <v>184</v>
      </c>
      <c r="E1126" s="168">
        <v>868</v>
      </c>
      <c r="F1126" s="167" t="s">
        <v>1203</v>
      </c>
      <c r="G1126" s="167" t="s">
        <v>487</v>
      </c>
      <c r="H1126" s="169">
        <v>0</v>
      </c>
      <c r="I1126" s="169">
        <v>133333.32999999999</v>
      </c>
      <c r="J1126" s="155">
        <f>+J1125+Tabla69[[#This Row],[DEBE]]-Tabla69[[#This Row],[HABER]]</f>
        <v>484312262.01999986</v>
      </c>
      <c r="K1126" s="156" t="s">
        <v>871</v>
      </c>
      <c r="L1126" s="157" t="s">
        <v>767</v>
      </c>
      <c r="M1126" s="157"/>
    </row>
    <row r="1127" spans="2:13" x14ac:dyDescent="0.35">
      <c r="B1127" s="165">
        <v>46048</v>
      </c>
      <c r="C1127" s="166">
        <v>46048</v>
      </c>
      <c r="D1127" s="167" t="s">
        <v>184</v>
      </c>
      <c r="E1127" s="168">
        <v>868</v>
      </c>
      <c r="F1127" s="167" t="s">
        <v>1203</v>
      </c>
      <c r="G1127" s="167" t="s">
        <v>487</v>
      </c>
      <c r="H1127" s="169">
        <v>0</v>
      </c>
      <c r="I1127" s="169">
        <v>-133333.32999999999</v>
      </c>
      <c r="J1127" s="155">
        <f>+J1126+Tabla69[[#This Row],[DEBE]]-Tabla69[[#This Row],[HABER]]</f>
        <v>484445595.34999985</v>
      </c>
      <c r="K1127" s="156" t="s">
        <v>871</v>
      </c>
      <c r="L1127" s="157" t="s">
        <v>767</v>
      </c>
      <c r="M1127" s="157"/>
    </row>
    <row r="1128" spans="2:13" x14ac:dyDescent="0.35">
      <c r="B1128" s="165">
        <v>46048</v>
      </c>
      <c r="C1128" s="166">
        <v>46048</v>
      </c>
      <c r="D1128" s="167" t="s">
        <v>184</v>
      </c>
      <c r="E1128" s="168">
        <v>869</v>
      </c>
      <c r="F1128" s="167" t="s">
        <v>1204</v>
      </c>
      <c r="G1128" s="167" t="s">
        <v>487</v>
      </c>
      <c r="H1128" s="169">
        <v>0</v>
      </c>
      <c r="I1128" s="169">
        <v>133333.32999999999</v>
      </c>
      <c r="J1128" s="155">
        <f>+J1127+Tabla69[[#This Row],[DEBE]]-Tabla69[[#This Row],[HABER]]</f>
        <v>484312262.01999986</v>
      </c>
      <c r="K1128" s="156" t="s">
        <v>871</v>
      </c>
      <c r="L1128" s="157" t="s">
        <v>767</v>
      </c>
      <c r="M1128" s="157"/>
    </row>
    <row r="1129" spans="2:13" x14ac:dyDescent="0.35">
      <c r="B1129" s="165">
        <v>46048</v>
      </c>
      <c r="C1129" s="166">
        <v>46048</v>
      </c>
      <c r="D1129" s="167" t="s">
        <v>184</v>
      </c>
      <c r="E1129" s="168">
        <v>869</v>
      </c>
      <c r="F1129" s="167" t="s">
        <v>1204</v>
      </c>
      <c r="G1129" s="167" t="s">
        <v>487</v>
      </c>
      <c r="H1129" s="169">
        <v>0</v>
      </c>
      <c r="I1129" s="169">
        <v>-133333.32999999999</v>
      </c>
      <c r="J1129" s="155">
        <f>+J1128+Tabla69[[#This Row],[DEBE]]-Tabla69[[#This Row],[HABER]]</f>
        <v>484445595.34999985</v>
      </c>
      <c r="K1129" s="156" t="s">
        <v>871</v>
      </c>
      <c r="L1129" s="157" t="s">
        <v>767</v>
      </c>
      <c r="M1129" s="157"/>
    </row>
    <row r="1130" spans="2:13" x14ac:dyDescent="0.35">
      <c r="B1130" s="165">
        <v>46048</v>
      </c>
      <c r="C1130" s="166">
        <v>46048</v>
      </c>
      <c r="D1130" s="167" t="s">
        <v>184</v>
      </c>
      <c r="E1130" s="168">
        <v>870</v>
      </c>
      <c r="F1130" s="167" t="s">
        <v>1205</v>
      </c>
      <c r="G1130" s="167" t="s">
        <v>487</v>
      </c>
      <c r="H1130" s="169">
        <v>0</v>
      </c>
      <c r="I1130" s="169">
        <v>-35555.550000000003</v>
      </c>
      <c r="J1130" s="155">
        <f>+J1129+Tabla69[[#This Row],[DEBE]]-Tabla69[[#This Row],[HABER]]</f>
        <v>484481150.89999986</v>
      </c>
      <c r="K1130" s="156" t="s">
        <v>871</v>
      </c>
      <c r="L1130" s="157" t="s">
        <v>767</v>
      </c>
      <c r="M1130" s="157"/>
    </row>
    <row r="1131" spans="2:13" x14ac:dyDescent="0.35">
      <c r="B1131" s="165">
        <v>46048</v>
      </c>
      <c r="C1131" s="166">
        <v>46048</v>
      </c>
      <c r="D1131" s="167" t="s">
        <v>184</v>
      </c>
      <c r="E1131" s="168">
        <v>870</v>
      </c>
      <c r="F1131" s="167" t="s">
        <v>1205</v>
      </c>
      <c r="G1131" s="167" t="s">
        <v>487</v>
      </c>
      <c r="H1131" s="169">
        <v>0</v>
      </c>
      <c r="I1131" s="169">
        <v>35555.550000000003</v>
      </c>
      <c r="J1131" s="155">
        <f>+J1130+Tabla69[[#This Row],[DEBE]]-Tabla69[[#This Row],[HABER]]</f>
        <v>484445595.34999985</v>
      </c>
      <c r="K1131" s="156" t="s">
        <v>871</v>
      </c>
      <c r="L1131" s="157" t="s">
        <v>767</v>
      </c>
      <c r="M1131" s="157"/>
    </row>
    <row r="1132" spans="2:13" x14ac:dyDescent="0.35">
      <c r="B1132" s="165">
        <v>46048</v>
      </c>
      <c r="C1132" s="166">
        <v>46048</v>
      </c>
      <c r="D1132" s="167" t="s">
        <v>184</v>
      </c>
      <c r="E1132" s="168">
        <v>871</v>
      </c>
      <c r="F1132" s="167" t="s">
        <v>1206</v>
      </c>
      <c r="G1132" s="167" t="s">
        <v>488</v>
      </c>
      <c r="H1132" s="169">
        <v>0</v>
      </c>
      <c r="I1132" s="169">
        <v>133333.32999999999</v>
      </c>
      <c r="J1132" s="155">
        <f>+J1131+Tabla69[[#This Row],[DEBE]]-Tabla69[[#This Row],[HABER]]</f>
        <v>484312262.01999986</v>
      </c>
      <c r="K1132" s="156" t="s">
        <v>871</v>
      </c>
      <c r="L1132" s="157" t="s">
        <v>767</v>
      </c>
      <c r="M1132" s="157"/>
    </row>
    <row r="1133" spans="2:13" x14ac:dyDescent="0.35">
      <c r="B1133" s="165">
        <v>46048</v>
      </c>
      <c r="C1133" s="166">
        <v>46048</v>
      </c>
      <c r="D1133" s="167" t="s">
        <v>184</v>
      </c>
      <c r="E1133" s="168">
        <v>871</v>
      </c>
      <c r="F1133" s="167" t="s">
        <v>1206</v>
      </c>
      <c r="G1133" s="167" t="s">
        <v>488</v>
      </c>
      <c r="H1133" s="169">
        <v>0</v>
      </c>
      <c r="I1133" s="169">
        <v>-133333.32999999999</v>
      </c>
      <c r="J1133" s="155">
        <f>+J1132+Tabla69[[#This Row],[DEBE]]-Tabla69[[#This Row],[HABER]]</f>
        <v>484445595.34999985</v>
      </c>
      <c r="K1133" s="156" t="s">
        <v>871</v>
      </c>
      <c r="L1133" s="157" t="s">
        <v>767</v>
      </c>
      <c r="M1133" s="157"/>
    </row>
    <row r="1134" spans="2:13" x14ac:dyDescent="0.35">
      <c r="B1134" s="145">
        <v>46048</v>
      </c>
      <c r="C1134" s="146">
        <v>46048</v>
      </c>
      <c r="D1134" s="147" t="s">
        <v>184</v>
      </c>
      <c r="E1134" s="148">
        <v>876</v>
      </c>
      <c r="F1134" s="147" t="s">
        <v>1207</v>
      </c>
      <c r="G1134" s="147" t="s">
        <v>489</v>
      </c>
      <c r="H1134" s="149">
        <v>0</v>
      </c>
      <c r="I1134" s="149">
        <v>82500040</v>
      </c>
      <c r="J1134" s="141">
        <f>+J1133+Tabla69[[#This Row],[DEBE]]-Tabla69[[#This Row],[HABER]]</f>
        <v>401945555.34999985</v>
      </c>
      <c r="K1134" s="142" t="s">
        <v>872</v>
      </c>
      <c r="L1134" s="143" t="s">
        <v>768</v>
      </c>
      <c r="M1134" s="143" t="s">
        <v>91</v>
      </c>
    </row>
    <row r="1135" spans="2:13" x14ac:dyDescent="0.35">
      <c r="B1135" s="145">
        <v>46048</v>
      </c>
      <c r="C1135" s="146">
        <v>46048</v>
      </c>
      <c r="D1135" s="147" t="s">
        <v>184</v>
      </c>
      <c r="E1135" s="148">
        <v>910</v>
      </c>
      <c r="F1135" s="147" t="s">
        <v>1207</v>
      </c>
      <c r="G1135" s="147" t="s">
        <v>490</v>
      </c>
      <c r="H1135" s="149">
        <v>0</v>
      </c>
      <c r="I1135" s="149">
        <v>1739000</v>
      </c>
      <c r="J1135" s="141">
        <f>+J1134+Tabla69[[#This Row],[DEBE]]-Tabla69[[#This Row],[HABER]]</f>
        <v>400206555.34999985</v>
      </c>
      <c r="K1135" s="142" t="s">
        <v>872</v>
      </c>
      <c r="L1135" s="143" t="s">
        <v>769</v>
      </c>
      <c r="M1135" s="143" t="s">
        <v>91</v>
      </c>
    </row>
    <row r="1136" spans="2:13" x14ac:dyDescent="0.35">
      <c r="B1136" s="145">
        <v>46048</v>
      </c>
      <c r="C1136" s="146">
        <v>46048</v>
      </c>
      <c r="D1136" s="147" t="s">
        <v>184</v>
      </c>
      <c r="E1136" s="148">
        <v>911</v>
      </c>
      <c r="F1136" s="147" t="s">
        <v>1208</v>
      </c>
      <c r="G1136" s="147" t="s">
        <v>491</v>
      </c>
      <c r="H1136" s="149">
        <v>0</v>
      </c>
      <c r="I1136" s="149">
        <v>143500.04</v>
      </c>
      <c r="J1136" s="141">
        <f>+J1135+Tabla69[[#This Row],[DEBE]]-Tabla69[[#This Row],[HABER]]</f>
        <v>400063055.30999982</v>
      </c>
      <c r="K1136" s="142" t="s">
        <v>872</v>
      </c>
      <c r="L1136" s="143" t="s">
        <v>769</v>
      </c>
      <c r="M1136" s="143" t="s">
        <v>91</v>
      </c>
    </row>
    <row r="1137" spans="2:13" x14ac:dyDescent="0.35">
      <c r="B1137" s="145">
        <v>46048</v>
      </c>
      <c r="C1137" s="146">
        <v>46048</v>
      </c>
      <c r="D1137" s="147" t="s">
        <v>184</v>
      </c>
      <c r="E1137" s="148">
        <v>912</v>
      </c>
      <c r="F1137" s="147" t="s">
        <v>1209</v>
      </c>
      <c r="G1137" s="147" t="s">
        <v>492</v>
      </c>
      <c r="H1137" s="149">
        <v>0</v>
      </c>
      <c r="I1137" s="149">
        <v>10078474.57</v>
      </c>
      <c r="J1137" s="141">
        <f>+J1136+Tabla69[[#This Row],[DEBE]]-Tabla69[[#This Row],[HABER]]</f>
        <v>389984580.73999983</v>
      </c>
      <c r="K1137" s="142" t="s">
        <v>872</v>
      </c>
      <c r="L1137" s="143" t="s">
        <v>770</v>
      </c>
      <c r="M1137" s="143" t="s">
        <v>1505</v>
      </c>
    </row>
    <row r="1138" spans="2:13" x14ac:dyDescent="0.35">
      <c r="B1138" s="145">
        <v>46048</v>
      </c>
      <c r="C1138" s="146">
        <v>46048</v>
      </c>
      <c r="D1138" s="147" t="s">
        <v>184</v>
      </c>
      <c r="E1138" s="148">
        <v>913</v>
      </c>
      <c r="F1138" s="147" t="s">
        <v>1210</v>
      </c>
      <c r="G1138" s="147" t="s">
        <v>493</v>
      </c>
      <c r="H1138" s="149">
        <v>0</v>
      </c>
      <c r="I1138" s="149">
        <v>6731813.1500000004</v>
      </c>
      <c r="J1138" s="141">
        <f>+J1137+Tabla69[[#This Row],[DEBE]]-Tabla69[[#This Row],[HABER]]</f>
        <v>383252767.58999985</v>
      </c>
      <c r="K1138" s="142" t="s">
        <v>872</v>
      </c>
      <c r="L1138" s="143" t="s">
        <v>771</v>
      </c>
      <c r="M1138" s="143" t="s">
        <v>1505</v>
      </c>
    </row>
    <row r="1139" spans="2:13" x14ac:dyDescent="0.35">
      <c r="B1139" s="145">
        <v>46048</v>
      </c>
      <c r="C1139" s="146">
        <v>46048</v>
      </c>
      <c r="D1139" s="147" t="s">
        <v>184</v>
      </c>
      <c r="E1139" s="148">
        <v>914</v>
      </c>
      <c r="F1139" s="147" t="s">
        <v>1211</v>
      </c>
      <c r="G1139" s="147" t="s">
        <v>494</v>
      </c>
      <c r="H1139" s="149">
        <v>0</v>
      </c>
      <c r="I1139" s="149">
        <v>478893.79</v>
      </c>
      <c r="J1139" s="141">
        <f>+J1138+Tabla69[[#This Row],[DEBE]]-Tabla69[[#This Row],[HABER]]</f>
        <v>382773873.79999983</v>
      </c>
      <c r="K1139" s="142" t="s">
        <v>872</v>
      </c>
      <c r="L1139" s="143" t="s">
        <v>772</v>
      </c>
      <c r="M1139" s="143" t="s">
        <v>1505</v>
      </c>
    </row>
    <row r="1140" spans="2:13" x14ac:dyDescent="0.35">
      <c r="B1140" s="145">
        <v>46048</v>
      </c>
      <c r="C1140" s="146">
        <v>46048</v>
      </c>
      <c r="D1140" s="147" t="s">
        <v>184</v>
      </c>
      <c r="E1140" s="148">
        <v>915</v>
      </c>
      <c r="F1140" s="147" t="s">
        <v>896</v>
      </c>
      <c r="G1140" s="147" t="s">
        <v>495</v>
      </c>
      <c r="H1140" s="149">
        <v>0</v>
      </c>
      <c r="I1140" s="149">
        <v>2411631.08</v>
      </c>
      <c r="J1140" s="141">
        <f>+J1139+Tabla69[[#This Row],[DEBE]]-Tabla69[[#This Row],[HABER]]</f>
        <v>380362242.71999985</v>
      </c>
      <c r="K1140" s="142" t="s">
        <v>872</v>
      </c>
      <c r="L1140" s="143" t="s">
        <v>773</v>
      </c>
      <c r="M1140" s="143" t="s">
        <v>1505</v>
      </c>
    </row>
    <row r="1141" spans="2:13" x14ac:dyDescent="0.35">
      <c r="B1141" s="145">
        <v>46048</v>
      </c>
      <c r="C1141" s="146">
        <v>46048</v>
      </c>
      <c r="D1141" s="147" t="s">
        <v>184</v>
      </c>
      <c r="E1141" s="148">
        <v>916</v>
      </c>
      <c r="F1141" s="147" t="s">
        <v>1212</v>
      </c>
      <c r="G1141" s="147" t="s">
        <v>496</v>
      </c>
      <c r="H1141" s="149">
        <v>0</v>
      </c>
      <c r="I1141" s="149">
        <v>92173900</v>
      </c>
      <c r="J1141" s="141">
        <f>+J1140+Tabla69[[#This Row],[DEBE]]-Tabla69[[#This Row],[HABER]]</f>
        <v>288188342.71999985</v>
      </c>
      <c r="K1141" s="142" t="s">
        <v>872</v>
      </c>
      <c r="L1141" s="143" t="s">
        <v>774</v>
      </c>
      <c r="M1141" s="143" t="s">
        <v>1505</v>
      </c>
    </row>
    <row r="1142" spans="2:13" x14ac:dyDescent="0.35">
      <c r="B1142" s="145">
        <v>46048</v>
      </c>
      <c r="C1142" s="146">
        <v>46048</v>
      </c>
      <c r="D1142" s="147" t="s">
        <v>184</v>
      </c>
      <c r="E1142" s="148">
        <v>917</v>
      </c>
      <c r="F1142" s="147" t="s">
        <v>1213</v>
      </c>
      <c r="G1142" s="147" t="s">
        <v>497</v>
      </c>
      <c r="H1142" s="149">
        <v>0</v>
      </c>
      <c r="I1142" s="149">
        <v>220000</v>
      </c>
      <c r="J1142" s="141">
        <f>+J1141+Tabla69[[#This Row],[DEBE]]-Tabla69[[#This Row],[HABER]]</f>
        <v>287968342.71999985</v>
      </c>
      <c r="K1142" s="142" t="s">
        <v>872</v>
      </c>
      <c r="L1142" s="143" t="s">
        <v>775</v>
      </c>
      <c r="M1142" s="143" t="s">
        <v>1505</v>
      </c>
    </row>
    <row r="1143" spans="2:13" x14ac:dyDescent="0.35">
      <c r="B1143" s="145">
        <v>46048</v>
      </c>
      <c r="C1143" s="146">
        <v>46048</v>
      </c>
      <c r="D1143" s="147" t="s">
        <v>184</v>
      </c>
      <c r="E1143" s="148">
        <v>918</v>
      </c>
      <c r="F1143" s="147" t="s">
        <v>1214</v>
      </c>
      <c r="G1143" s="147" t="s">
        <v>498</v>
      </c>
      <c r="H1143" s="149">
        <v>0</v>
      </c>
      <c r="I1143" s="149">
        <v>2372943.4</v>
      </c>
      <c r="J1143" s="141">
        <f>+J1142+Tabla69[[#This Row],[DEBE]]-Tabla69[[#This Row],[HABER]]</f>
        <v>285595399.31999987</v>
      </c>
      <c r="K1143" s="142" t="s">
        <v>872</v>
      </c>
      <c r="L1143" s="143" t="s">
        <v>776</v>
      </c>
      <c r="M1143" s="143" t="s">
        <v>1505</v>
      </c>
    </row>
    <row r="1144" spans="2:13" x14ac:dyDescent="0.35">
      <c r="B1144" s="145">
        <v>46048</v>
      </c>
      <c r="C1144" s="146">
        <v>46048</v>
      </c>
      <c r="D1144" s="147" t="s">
        <v>184</v>
      </c>
      <c r="E1144" s="148">
        <v>919</v>
      </c>
      <c r="F1144" s="147" t="s">
        <v>1215</v>
      </c>
      <c r="G1144" s="147" t="s">
        <v>499</v>
      </c>
      <c r="H1144" s="149">
        <v>0</v>
      </c>
      <c r="I1144" s="149">
        <v>12954715.52</v>
      </c>
      <c r="J1144" s="141">
        <f>+J1143+Tabla69[[#This Row],[DEBE]]-Tabla69[[#This Row],[HABER]]</f>
        <v>272640683.79999989</v>
      </c>
      <c r="K1144" s="142" t="s">
        <v>872</v>
      </c>
      <c r="L1144" s="143" t="s">
        <v>777</v>
      </c>
      <c r="M1144" s="143" t="s">
        <v>1505</v>
      </c>
    </row>
    <row r="1145" spans="2:13" x14ac:dyDescent="0.35">
      <c r="B1145" s="145">
        <v>46048</v>
      </c>
      <c r="C1145" s="146">
        <v>46048</v>
      </c>
      <c r="D1145" s="147" t="s">
        <v>184</v>
      </c>
      <c r="E1145" s="148">
        <v>920</v>
      </c>
      <c r="F1145" s="147" t="s">
        <v>1216</v>
      </c>
      <c r="G1145" s="147" t="s">
        <v>500</v>
      </c>
      <c r="H1145" s="149">
        <v>0</v>
      </c>
      <c r="I1145" s="149">
        <v>165600</v>
      </c>
      <c r="J1145" s="141">
        <f>+J1144+Tabla69[[#This Row],[DEBE]]-Tabla69[[#This Row],[HABER]]</f>
        <v>272475083.79999989</v>
      </c>
      <c r="K1145" s="142" t="s">
        <v>872</v>
      </c>
      <c r="L1145" s="143" t="s">
        <v>778</v>
      </c>
      <c r="M1145" s="143" t="s">
        <v>1505</v>
      </c>
    </row>
    <row r="1146" spans="2:13" x14ac:dyDescent="0.35">
      <c r="B1146" s="145">
        <v>46048</v>
      </c>
      <c r="C1146" s="146">
        <v>46048</v>
      </c>
      <c r="D1146" s="147" t="s">
        <v>184</v>
      </c>
      <c r="E1146" s="148">
        <v>921</v>
      </c>
      <c r="F1146" s="147" t="s">
        <v>1217</v>
      </c>
      <c r="G1146" s="147" t="s">
        <v>501</v>
      </c>
      <c r="H1146" s="149">
        <v>0</v>
      </c>
      <c r="I1146" s="149">
        <v>622080</v>
      </c>
      <c r="J1146" s="141">
        <f>+J1145+Tabla69[[#This Row],[DEBE]]-Tabla69[[#This Row],[HABER]]</f>
        <v>271853003.79999989</v>
      </c>
      <c r="K1146" s="142" t="s">
        <v>872</v>
      </c>
      <c r="L1146" s="143" t="s">
        <v>779</v>
      </c>
      <c r="M1146" s="143" t="s">
        <v>1505</v>
      </c>
    </row>
    <row r="1147" spans="2:13" x14ac:dyDescent="0.35">
      <c r="B1147" s="145">
        <v>46048</v>
      </c>
      <c r="C1147" s="146">
        <v>46048</v>
      </c>
      <c r="D1147" s="147" t="s">
        <v>184</v>
      </c>
      <c r="E1147" s="148">
        <v>922</v>
      </c>
      <c r="F1147" s="147" t="s">
        <v>889</v>
      </c>
      <c r="G1147" s="147" t="s">
        <v>502</v>
      </c>
      <c r="H1147" s="149">
        <v>0</v>
      </c>
      <c r="I1147" s="149">
        <v>1200000</v>
      </c>
      <c r="J1147" s="141">
        <f>+J1146+Tabla69[[#This Row],[DEBE]]-Tabla69[[#This Row],[HABER]]</f>
        <v>270653003.79999989</v>
      </c>
      <c r="K1147" s="142" t="s">
        <v>872</v>
      </c>
      <c r="L1147" s="143" t="s">
        <v>780</v>
      </c>
      <c r="M1147" s="143" t="s">
        <v>1505</v>
      </c>
    </row>
    <row r="1148" spans="2:13" x14ac:dyDescent="0.35">
      <c r="B1148" s="145">
        <v>46048</v>
      </c>
      <c r="C1148" s="146">
        <v>46048</v>
      </c>
      <c r="D1148" s="147" t="s">
        <v>184</v>
      </c>
      <c r="E1148" s="148">
        <v>923</v>
      </c>
      <c r="F1148" s="147" t="s">
        <v>1016</v>
      </c>
      <c r="G1148" s="147" t="s">
        <v>503</v>
      </c>
      <c r="H1148" s="149">
        <v>0</v>
      </c>
      <c r="I1148" s="149">
        <v>36357542</v>
      </c>
      <c r="J1148" s="141">
        <f>+J1147+Tabla69[[#This Row],[DEBE]]-Tabla69[[#This Row],[HABER]]</f>
        <v>234295461.79999989</v>
      </c>
      <c r="K1148" s="142" t="s">
        <v>872</v>
      </c>
      <c r="L1148" s="143" t="s">
        <v>781</v>
      </c>
      <c r="M1148" s="143" t="s">
        <v>92</v>
      </c>
    </row>
    <row r="1149" spans="2:13" x14ac:dyDescent="0.35">
      <c r="B1149" s="145">
        <v>46048</v>
      </c>
      <c r="C1149" s="146">
        <v>46048</v>
      </c>
      <c r="D1149" s="147" t="s">
        <v>184</v>
      </c>
      <c r="E1149" s="148">
        <v>924</v>
      </c>
      <c r="F1149" s="147" t="s">
        <v>1218</v>
      </c>
      <c r="G1149" s="147" t="s">
        <v>504</v>
      </c>
      <c r="H1149" s="149">
        <v>0</v>
      </c>
      <c r="I1149" s="149">
        <v>5522588.0099999998</v>
      </c>
      <c r="J1149" s="141">
        <f>+J1148+Tabla69[[#This Row],[DEBE]]-Tabla69[[#This Row],[HABER]]</f>
        <v>228772873.7899999</v>
      </c>
      <c r="K1149" s="142" t="s">
        <v>872</v>
      </c>
      <c r="L1149" s="143" t="s">
        <v>782</v>
      </c>
      <c r="M1149" s="143" t="s">
        <v>1505</v>
      </c>
    </row>
    <row r="1150" spans="2:13" x14ac:dyDescent="0.35">
      <c r="B1150" s="145">
        <v>46048</v>
      </c>
      <c r="C1150" s="146">
        <v>46048</v>
      </c>
      <c r="D1150" s="147" t="s">
        <v>184</v>
      </c>
      <c r="E1150" s="148">
        <v>925</v>
      </c>
      <c r="F1150" s="147" t="s">
        <v>1219</v>
      </c>
      <c r="G1150" s="147" t="s">
        <v>505</v>
      </c>
      <c r="H1150" s="149">
        <v>0</v>
      </c>
      <c r="I1150" s="149">
        <v>52500</v>
      </c>
      <c r="J1150" s="141">
        <f>+J1149+Tabla69[[#This Row],[DEBE]]-Tabla69[[#This Row],[HABER]]</f>
        <v>228720373.7899999</v>
      </c>
      <c r="K1150" s="142" t="s">
        <v>872</v>
      </c>
      <c r="L1150" s="143" t="s">
        <v>783</v>
      </c>
      <c r="M1150" s="143" t="s">
        <v>1505</v>
      </c>
    </row>
    <row r="1151" spans="2:13" x14ac:dyDescent="0.35">
      <c r="B1151" s="185">
        <v>46048</v>
      </c>
      <c r="C1151" s="108">
        <v>46048</v>
      </c>
      <c r="D1151" s="109" t="s">
        <v>184</v>
      </c>
      <c r="E1151" s="118">
        <v>926</v>
      </c>
      <c r="F1151" s="109" t="s">
        <v>1220</v>
      </c>
      <c r="G1151" s="109" t="s">
        <v>506</v>
      </c>
      <c r="H1151" s="111">
        <v>0</v>
      </c>
      <c r="I1151" s="111">
        <v>2666887.7000000002</v>
      </c>
      <c r="J1151" s="186">
        <f>+J1150+Tabla69[[#This Row],[DEBE]]-Tabla69[[#This Row],[HABER]]</f>
        <v>226053486.08999991</v>
      </c>
      <c r="K1151" s="187" t="s">
        <v>872</v>
      </c>
      <c r="L1151" s="188" t="s">
        <v>1642</v>
      </c>
      <c r="M1151" s="188" t="s">
        <v>86</v>
      </c>
    </row>
    <row r="1152" spans="2:13" x14ac:dyDescent="0.35">
      <c r="B1152" s="165">
        <v>46048</v>
      </c>
      <c r="C1152" s="166">
        <v>46048</v>
      </c>
      <c r="D1152" s="167" t="s">
        <v>184</v>
      </c>
      <c r="E1152" s="168">
        <v>927</v>
      </c>
      <c r="F1152" s="167" t="s">
        <v>1221</v>
      </c>
      <c r="G1152" s="167" t="s">
        <v>507</v>
      </c>
      <c r="H1152" s="169">
        <v>0</v>
      </c>
      <c r="I1152" s="169">
        <v>818981.4</v>
      </c>
      <c r="J1152" s="155">
        <f>+J1151+Tabla69[[#This Row],[DEBE]]-Tabla69[[#This Row],[HABER]]</f>
        <v>225234504.68999991</v>
      </c>
      <c r="K1152" s="156" t="s">
        <v>871</v>
      </c>
      <c r="L1152" s="157" t="s">
        <v>784</v>
      </c>
      <c r="M1152" s="157"/>
    </row>
    <row r="1153" spans="2:13" x14ac:dyDescent="0.35">
      <c r="B1153" s="165">
        <v>46048</v>
      </c>
      <c r="C1153" s="166">
        <v>46048</v>
      </c>
      <c r="D1153" s="167" t="s">
        <v>184</v>
      </c>
      <c r="E1153" s="168">
        <v>927</v>
      </c>
      <c r="F1153" s="167" t="s">
        <v>1221</v>
      </c>
      <c r="G1153" s="167" t="s">
        <v>507</v>
      </c>
      <c r="H1153" s="169">
        <v>0</v>
      </c>
      <c r="I1153" s="169">
        <v>-818981.4</v>
      </c>
      <c r="J1153" s="155">
        <f>+J1152+Tabla69[[#This Row],[DEBE]]-Tabla69[[#This Row],[HABER]]</f>
        <v>226053486.08999991</v>
      </c>
      <c r="K1153" s="156" t="s">
        <v>871</v>
      </c>
      <c r="L1153" s="157" t="s">
        <v>784</v>
      </c>
      <c r="M1153" s="157"/>
    </row>
    <row r="1154" spans="2:13" x14ac:dyDescent="0.35">
      <c r="B1154" s="165">
        <v>46048</v>
      </c>
      <c r="C1154" s="166">
        <v>46048</v>
      </c>
      <c r="D1154" s="167" t="s">
        <v>184</v>
      </c>
      <c r="E1154" s="168">
        <v>928</v>
      </c>
      <c r="F1154" s="167" t="s">
        <v>1222</v>
      </c>
      <c r="G1154" s="167" t="s">
        <v>508</v>
      </c>
      <c r="H1154" s="169">
        <v>0</v>
      </c>
      <c r="I1154" s="169">
        <v>-2000000</v>
      </c>
      <c r="J1154" s="155">
        <f>+J1153+Tabla69[[#This Row],[DEBE]]-Tabla69[[#This Row],[HABER]]</f>
        <v>228053486.08999991</v>
      </c>
      <c r="K1154" s="156" t="s">
        <v>871</v>
      </c>
      <c r="L1154" s="157" t="s">
        <v>785</v>
      </c>
      <c r="M1154" s="157"/>
    </row>
    <row r="1155" spans="2:13" x14ac:dyDescent="0.35">
      <c r="B1155" s="165">
        <v>46048</v>
      </c>
      <c r="C1155" s="166">
        <v>46048</v>
      </c>
      <c r="D1155" s="167" t="s">
        <v>184</v>
      </c>
      <c r="E1155" s="168">
        <v>928</v>
      </c>
      <c r="F1155" s="167" t="s">
        <v>1222</v>
      </c>
      <c r="G1155" s="167" t="s">
        <v>508</v>
      </c>
      <c r="H1155" s="169">
        <v>0</v>
      </c>
      <c r="I1155" s="169">
        <v>2000000</v>
      </c>
      <c r="J1155" s="155">
        <f>+J1154+Tabla69[[#This Row],[DEBE]]-Tabla69[[#This Row],[HABER]]</f>
        <v>226053486.08999991</v>
      </c>
      <c r="K1155" s="156" t="s">
        <v>871</v>
      </c>
      <c r="L1155" s="157" t="s">
        <v>785</v>
      </c>
      <c r="M1155" s="157"/>
    </row>
    <row r="1156" spans="2:13" x14ac:dyDescent="0.35">
      <c r="B1156" s="165">
        <v>46048</v>
      </c>
      <c r="C1156" s="166">
        <v>46048</v>
      </c>
      <c r="D1156" s="167" t="s">
        <v>184</v>
      </c>
      <c r="E1156" s="168">
        <v>929</v>
      </c>
      <c r="F1156" s="167" t="s">
        <v>1223</v>
      </c>
      <c r="G1156" s="167" t="s">
        <v>509</v>
      </c>
      <c r="H1156" s="169">
        <v>0</v>
      </c>
      <c r="I1156" s="169">
        <v>-804320.03</v>
      </c>
      <c r="J1156" s="155">
        <f>+J1155+Tabla69[[#This Row],[DEBE]]-Tabla69[[#This Row],[HABER]]</f>
        <v>226857806.11999992</v>
      </c>
      <c r="K1156" s="156" t="s">
        <v>871</v>
      </c>
      <c r="L1156" s="157" t="s">
        <v>786</v>
      </c>
      <c r="M1156" s="157"/>
    </row>
    <row r="1157" spans="2:13" x14ac:dyDescent="0.35">
      <c r="B1157" s="165">
        <v>46048</v>
      </c>
      <c r="C1157" s="166">
        <v>46048</v>
      </c>
      <c r="D1157" s="167" t="s">
        <v>184</v>
      </c>
      <c r="E1157" s="168">
        <v>929</v>
      </c>
      <c r="F1157" s="167" t="s">
        <v>1223</v>
      </c>
      <c r="G1157" s="167" t="s">
        <v>509</v>
      </c>
      <c r="H1157" s="169">
        <v>0</v>
      </c>
      <c r="I1157" s="169">
        <v>804320.03</v>
      </c>
      <c r="J1157" s="155">
        <f>+J1156+Tabla69[[#This Row],[DEBE]]-Tabla69[[#This Row],[HABER]]</f>
        <v>226053486.08999991</v>
      </c>
      <c r="K1157" s="156" t="s">
        <v>871</v>
      </c>
      <c r="L1157" s="157" t="s">
        <v>786</v>
      </c>
      <c r="M1157" s="157"/>
    </row>
    <row r="1158" spans="2:13" x14ac:dyDescent="0.35">
      <c r="B1158" s="145">
        <v>46049</v>
      </c>
      <c r="C1158" s="146">
        <v>46036</v>
      </c>
      <c r="D1158" s="138" t="s">
        <v>874</v>
      </c>
      <c r="E1158" s="148">
        <v>83</v>
      </c>
      <c r="F1158" s="147" t="s">
        <v>480</v>
      </c>
      <c r="G1158" s="147" t="s">
        <v>481</v>
      </c>
      <c r="H1158" s="149">
        <v>1339000</v>
      </c>
      <c r="I1158" s="149">
        <v>0</v>
      </c>
      <c r="J1158" s="141">
        <f>+J1157+Tabla69[[#This Row],[DEBE]]-Tabla69[[#This Row],[HABER]]</f>
        <v>227392486.08999991</v>
      </c>
      <c r="K1158" s="142" t="s">
        <v>872</v>
      </c>
      <c r="L1158" s="147" t="s">
        <v>1556</v>
      </c>
      <c r="M1158" s="143" t="s">
        <v>85</v>
      </c>
    </row>
    <row r="1159" spans="2:13" x14ac:dyDescent="0.35">
      <c r="B1159" s="145">
        <v>46049</v>
      </c>
      <c r="C1159" s="146">
        <v>46038</v>
      </c>
      <c r="D1159" s="138" t="s">
        <v>874</v>
      </c>
      <c r="E1159" s="148">
        <v>85</v>
      </c>
      <c r="F1159" s="147" t="s">
        <v>480</v>
      </c>
      <c r="G1159" s="147" t="s">
        <v>481</v>
      </c>
      <c r="H1159" s="149">
        <v>78000</v>
      </c>
      <c r="I1159" s="149">
        <v>0</v>
      </c>
      <c r="J1159" s="141">
        <f>+J1158+Tabla69[[#This Row],[DEBE]]-Tabla69[[#This Row],[HABER]]</f>
        <v>227470486.08999991</v>
      </c>
      <c r="K1159" s="142" t="s">
        <v>872</v>
      </c>
      <c r="L1159" s="143" t="s">
        <v>1570</v>
      </c>
      <c r="M1159" s="143" t="s">
        <v>85</v>
      </c>
    </row>
    <row r="1160" spans="2:13" x14ac:dyDescent="0.35">
      <c r="B1160" s="165">
        <v>46049</v>
      </c>
      <c r="C1160" s="166">
        <v>46049</v>
      </c>
      <c r="D1160" s="167" t="s">
        <v>184</v>
      </c>
      <c r="E1160" s="168">
        <v>834</v>
      </c>
      <c r="F1160" s="167" t="s">
        <v>1174</v>
      </c>
      <c r="G1160" s="167" t="s">
        <v>483</v>
      </c>
      <c r="H1160" s="169">
        <v>0</v>
      </c>
      <c r="I1160" s="169">
        <v>-45060</v>
      </c>
      <c r="J1160" s="155">
        <f>+J1159+Tabla69[[#This Row],[DEBE]]-Tabla69[[#This Row],[HABER]]</f>
        <v>227515546.08999991</v>
      </c>
      <c r="K1160" s="156" t="s">
        <v>871</v>
      </c>
      <c r="L1160" s="157" t="s">
        <v>764</v>
      </c>
      <c r="M1160" s="157"/>
    </row>
    <row r="1161" spans="2:13" x14ac:dyDescent="0.35">
      <c r="B1161" s="145">
        <v>46049</v>
      </c>
      <c r="C1161" s="146">
        <v>46049</v>
      </c>
      <c r="D1161" s="147" t="s">
        <v>184</v>
      </c>
      <c r="E1161" s="148">
        <v>930</v>
      </c>
      <c r="F1161" s="147" t="s">
        <v>1224</v>
      </c>
      <c r="G1161" s="147" t="s">
        <v>510</v>
      </c>
      <c r="H1161" s="149">
        <v>0</v>
      </c>
      <c r="I1161" s="149">
        <v>37495706.740000002</v>
      </c>
      <c r="J1161" s="141">
        <f>+J1160+Tabla69[[#This Row],[DEBE]]-Tabla69[[#This Row],[HABER]]</f>
        <v>190019839.3499999</v>
      </c>
      <c r="K1161" s="142" t="s">
        <v>872</v>
      </c>
      <c r="L1161" s="143" t="s">
        <v>787</v>
      </c>
      <c r="M1161" s="143" t="s">
        <v>1505</v>
      </c>
    </row>
    <row r="1162" spans="2:13" x14ac:dyDescent="0.35">
      <c r="B1162" s="145">
        <v>46049</v>
      </c>
      <c r="C1162" s="146">
        <v>46049</v>
      </c>
      <c r="D1162" s="147" t="s">
        <v>184</v>
      </c>
      <c r="E1162" s="148">
        <v>931</v>
      </c>
      <c r="F1162" s="147" t="s">
        <v>1225</v>
      </c>
      <c r="G1162" s="147" t="s">
        <v>511</v>
      </c>
      <c r="H1162" s="149">
        <v>0</v>
      </c>
      <c r="I1162" s="149">
        <v>250000</v>
      </c>
      <c r="J1162" s="141">
        <f>+J1161+Tabla69[[#This Row],[DEBE]]-Tabla69[[#This Row],[HABER]]</f>
        <v>189769839.3499999</v>
      </c>
      <c r="K1162" s="142" t="s">
        <v>872</v>
      </c>
      <c r="L1162" s="143" t="s">
        <v>788</v>
      </c>
      <c r="M1162" s="143" t="s">
        <v>1505</v>
      </c>
    </row>
    <row r="1163" spans="2:13" x14ac:dyDescent="0.35">
      <c r="B1163" s="165">
        <v>46049</v>
      </c>
      <c r="C1163" s="166">
        <v>46049</v>
      </c>
      <c r="D1163" s="167" t="s">
        <v>184</v>
      </c>
      <c r="E1163" s="168">
        <v>932</v>
      </c>
      <c r="F1163" s="167" t="s">
        <v>1226</v>
      </c>
      <c r="G1163" s="167" t="s">
        <v>512</v>
      </c>
      <c r="H1163" s="169">
        <v>0</v>
      </c>
      <c r="I1163" s="169">
        <v>336292.16</v>
      </c>
      <c r="J1163" s="155">
        <f>+J1162+Tabla69[[#This Row],[DEBE]]-Tabla69[[#This Row],[HABER]]</f>
        <v>189433547.18999991</v>
      </c>
      <c r="K1163" s="156" t="s">
        <v>871</v>
      </c>
      <c r="L1163" s="157" t="s">
        <v>789</v>
      </c>
      <c r="M1163" s="157"/>
    </row>
    <row r="1164" spans="2:13" x14ac:dyDescent="0.35">
      <c r="B1164" s="165">
        <v>46049</v>
      </c>
      <c r="C1164" s="166">
        <v>46049</v>
      </c>
      <c r="D1164" s="167" t="s">
        <v>184</v>
      </c>
      <c r="E1164" s="168">
        <v>932</v>
      </c>
      <c r="F1164" s="167" t="s">
        <v>1227</v>
      </c>
      <c r="G1164" s="167" t="s">
        <v>512</v>
      </c>
      <c r="H1164" s="169">
        <v>0</v>
      </c>
      <c r="I1164" s="169">
        <v>-336292.16</v>
      </c>
      <c r="J1164" s="155">
        <f>+J1163+Tabla69[[#This Row],[DEBE]]-Tabla69[[#This Row],[HABER]]</f>
        <v>189769839.3499999</v>
      </c>
      <c r="K1164" s="156" t="s">
        <v>871</v>
      </c>
      <c r="L1164" s="157" t="s">
        <v>789</v>
      </c>
      <c r="M1164" s="157"/>
    </row>
    <row r="1165" spans="2:13" x14ac:dyDescent="0.35">
      <c r="B1165" s="145">
        <v>46049</v>
      </c>
      <c r="C1165" s="146">
        <v>46049</v>
      </c>
      <c r="D1165" s="147" t="s">
        <v>184</v>
      </c>
      <c r="E1165" s="148">
        <v>933</v>
      </c>
      <c r="F1165" s="147" t="s">
        <v>1228</v>
      </c>
      <c r="G1165" s="147" t="s">
        <v>513</v>
      </c>
      <c r="H1165" s="149">
        <v>0</v>
      </c>
      <c r="I1165" s="149">
        <v>5271334.16</v>
      </c>
      <c r="J1165" s="141">
        <f>+J1164+Tabla69[[#This Row],[DEBE]]-Tabla69[[#This Row],[HABER]]</f>
        <v>184498505.18999991</v>
      </c>
      <c r="K1165" s="142" t="s">
        <v>872</v>
      </c>
      <c r="L1165" s="143" t="s">
        <v>790</v>
      </c>
      <c r="M1165" s="143" t="s">
        <v>1505</v>
      </c>
    </row>
    <row r="1166" spans="2:13" x14ac:dyDescent="0.35">
      <c r="B1166" s="145">
        <v>46049</v>
      </c>
      <c r="C1166" s="146">
        <v>46049</v>
      </c>
      <c r="D1166" s="147" t="s">
        <v>184</v>
      </c>
      <c r="E1166" s="148">
        <v>934</v>
      </c>
      <c r="F1166" s="147" t="s">
        <v>1229</v>
      </c>
      <c r="G1166" s="147" t="s">
        <v>514</v>
      </c>
      <c r="H1166" s="149">
        <v>0</v>
      </c>
      <c r="I1166" s="149">
        <v>67669.8</v>
      </c>
      <c r="J1166" s="141">
        <f>+J1165+Tabla69[[#This Row],[DEBE]]-Tabla69[[#This Row],[HABER]]</f>
        <v>184430835.3899999</v>
      </c>
      <c r="K1166" s="142" t="s">
        <v>872</v>
      </c>
      <c r="L1166" s="143" t="s">
        <v>791</v>
      </c>
      <c r="M1166" s="143" t="s">
        <v>1505</v>
      </c>
    </row>
    <row r="1167" spans="2:13" x14ac:dyDescent="0.35">
      <c r="B1167" s="145">
        <v>46049</v>
      </c>
      <c r="C1167" s="146">
        <v>46049</v>
      </c>
      <c r="D1167" s="147" t="s">
        <v>184</v>
      </c>
      <c r="E1167" s="148">
        <v>935</v>
      </c>
      <c r="F1167" s="147" t="s">
        <v>1230</v>
      </c>
      <c r="G1167" s="147" t="s">
        <v>515</v>
      </c>
      <c r="H1167" s="149">
        <v>0</v>
      </c>
      <c r="I1167" s="149">
        <v>300000</v>
      </c>
      <c r="J1167" s="141">
        <f>+J1166+Tabla69[[#This Row],[DEBE]]-Tabla69[[#This Row],[HABER]]</f>
        <v>184130835.3899999</v>
      </c>
      <c r="K1167" s="142" t="s">
        <v>872</v>
      </c>
      <c r="L1167" s="143" t="s">
        <v>792</v>
      </c>
      <c r="M1167" s="143" t="s">
        <v>1505</v>
      </c>
    </row>
    <row r="1168" spans="2:13" x14ac:dyDescent="0.35">
      <c r="B1168" s="145">
        <v>46049</v>
      </c>
      <c r="C1168" s="146">
        <v>46049</v>
      </c>
      <c r="D1168" s="147" t="s">
        <v>184</v>
      </c>
      <c r="E1168" s="148">
        <v>936</v>
      </c>
      <c r="F1168" s="147" t="s">
        <v>1231</v>
      </c>
      <c r="G1168" s="147" t="s">
        <v>516</v>
      </c>
      <c r="H1168" s="149">
        <v>0</v>
      </c>
      <c r="I1168" s="149">
        <v>29992710.73</v>
      </c>
      <c r="J1168" s="141">
        <f>+J1167+Tabla69[[#This Row],[DEBE]]-Tabla69[[#This Row],[HABER]]</f>
        <v>154138124.65999991</v>
      </c>
      <c r="K1168" s="142" t="s">
        <v>872</v>
      </c>
      <c r="L1168" s="143" t="s">
        <v>793</v>
      </c>
      <c r="M1168" s="143" t="s">
        <v>1505</v>
      </c>
    </row>
    <row r="1169" spans="2:13" x14ac:dyDescent="0.35">
      <c r="B1169" s="145">
        <v>46049</v>
      </c>
      <c r="C1169" s="146">
        <v>46049</v>
      </c>
      <c r="D1169" s="147" t="s">
        <v>184</v>
      </c>
      <c r="E1169" s="148">
        <v>937</v>
      </c>
      <c r="F1169" s="147" t="s">
        <v>885</v>
      </c>
      <c r="G1169" s="147" t="s">
        <v>517</v>
      </c>
      <c r="H1169" s="149">
        <v>0</v>
      </c>
      <c r="I1169" s="149">
        <v>700000</v>
      </c>
      <c r="J1169" s="141">
        <f>+J1168+Tabla69[[#This Row],[DEBE]]-Tabla69[[#This Row],[HABER]]</f>
        <v>153438124.65999991</v>
      </c>
      <c r="K1169" s="142" t="s">
        <v>872</v>
      </c>
      <c r="L1169" s="143" t="s">
        <v>794</v>
      </c>
      <c r="M1169" s="143" t="s">
        <v>1505</v>
      </c>
    </row>
    <row r="1170" spans="2:13" x14ac:dyDescent="0.35">
      <c r="B1170" s="145">
        <v>46049</v>
      </c>
      <c r="C1170" s="146">
        <v>46049</v>
      </c>
      <c r="D1170" s="147" t="s">
        <v>184</v>
      </c>
      <c r="E1170" s="148">
        <v>938</v>
      </c>
      <c r="F1170" s="147" t="s">
        <v>1232</v>
      </c>
      <c r="G1170" s="147" t="s">
        <v>518</v>
      </c>
      <c r="H1170" s="149">
        <v>0</v>
      </c>
      <c r="I1170" s="149">
        <v>210000</v>
      </c>
      <c r="J1170" s="141">
        <f>+J1169+Tabla69[[#This Row],[DEBE]]-Tabla69[[#This Row],[HABER]]</f>
        <v>153228124.65999991</v>
      </c>
      <c r="K1170" s="142" t="s">
        <v>872</v>
      </c>
      <c r="L1170" s="143" t="s">
        <v>795</v>
      </c>
      <c r="M1170" s="143" t="s">
        <v>1505</v>
      </c>
    </row>
    <row r="1171" spans="2:13" x14ac:dyDescent="0.35">
      <c r="B1171" s="145">
        <v>46049</v>
      </c>
      <c r="C1171" s="146">
        <v>46049</v>
      </c>
      <c r="D1171" s="147" t="s">
        <v>184</v>
      </c>
      <c r="E1171" s="148">
        <v>939</v>
      </c>
      <c r="F1171" s="147" t="s">
        <v>913</v>
      </c>
      <c r="G1171" s="147" t="s">
        <v>519</v>
      </c>
      <c r="H1171" s="149">
        <v>0</v>
      </c>
      <c r="I1171" s="149">
        <v>158170.23999999999</v>
      </c>
      <c r="J1171" s="141">
        <f>+J1170+Tabla69[[#This Row],[DEBE]]-Tabla69[[#This Row],[HABER]]</f>
        <v>153069954.4199999</v>
      </c>
      <c r="K1171" s="142" t="s">
        <v>872</v>
      </c>
      <c r="L1171" s="143" t="s">
        <v>796</v>
      </c>
      <c r="M1171" s="143" t="s">
        <v>1505</v>
      </c>
    </row>
    <row r="1172" spans="2:13" x14ac:dyDescent="0.35">
      <c r="B1172" s="145">
        <v>46049</v>
      </c>
      <c r="C1172" s="146">
        <v>46049</v>
      </c>
      <c r="D1172" s="147" t="s">
        <v>184</v>
      </c>
      <c r="E1172" s="148">
        <v>940</v>
      </c>
      <c r="F1172" s="147" t="s">
        <v>1233</v>
      </c>
      <c r="G1172" s="147" t="s">
        <v>520</v>
      </c>
      <c r="H1172" s="149">
        <v>0</v>
      </c>
      <c r="I1172" s="149">
        <v>118570.2</v>
      </c>
      <c r="J1172" s="141">
        <f>+J1171+Tabla69[[#This Row],[DEBE]]-Tabla69[[#This Row],[HABER]]</f>
        <v>152951384.21999991</v>
      </c>
      <c r="K1172" s="142" t="s">
        <v>872</v>
      </c>
      <c r="L1172" s="143" t="s">
        <v>797</v>
      </c>
      <c r="M1172" s="143" t="s">
        <v>1505</v>
      </c>
    </row>
    <row r="1173" spans="2:13" x14ac:dyDescent="0.35">
      <c r="B1173" s="145">
        <v>46049</v>
      </c>
      <c r="C1173" s="146">
        <v>46049</v>
      </c>
      <c r="D1173" s="147" t="s">
        <v>184</v>
      </c>
      <c r="E1173" s="148">
        <v>941</v>
      </c>
      <c r="F1173" s="147" t="s">
        <v>1234</v>
      </c>
      <c r="G1173" s="147" t="s">
        <v>521</v>
      </c>
      <c r="H1173" s="149">
        <v>0</v>
      </c>
      <c r="I1173" s="149">
        <v>2639834.0299999998</v>
      </c>
      <c r="J1173" s="141">
        <f>+J1172+Tabla69[[#This Row],[DEBE]]-Tabla69[[#This Row],[HABER]]</f>
        <v>150311550.18999991</v>
      </c>
      <c r="K1173" s="142" t="s">
        <v>872</v>
      </c>
      <c r="L1173" s="143" t="s">
        <v>798</v>
      </c>
      <c r="M1173" s="143" t="s">
        <v>1505</v>
      </c>
    </row>
    <row r="1174" spans="2:13" x14ac:dyDescent="0.35">
      <c r="B1174" s="145">
        <v>46049</v>
      </c>
      <c r="C1174" s="146">
        <v>46049</v>
      </c>
      <c r="D1174" s="147" t="s">
        <v>184</v>
      </c>
      <c r="E1174" s="148">
        <v>943</v>
      </c>
      <c r="F1174" s="147" t="s">
        <v>1222</v>
      </c>
      <c r="G1174" s="147" t="s">
        <v>1538</v>
      </c>
      <c r="H1174" s="149">
        <v>0</v>
      </c>
      <c r="I1174" s="149">
        <v>2000000</v>
      </c>
      <c r="J1174" s="141">
        <f>+J1173+Tabla69[[#This Row],[DEBE]]-Tabla69[[#This Row],[HABER]]</f>
        <v>148311550.18999991</v>
      </c>
      <c r="K1174" s="142" t="s">
        <v>872</v>
      </c>
      <c r="L1174" s="143" t="s">
        <v>785</v>
      </c>
      <c r="M1174" s="143" t="s">
        <v>87</v>
      </c>
    </row>
    <row r="1175" spans="2:13" x14ac:dyDescent="0.35">
      <c r="B1175" s="145">
        <v>46049</v>
      </c>
      <c r="C1175" s="146">
        <v>46049</v>
      </c>
      <c r="D1175" s="147" t="s">
        <v>184</v>
      </c>
      <c r="E1175" s="148">
        <v>944</v>
      </c>
      <c r="F1175" s="147" t="s">
        <v>1235</v>
      </c>
      <c r="G1175" s="147" t="s">
        <v>522</v>
      </c>
      <c r="H1175" s="149">
        <v>0</v>
      </c>
      <c r="I1175" s="149">
        <v>938903</v>
      </c>
      <c r="J1175" s="141">
        <f>+J1174+Tabla69[[#This Row],[DEBE]]-Tabla69[[#This Row],[HABER]]</f>
        <v>147372647.18999991</v>
      </c>
      <c r="K1175" s="142" t="s">
        <v>872</v>
      </c>
      <c r="L1175" s="143" t="s">
        <v>799</v>
      </c>
      <c r="M1175" s="143" t="s">
        <v>1505</v>
      </c>
    </row>
    <row r="1176" spans="2:13" x14ac:dyDescent="0.35">
      <c r="B1176" s="165">
        <v>46049</v>
      </c>
      <c r="C1176" s="166">
        <v>46049</v>
      </c>
      <c r="D1176" s="167" t="s">
        <v>184</v>
      </c>
      <c r="E1176" s="168">
        <v>945</v>
      </c>
      <c r="F1176" s="167" t="s">
        <v>1227</v>
      </c>
      <c r="G1176" s="167" t="s">
        <v>512</v>
      </c>
      <c r="H1176" s="169">
        <v>0</v>
      </c>
      <c r="I1176" s="169">
        <v>336292.16</v>
      </c>
      <c r="J1176" s="155">
        <f>+J1175+Tabla69[[#This Row],[DEBE]]-Tabla69[[#This Row],[HABER]]</f>
        <v>147036355.02999991</v>
      </c>
      <c r="K1176" s="156" t="s">
        <v>871</v>
      </c>
      <c r="L1176" s="157" t="s">
        <v>789</v>
      </c>
      <c r="M1176" s="157"/>
    </row>
    <row r="1177" spans="2:13" x14ac:dyDescent="0.35">
      <c r="B1177" s="165">
        <v>46049</v>
      </c>
      <c r="C1177" s="166">
        <v>46049</v>
      </c>
      <c r="D1177" s="167" t="s">
        <v>184</v>
      </c>
      <c r="E1177" s="168">
        <v>945</v>
      </c>
      <c r="F1177" s="167" t="s">
        <v>1227</v>
      </c>
      <c r="G1177" s="167" t="s">
        <v>512</v>
      </c>
      <c r="H1177" s="169">
        <v>0</v>
      </c>
      <c r="I1177" s="169">
        <v>-336292.16</v>
      </c>
      <c r="J1177" s="155">
        <f>+J1176+Tabla69[[#This Row],[DEBE]]-Tabla69[[#This Row],[HABER]]</f>
        <v>147372647.18999991</v>
      </c>
      <c r="K1177" s="156" t="s">
        <v>871</v>
      </c>
      <c r="L1177" s="157" t="s">
        <v>789</v>
      </c>
      <c r="M1177" s="157"/>
    </row>
    <row r="1178" spans="2:13" x14ac:dyDescent="0.35">
      <c r="B1178" s="145">
        <v>46049</v>
      </c>
      <c r="C1178" s="146">
        <v>46049</v>
      </c>
      <c r="D1178" s="147" t="s">
        <v>184</v>
      </c>
      <c r="E1178" s="148">
        <v>946</v>
      </c>
      <c r="F1178" s="147" t="s">
        <v>1236</v>
      </c>
      <c r="G1178" s="147" t="s">
        <v>523</v>
      </c>
      <c r="H1178" s="149">
        <v>0</v>
      </c>
      <c r="I1178" s="149">
        <v>1913308.03</v>
      </c>
      <c r="J1178" s="141">
        <f>+J1177+Tabla69[[#This Row],[DEBE]]-Tabla69[[#This Row],[HABER]]</f>
        <v>145459339.15999991</v>
      </c>
      <c r="K1178" s="142" t="s">
        <v>872</v>
      </c>
      <c r="L1178" s="143" t="s">
        <v>800</v>
      </c>
      <c r="M1178" s="143" t="s">
        <v>1505</v>
      </c>
    </row>
    <row r="1179" spans="2:13" x14ac:dyDescent="0.35">
      <c r="B1179" s="145">
        <v>46049</v>
      </c>
      <c r="C1179" s="146">
        <v>46049</v>
      </c>
      <c r="D1179" s="147" t="s">
        <v>184</v>
      </c>
      <c r="E1179" s="148">
        <v>947</v>
      </c>
      <c r="F1179" s="147" t="s">
        <v>1236</v>
      </c>
      <c r="G1179" s="147" t="s">
        <v>524</v>
      </c>
      <c r="H1179" s="149">
        <v>0</v>
      </c>
      <c r="I1179" s="149">
        <v>9134998.7899999991</v>
      </c>
      <c r="J1179" s="141">
        <f>+J1178+Tabla69[[#This Row],[DEBE]]-Tabla69[[#This Row],[HABER]]</f>
        <v>136324340.36999992</v>
      </c>
      <c r="K1179" s="142" t="s">
        <v>872</v>
      </c>
      <c r="L1179" s="143" t="s">
        <v>800</v>
      </c>
      <c r="M1179" s="143" t="s">
        <v>1505</v>
      </c>
    </row>
    <row r="1180" spans="2:13" x14ac:dyDescent="0.35">
      <c r="B1180" s="145">
        <v>46049</v>
      </c>
      <c r="C1180" s="146">
        <v>46049</v>
      </c>
      <c r="D1180" s="147" t="s">
        <v>184</v>
      </c>
      <c r="E1180" s="148">
        <v>948</v>
      </c>
      <c r="F1180" s="147" t="s">
        <v>1227</v>
      </c>
      <c r="G1180" s="147" t="s">
        <v>512</v>
      </c>
      <c r="H1180" s="149">
        <v>0</v>
      </c>
      <c r="I1180" s="149">
        <v>336292.16</v>
      </c>
      <c r="J1180" s="141">
        <f>+J1179+Tabla69[[#This Row],[DEBE]]-Tabla69[[#This Row],[HABER]]</f>
        <v>135988048.20999992</v>
      </c>
      <c r="K1180" s="142" t="s">
        <v>872</v>
      </c>
      <c r="L1180" s="143" t="s">
        <v>789</v>
      </c>
      <c r="M1180" s="143" t="s">
        <v>1505</v>
      </c>
    </row>
    <row r="1181" spans="2:13" x14ac:dyDescent="0.35">
      <c r="B1181" s="145">
        <v>46049</v>
      </c>
      <c r="C1181" s="146">
        <v>46049</v>
      </c>
      <c r="D1181" s="147" t="s">
        <v>184</v>
      </c>
      <c r="E1181" s="148">
        <v>949</v>
      </c>
      <c r="F1181" s="147" t="s">
        <v>1237</v>
      </c>
      <c r="G1181" s="147" t="s">
        <v>525</v>
      </c>
      <c r="H1181" s="149">
        <v>0</v>
      </c>
      <c r="I1181" s="149">
        <v>165000</v>
      </c>
      <c r="J1181" s="141">
        <f>+J1180+Tabla69[[#This Row],[DEBE]]-Tabla69[[#This Row],[HABER]]</f>
        <v>135823048.20999992</v>
      </c>
      <c r="K1181" s="142" t="s">
        <v>872</v>
      </c>
      <c r="L1181" s="143" t="s">
        <v>801</v>
      </c>
      <c r="M1181" s="143" t="s">
        <v>1505</v>
      </c>
    </row>
    <row r="1182" spans="2:13" x14ac:dyDescent="0.35">
      <c r="B1182" s="165">
        <v>46049</v>
      </c>
      <c r="C1182" s="166">
        <v>46049</v>
      </c>
      <c r="D1182" s="167" t="s">
        <v>184</v>
      </c>
      <c r="E1182" s="168">
        <v>950</v>
      </c>
      <c r="F1182" s="167" t="s">
        <v>1238</v>
      </c>
      <c r="G1182" s="167" t="s">
        <v>526</v>
      </c>
      <c r="H1182" s="169">
        <v>0</v>
      </c>
      <c r="I1182" s="169">
        <v>172826.84</v>
      </c>
      <c r="J1182" s="155">
        <f>+J1181+Tabla69[[#This Row],[DEBE]]-Tabla69[[#This Row],[HABER]]</f>
        <v>135650221.36999992</v>
      </c>
      <c r="K1182" s="156" t="s">
        <v>871</v>
      </c>
      <c r="L1182" s="157" t="s">
        <v>802</v>
      </c>
      <c r="M1182" s="157"/>
    </row>
    <row r="1183" spans="2:13" x14ac:dyDescent="0.35">
      <c r="B1183" s="165">
        <v>46049</v>
      </c>
      <c r="C1183" s="166">
        <v>46049</v>
      </c>
      <c r="D1183" s="167" t="s">
        <v>184</v>
      </c>
      <c r="E1183" s="168">
        <v>950</v>
      </c>
      <c r="F1183" s="167" t="s">
        <v>1238</v>
      </c>
      <c r="G1183" s="167" t="s">
        <v>526</v>
      </c>
      <c r="H1183" s="169">
        <v>0</v>
      </c>
      <c r="I1183" s="169">
        <v>-172826.84</v>
      </c>
      <c r="J1183" s="155">
        <f>+J1182+Tabla69[[#This Row],[DEBE]]-Tabla69[[#This Row],[HABER]]</f>
        <v>135823048.20999992</v>
      </c>
      <c r="K1183" s="156" t="s">
        <v>871</v>
      </c>
      <c r="L1183" s="157" t="s">
        <v>802</v>
      </c>
      <c r="M1183" s="157"/>
    </row>
    <row r="1184" spans="2:13" x14ac:dyDescent="0.35">
      <c r="B1184" s="165">
        <v>46049</v>
      </c>
      <c r="C1184" s="166">
        <v>46049</v>
      </c>
      <c r="D1184" s="167" t="s">
        <v>184</v>
      </c>
      <c r="E1184" s="168">
        <v>951</v>
      </c>
      <c r="F1184" s="167" t="s">
        <v>1239</v>
      </c>
      <c r="G1184" s="167" t="s">
        <v>527</v>
      </c>
      <c r="H1184" s="169">
        <v>0</v>
      </c>
      <c r="I1184" s="169">
        <v>-45060</v>
      </c>
      <c r="J1184" s="155">
        <f>+J1183+Tabla69[[#This Row],[DEBE]]-Tabla69[[#This Row],[HABER]]</f>
        <v>135868108.20999992</v>
      </c>
      <c r="K1184" s="156" t="s">
        <v>871</v>
      </c>
      <c r="L1184" s="157" t="s">
        <v>803</v>
      </c>
      <c r="M1184" s="157"/>
    </row>
    <row r="1185" spans="2:13" x14ac:dyDescent="0.35">
      <c r="B1185" s="165">
        <v>46049</v>
      </c>
      <c r="C1185" s="166">
        <v>46049</v>
      </c>
      <c r="D1185" s="167" t="s">
        <v>184</v>
      </c>
      <c r="E1185" s="168">
        <v>951</v>
      </c>
      <c r="F1185" s="167" t="s">
        <v>1239</v>
      </c>
      <c r="G1185" s="167" t="s">
        <v>527</v>
      </c>
      <c r="H1185" s="169">
        <v>0</v>
      </c>
      <c r="I1185" s="169">
        <v>45060</v>
      </c>
      <c r="J1185" s="155">
        <f>+J1184+Tabla69[[#This Row],[DEBE]]-Tabla69[[#This Row],[HABER]]</f>
        <v>135823048.20999992</v>
      </c>
      <c r="K1185" s="156" t="s">
        <v>871</v>
      </c>
      <c r="L1185" s="157" t="s">
        <v>803</v>
      </c>
      <c r="M1185" s="157"/>
    </row>
    <row r="1186" spans="2:13" x14ac:dyDescent="0.35">
      <c r="B1186" s="145">
        <v>46049</v>
      </c>
      <c r="C1186" s="146">
        <v>46049</v>
      </c>
      <c r="D1186" s="147" t="s">
        <v>184</v>
      </c>
      <c r="E1186" s="148">
        <v>952</v>
      </c>
      <c r="F1186" s="147" t="s">
        <v>1238</v>
      </c>
      <c r="G1186" s="147" t="s">
        <v>526</v>
      </c>
      <c r="H1186" s="149">
        <v>0</v>
      </c>
      <c r="I1186" s="149">
        <v>172826.84</v>
      </c>
      <c r="J1186" s="141">
        <f>+J1185+Tabla69[[#This Row],[DEBE]]-Tabla69[[#This Row],[HABER]]</f>
        <v>135650221.36999992</v>
      </c>
      <c r="K1186" s="142" t="s">
        <v>872</v>
      </c>
      <c r="L1186" s="143" t="s">
        <v>802</v>
      </c>
      <c r="M1186" s="143" t="s">
        <v>1505</v>
      </c>
    </row>
    <row r="1187" spans="2:13" x14ac:dyDescent="0.35">
      <c r="B1187" s="145">
        <v>46049</v>
      </c>
      <c r="C1187" s="146">
        <v>46049</v>
      </c>
      <c r="D1187" s="147" t="s">
        <v>184</v>
      </c>
      <c r="E1187" s="148">
        <v>953</v>
      </c>
      <c r="F1187" s="147" t="s">
        <v>1239</v>
      </c>
      <c r="G1187" s="147" t="s">
        <v>527</v>
      </c>
      <c r="H1187" s="149">
        <v>0</v>
      </c>
      <c r="I1187" s="149">
        <v>45060</v>
      </c>
      <c r="J1187" s="141">
        <f>+J1186+Tabla69[[#This Row],[DEBE]]-Tabla69[[#This Row],[HABER]]</f>
        <v>135605161.36999992</v>
      </c>
      <c r="K1187" s="142" t="s">
        <v>872</v>
      </c>
      <c r="L1187" s="143" t="s">
        <v>803</v>
      </c>
      <c r="M1187" s="143" t="s">
        <v>1505</v>
      </c>
    </row>
    <row r="1188" spans="2:13" x14ac:dyDescent="0.35">
      <c r="B1188" s="145">
        <v>46049</v>
      </c>
      <c r="C1188" s="146">
        <v>46049</v>
      </c>
      <c r="D1188" s="147" t="s">
        <v>184</v>
      </c>
      <c r="E1188" s="148">
        <v>954</v>
      </c>
      <c r="F1188" s="147" t="s">
        <v>1174</v>
      </c>
      <c r="G1188" s="147" t="s">
        <v>483</v>
      </c>
      <c r="H1188" s="149">
        <v>0</v>
      </c>
      <c r="I1188" s="149">
        <v>45060</v>
      </c>
      <c r="J1188" s="141">
        <f>+J1187+Tabla69[[#This Row],[DEBE]]-Tabla69[[#This Row],[HABER]]</f>
        <v>135560101.36999992</v>
      </c>
      <c r="K1188" s="142" t="s">
        <v>872</v>
      </c>
      <c r="L1188" s="143" t="s">
        <v>764</v>
      </c>
      <c r="M1188" s="143" t="s">
        <v>1505</v>
      </c>
    </row>
    <row r="1189" spans="2:13" x14ac:dyDescent="0.35">
      <c r="B1189" s="145">
        <v>46049</v>
      </c>
      <c r="C1189" s="146">
        <v>46049</v>
      </c>
      <c r="D1189" s="147" t="s">
        <v>184</v>
      </c>
      <c r="E1189" s="148">
        <v>955</v>
      </c>
      <c r="F1189" s="147" t="s">
        <v>1240</v>
      </c>
      <c r="G1189" s="147" t="s">
        <v>1539</v>
      </c>
      <c r="H1189" s="149">
        <v>0</v>
      </c>
      <c r="I1189" s="149">
        <v>637059.11</v>
      </c>
      <c r="J1189" s="141">
        <f>+J1188+Tabla69[[#This Row],[DEBE]]-Tabla69[[#This Row],[HABER]]</f>
        <v>134923042.2599999</v>
      </c>
      <c r="K1189" s="142" t="s">
        <v>872</v>
      </c>
      <c r="L1189" s="143" t="s">
        <v>804</v>
      </c>
      <c r="M1189" s="143" t="s">
        <v>87</v>
      </c>
    </row>
    <row r="1190" spans="2:13" x14ac:dyDescent="0.35">
      <c r="B1190" s="23">
        <v>46049</v>
      </c>
      <c r="C1190" s="120">
        <v>46049</v>
      </c>
      <c r="D1190" s="5" t="s">
        <v>184</v>
      </c>
      <c r="E1190" s="72">
        <v>956</v>
      </c>
      <c r="F1190" s="5" t="s">
        <v>1241</v>
      </c>
      <c r="G1190" s="5" t="s">
        <v>527</v>
      </c>
      <c r="H1190" s="113">
        <v>0</v>
      </c>
      <c r="I1190" s="113">
        <v>30723</v>
      </c>
      <c r="J1190" s="96">
        <f>+J1189+Tabla69[[#This Row],[DEBE]]-Tabla69[[#This Row],[HABER]]</f>
        <v>134892319.2599999</v>
      </c>
      <c r="K1190" s="135" t="s">
        <v>872</v>
      </c>
      <c r="L1190" s="11" t="s">
        <v>805</v>
      </c>
      <c r="M1190" s="11" t="s">
        <v>100</v>
      </c>
    </row>
    <row r="1191" spans="2:13" x14ac:dyDescent="0.35">
      <c r="B1191" s="165">
        <v>46049</v>
      </c>
      <c r="C1191" s="166">
        <v>46049</v>
      </c>
      <c r="D1191" s="167" t="s">
        <v>184</v>
      </c>
      <c r="E1191" s="168">
        <v>957</v>
      </c>
      <c r="F1191" s="167" t="s">
        <v>1242</v>
      </c>
      <c r="G1191" s="167" t="s">
        <v>528</v>
      </c>
      <c r="H1191" s="169">
        <v>0</v>
      </c>
      <c r="I1191" s="169">
        <v>-2000000</v>
      </c>
      <c r="J1191" s="155">
        <f>+J1190+Tabla69[[#This Row],[DEBE]]-Tabla69[[#This Row],[HABER]]</f>
        <v>136892319.2599999</v>
      </c>
      <c r="K1191" s="156" t="s">
        <v>871</v>
      </c>
      <c r="L1191" s="157" t="s">
        <v>806</v>
      </c>
      <c r="M1191" s="157"/>
    </row>
    <row r="1192" spans="2:13" x14ac:dyDescent="0.35">
      <c r="B1192" s="165">
        <v>46049</v>
      </c>
      <c r="C1192" s="166">
        <v>46049</v>
      </c>
      <c r="D1192" s="167" t="s">
        <v>184</v>
      </c>
      <c r="E1192" s="168">
        <v>957</v>
      </c>
      <c r="F1192" s="167" t="s">
        <v>1242</v>
      </c>
      <c r="G1192" s="167" t="s">
        <v>528</v>
      </c>
      <c r="H1192" s="169">
        <v>0</v>
      </c>
      <c r="I1192" s="169">
        <v>2000000</v>
      </c>
      <c r="J1192" s="155">
        <f>+J1191+Tabla69[[#This Row],[DEBE]]-Tabla69[[#This Row],[HABER]]</f>
        <v>134892319.2599999</v>
      </c>
      <c r="K1192" s="156" t="s">
        <v>871</v>
      </c>
      <c r="L1192" s="157" t="s">
        <v>806</v>
      </c>
      <c r="M1192" s="157"/>
    </row>
    <row r="1193" spans="2:13" x14ac:dyDescent="0.35">
      <c r="B1193" s="145">
        <v>46049</v>
      </c>
      <c r="C1193" s="146">
        <v>46049</v>
      </c>
      <c r="D1193" s="147" t="s">
        <v>184</v>
      </c>
      <c r="E1193" s="148">
        <v>958</v>
      </c>
      <c r="F1193" s="147" t="s">
        <v>1243</v>
      </c>
      <c r="G1193" s="147" t="s">
        <v>1540</v>
      </c>
      <c r="H1193" s="149">
        <v>0</v>
      </c>
      <c r="I1193" s="149">
        <v>384682</v>
      </c>
      <c r="J1193" s="141">
        <f>+J1192+Tabla69[[#This Row],[DEBE]]-Tabla69[[#This Row],[HABER]]</f>
        <v>134507637.2599999</v>
      </c>
      <c r="K1193" s="142" t="s">
        <v>872</v>
      </c>
      <c r="L1193" s="143" t="s">
        <v>807</v>
      </c>
      <c r="M1193" s="143" t="s">
        <v>87</v>
      </c>
    </row>
    <row r="1194" spans="2:13" x14ac:dyDescent="0.35">
      <c r="B1194" s="145">
        <v>46049</v>
      </c>
      <c r="C1194" s="146">
        <v>46049</v>
      </c>
      <c r="D1194" s="147" t="s">
        <v>184</v>
      </c>
      <c r="E1194" s="148">
        <v>959</v>
      </c>
      <c r="F1194" s="147" t="s">
        <v>1244</v>
      </c>
      <c r="G1194" s="147" t="s">
        <v>1547</v>
      </c>
      <c r="H1194" s="149">
        <v>0</v>
      </c>
      <c r="I1194" s="149">
        <v>2000000</v>
      </c>
      <c r="J1194" s="141">
        <f>+J1193+Tabla69[[#This Row],[DEBE]]-Tabla69[[#This Row],[HABER]]</f>
        <v>132507637.2599999</v>
      </c>
      <c r="K1194" s="142" t="s">
        <v>872</v>
      </c>
      <c r="L1194" s="143" t="s">
        <v>808</v>
      </c>
      <c r="M1194" s="143" t="s">
        <v>87</v>
      </c>
    </row>
    <row r="1195" spans="2:13" x14ac:dyDescent="0.35">
      <c r="B1195" s="145">
        <v>46050</v>
      </c>
      <c r="C1195" s="146">
        <v>46048</v>
      </c>
      <c r="D1195" s="147" t="s">
        <v>185</v>
      </c>
      <c r="E1195" s="148">
        <v>25</v>
      </c>
      <c r="F1195" s="147" t="s">
        <v>198</v>
      </c>
      <c r="G1195" s="147" t="s">
        <v>199</v>
      </c>
      <c r="H1195" s="149">
        <v>0</v>
      </c>
      <c r="I1195" s="149">
        <v>400000000</v>
      </c>
      <c r="J1195" s="141">
        <f>+J1194+Tabla69[[#This Row],[DEBE]]-Tabla69[[#This Row],[HABER]]</f>
        <v>-267492362.7400001</v>
      </c>
      <c r="K1195" s="142" t="s">
        <v>872</v>
      </c>
      <c r="L1195" s="143" t="s">
        <v>809</v>
      </c>
      <c r="M1195" s="143" t="s">
        <v>83</v>
      </c>
    </row>
    <row r="1196" spans="2:13" x14ac:dyDescent="0.35">
      <c r="B1196" s="145">
        <v>46050</v>
      </c>
      <c r="C1196" s="146">
        <v>46049</v>
      </c>
      <c r="D1196" s="138" t="s">
        <v>874</v>
      </c>
      <c r="E1196" s="148">
        <v>93</v>
      </c>
      <c r="F1196" s="147" t="s">
        <v>197</v>
      </c>
      <c r="G1196" s="147" t="s">
        <v>1475</v>
      </c>
      <c r="H1196" s="149">
        <v>566717000</v>
      </c>
      <c r="I1196" s="149">
        <v>0</v>
      </c>
      <c r="J1196" s="141">
        <f>+J1195+Tabla69[[#This Row],[DEBE]]-Tabla69[[#This Row],[HABER]]</f>
        <v>299224637.25999987</v>
      </c>
      <c r="K1196" s="142" t="s">
        <v>872</v>
      </c>
      <c r="L1196" s="176" t="s">
        <v>1476</v>
      </c>
      <c r="M1196" s="143" t="s">
        <v>89</v>
      </c>
    </row>
    <row r="1197" spans="2:13" x14ac:dyDescent="0.35">
      <c r="B1197" s="145">
        <v>46050</v>
      </c>
      <c r="C1197" s="146">
        <v>46050</v>
      </c>
      <c r="D1197" s="147" t="s">
        <v>184</v>
      </c>
      <c r="E1197" s="148">
        <v>960</v>
      </c>
      <c r="F1197" s="147" t="s">
        <v>1248</v>
      </c>
      <c r="G1197" s="147" t="s">
        <v>529</v>
      </c>
      <c r="H1197" s="149">
        <v>0</v>
      </c>
      <c r="I1197" s="149">
        <v>16215080</v>
      </c>
      <c r="J1197" s="141">
        <f>+J1196+Tabla69[[#This Row],[DEBE]]-Tabla69[[#This Row],[HABER]]</f>
        <v>283009557.25999987</v>
      </c>
      <c r="K1197" s="142" t="s">
        <v>872</v>
      </c>
      <c r="L1197" s="143" t="s">
        <v>810</v>
      </c>
      <c r="M1197" s="143" t="s">
        <v>1505</v>
      </c>
    </row>
    <row r="1198" spans="2:13" x14ac:dyDescent="0.35">
      <c r="B1198" s="145">
        <v>46050</v>
      </c>
      <c r="C1198" s="146">
        <v>46050</v>
      </c>
      <c r="D1198" s="147" t="s">
        <v>184</v>
      </c>
      <c r="E1198" s="148">
        <v>961</v>
      </c>
      <c r="F1198" s="147" t="s">
        <v>1249</v>
      </c>
      <c r="G1198" s="147" t="s">
        <v>530</v>
      </c>
      <c r="H1198" s="149">
        <v>0</v>
      </c>
      <c r="I1198" s="149">
        <v>41503</v>
      </c>
      <c r="J1198" s="141">
        <f>+J1197+Tabla69[[#This Row],[DEBE]]-Tabla69[[#This Row],[HABER]]</f>
        <v>282968054.25999987</v>
      </c>
      <c r="K1198" s="142" t="s">
        <v>872</v>
      </c>
      <c r="L1198" s="143" t="s">
        <v>811</v>
      </c>
      <c r="M1198" s="143" t="s">
        <v>1505</v>
      </c>
    </row>
    <row r="1199" spans="2:13" x14ac:dyDescent="0.35">
      <c r="B1199" s="145">
        <v>46050</v>
      </c>
      <c r="C1199" s="146">
        <v>46050</v>
      </c>
      <c r="D1199" s="147" t="s">
        <v>184</v>
      </c>
      <c r="E1199" s="148">
        <v>962</v>
      </c>
      <c r="F1199" s="147" t="s">
        <v>903</v>
      </c>
      <c r="G1199" s="147" t="s">
        <v>531</v>
      </c>
      <c r="H1199" s="149">
        <v>0</v>
      </c>
      <c r="I1199" s="149">
        <v>5351364.7</v>
      </c>
      <c r="J1199" s="141">
        <f>+J1198+Tabla69[[#This Row],[DEBE]]-Tabla69[[#This Row],[HABER]]</f>
        <v>277616689.55999988</v>
      </c>
      <c r="K1199" s="142" t="s">
        <v>872</v>
      </c>
      <c r="L1199" s="143" t="s">
        <v>812</v>
      </c>
      <c r="M1199" s="143" t="s">
        <v>1505</v>
      </c>
    </row>
    <row r="1200" spans="2:13" x14ac:dyDescent="0.35">
      <c r="B1200" s="145">
        <v>46050</v>
      </c>
      <c r="C1200" s="146">
        <v>46050</v>
      </c>
      <c r="D1200" s="147" t="s">
        <v>184</v>
      </c>
      <c r="E1200" s="148">
        <v>963</v>
      </c>
      <c r="F1200" s="147" t="s">
        <v>1245</v>
      </c>
      <c r="G1200" s="147" t="s">
        <v>532</v>
      </c>
      <c r="H1200" s="149">
        <v>0</v>
      </c>
      <c r="I1200" s="149">
        <v>2185000</v>
      </c>
      <c r="J1200" s="141">
        <f>+J1199+Tabla69[[#This Row],[DEBE]]-Tabla69[[#This Row],[HABER]]</f>
        <v>275431689.55999988</v>
      </c>
      <c r="K1200" s="142" t="s">
        <v>872</v>
      </c>
      <c r="L1200" s="143" t="s">
        <v>813</v>
      </c>
      <c r="M1200" s="143" t="s">
        <v>1505</v>
      </c>
    </row>
    <row r="1201" spans="2:13" x14ac:dyDescent="0.35">
      <c r="B1201" s="145">
        <v>46050</v>
      </c>
      <c r="C1201" s="146">
        <v>46050</v>
      </c>
      <c r="D1201" s="147" t="s">
        <v>184</v>
      </c>
      <c r="E1201" s="148">
        <v>964</v>
      </c>
      <c r="F1201" s="147" t="s">
        <v>1067</v>
      </c>
      <c r="G1201" s="147" t="s">
        <v>533</v>
      </c>
      <c r="H1201" s="149">
        <v>0</v>
      </c>
      <c r="I1201" s="149">
        <v>930600</v>
      </c>
      <c r="J1201" s="141">
        <f>+J1200+Tabla69[[#This Row],[DEBE]]-Tabla69[[#This Row],[HABER]]</f>
        <v>274501089.55999988</v>
      </c>
      <c r="K1201" s="142" t="s">
        <v>872</v>
      </c>
      <c r="L1201" s="143" t="s">
        <v>814</v>
      </c>
      <c r="M1201" s="143" t="s">
        <v>1505</v>
      </c>
    </row>
    <row r="1202" spans="2:13" x14ac:dyDescent="0.35">
      <c r="B1202" s="145">
        <v>46050</v>
      </c>
      <c r="C1202" s="146">
        <v>46050</v>
      </c>
      <c r="D1202" s="147" t="s">
        <v>184</v>
      </c>
      <c r="E1202" s="148">
        <v>965</v>
      </c>
      <c r="F1202" s="147" t="s">
        <v>1061</v>
      </c>
      <c r="G1202" s="147" t="s">
        <v>534</v>
      </c>
      <c r="H1202" s="149">
        <v>0</v>
      </c>
      <c r="I1202" s="149">
        <v>9011968</v>
      </c>
      <c r="J1202" s="141">
        <f>+J1201+Tabla69[[#This Row],[DEBE]]-Tabla69[[#This Row],[HABER]]</f>
        <v>265489121.55999988</v>
      </c>
      <c r="K1202" s="142" t="s">
        <v>872</v>
      </c>
      <c r="L1202" s="143" t="s">
        <v>815</v>
      </c>
      <c r="M1202" s="143" t="s">
        <v>1505</v>
      </c>
    </row>
    <row r="1203" spans="2:13" x14ac:dyDescent="0.35">
      <c r="B1203" s="145">
        <v>46050</v>
      </c>
      <c r="C1203" s="146">
        <v>46050</v>
      </c>
      <c r="D1203" s="147" t="s">
        <v>184</v>
      </c>
      <c r="E1203" s="148">
        <v>966</v>
      </c>
      <c r="F1203" s="147" t="s">
        <v>1245</v>
      </c>
      <c r="G1203" s="147" t="s">
        <v>535</v>
      </c>
      <c r="H1203" s="149">
        <v>0</v>
      </c>
      <c r="I1203" s="149">
        <v>3250000</v>
      </c>
      <c r="J1203" s="141">
        <f>+J1202+Tabla69[[#This Row],[DEBE]]-Tabla69[[#This Row],[HABER]]</f>
        <v>262239121.55999988</v>
      </c>
      <c r="K1203" s="142" t="s">
        <v>872</v>
      </c>
      <c r="L1203" s="143" t="s">
        <v>816</v>
      </c>
      <c r="M1203" s="143" t="s">
        <v>1505</v>
      </c>
    </row>
    <row r="1204" spans="2:13" x14ac:dyDescent="0.35">
      <c r="B1204" s="145">
        <v>46050</v>
      </c>
      <c r="C1204" s="146">
        <v>46050</v>
      </c>
      <c r="D1204" s="147" t="s">
        <v>184</v>
      </c>
      <c r="E1204" s="148">
        <v>967</v>
      </c>
      <c r="F1204" s="147" t="s">
        <v>1250</v>
      </c>
      <c r="G1204" s="147" t="s">
        <v>536</v>
      </c>
      <c r="H1204" s="149">
        <v>0</v>
      </c>
      <c r="I1204" s="149">
        <v>2250000</v>
      </c>
      <c r="J1204" s="141">
        <f>+J1203+Tabla69[[#This Row],[DEBE]]-Tabla69[[#This Row],[HABER]]</f>
        <v>259989121.55999988</v>
      </c>
      <c r="K1204" s="142" t="s">
        <v>872</v>
      </c>
      <c r="L1204" s="143" t="s">
        <v>817</v>
      </c>
      <c r="M1204" s="143" t="s">
        <v>1505</v>
      </c>
    </row>
    <row r="1205" spans="2:13" x14ac:dyDescent="0.35">
      <c r="B1205" s="145">
        <v>46050</v>
      </c>
      <c r="C1205" s="146">
        <v>46050</v>
      </c>
      <c r="D1205" s="147" t="s">
        <v>184</v>
      </c>
      <c r="E1205" s="148">
        <v>968</v>
      </c>
      <c r="F1205" s="147" t="s">
        <v>1251</v>
      </c>
      <c r="G1205" s="147" t="s">
        <v>537</v>
      </c>
      <c r="H1205" s="149">
        <v>0</v>
      </c>
      <c r="I1205" s="149">
        <v>10012500</v>
      </c>
      <c r="J1205" s="141">
        <f>+J1204+Tabla69[[#This Row],[DEBE]]-Tabla69[[#This Row],[HABER]]</f>
        <v>249976621.55999988</v>
      </c>
      <c r="K1205" s="142" t="s">
        <v>872</v>
      </c>
      <c r="L1205" s="143" t="s">
        <v>818</v>
      </c>
      <c r="M1205" s="143" t="s">
        <v>1505</v>
      </c>
    </row>
    <row r="1206" spans="2:13" x14ac:dyDescent="0.35">
      <c r="B1206" s="145">
        <v>46050</v>
      </c>
      <c r="C1206" s="146">
        <v>46050</v>
      </c>
      <c r="D1206" s="147" t="s">
        <v>184</v>
      </c>
      <c r="E1206" s="148">
        <v>969</v>
      </c>
      <c r="F1206" s="147" t="s">
        <v>908</v>
      </c>
      <c r="G1206" s="147" t="s">
        <v>538</v>
      </c>
      <c r="H1206" s="149">
        <v>0</v>
      </c>
      <c r="I1206" s="149">
        <v>12838172.640000001</v>
      </c>
      <c r="J1206" s="141">
        <f>+J1205+Tabla69[[#This Row],[DEBE]]-Tabla69[[#This Row],[HABER]]</f>
        <v>237138448.9199999</v>
      </c>
      <c r="K1206" s="142" t="s">
        <v>872</v>
      </c>
      <c r="L1206" s="143" t="s">
        <v>819</v>
      </c>
      <c r="M1206" s="143" t="s">
        <v>1505</v>
      </c>
    </row>
    <row r="1207" spans="2:13" x14ac:dyDescent="0.35">
      <c r="B1207" s="145">
        <v>46050</v>
      </c>
      <c r="C1207" s="146">
        <v>46050</v>
      </c>
      <c r="D1207" s="147" t="s">
        <v>184</v>
      </c>
      <c r="E1207" s="148">
        <v>970</v>
      </c>
      <c r="F1207" s="147" t="s">
        <v>1252</v>
      </c>
      <c r="G1207" s="147" t="s">
        <v>539</v>
      </c>
      <c r="H1207" s="149">
        <v>0</v>
      </c>
      <c r="I1207" s="149">
        <v>3528000</v>
      </c>
      <c r="J1207" s="141">
        <f>+J1206+Tabla69[[#This Row],[DEBE]]-Tabla69[[#This Row],[HABER]]</f>
        <v>233610448.9199999</v>
      </c>
      <c r="K1207" s="142" t="s">
        <v>872</v>
      </c>
      <c r="L1207" s="143" t="s">
        <v>820</v>
      </c>
      <c r="M1207" s="143" t="s">
        <v>1505</v>
      </c>
    </row>
    <row r="1208" spans="2:13" x14ac:dyDescent="0.35">
      <c r="B1208" s="165">
        <v>46050</v>
      </c>
      <c r="C1208" s="166">
        <v>46050</v>
      </c>
      <c r="D1208" s="167" t="s">
        <v>184</v>
      </c>
      <c r="E1208" s="168">
        <v>971</v>
      </c>
      <c r="F1208" s="167" t="s">
        <v>1242</v>
      </c>
      <c r="G1208" s="167" t="s">
        <v>528</v>
      </c>
      <c r="H1208" s="169">
        <v>0</v>
      </c>
      <c r="I1208" s="169">
        <v>2000000</v>
      </c>
      <c r="J1208" s="155">
        <f>+J1207+Tabla69[[#This Row],[DEBE]]-Tabla69[[#This Row],[HABER]]</f>
        <v>231610448.9199999</v>
      </c>
      <c r="K1208" s="156" t="s">
        <v>871</v>
      </c>
      <c r="L1208" s="157" t="s">
        <v>806</v>
      </c>
      <c r="M1208" s="157"/>
    </row>
    <row r="1209" spans="2:13" x14ac:dyDescent="0.35">
      <c r="B1209" s="165">
        <v>46050</v>
      </c>
      <c r="C1209" s="166">
        <v>46050</v>
      </c>
      <c r="D1209" s="167" t="s">
        <v>184</v>
      </c>
      <c r="E1209" s="168">
        <v>971</v>
      </c>
      <c r="F1209" s="167" t="s">
        <v>1242</v>
      </c>
      <c r="G1209" s="167" t="s">
        <v>528</v>
      </c>
      <c r="H1209" s="169">
        <v>0</v>
      </c>
      <c r="I1209" s="169">
        <v>-2000000</v>
      </c>
      <c r="J1209" s="155">
        <f>+J1208+Tabla69[[#This Row],[DEBE]]-Tabla69[[#This Row],[HABER]]</f>
        <v>233610448.9199999</v>
      </c>
      <c r="K1209" s="156" t="s">
        <v>871</v>
      </c>
      <c r="L1209" s="157" t="s">
        <v>806</v>
      </c>
      <c r="M1209" s="157"/>
    </row>
    <row r="1210" spans="2:13" x14ac:dyDescent="0.35">
      <c r="B1210" s="165">
        <v>46050</v>
      </c>
      <c r="C1210" s="166">
        <v>46050</v>
      </c>
      <c r="D1210" s="167" t="s">
        <v>184</v>
      </c>
      <c r="E1210" s="168">
        <v>972</v>
      </c>
      <c r="F1210" s="167" t="s">
        <v>1253</v>
      </c>
      <c r="G1210" s="167" t="s">
        <v>540</v>
      </c>
      <c r="H1210" s="169">
        <v>0</v>
      </c>
      <c r="I1210" s="169">
        <v>48152.87</v>
      </c>
      <c r="J1210" s="155">
        <f>+J1209+Tabla69[[#This Row],[DEBE]]-Tabla69[[#This Row],[HABER]]</f>
        <v>233562296.04999989</v>
      </c>
      <c r="K1210" s="156" t="s">
        <v>871</v>
      </c>
      <c r="L1210" s="157" t="s">
        <v>821</v>
      </c>
      <c r="M1210" s="157"/>
    </row>
    <row r="1211" spans="2:13" x14ac:dyDescent="0.35">
      <c r="B1211" s="165">
        <v>46050</v>
      </c>
      <c r="C1211" s="166">
        <v>46050</v>
      </c>
      <c r="D1211" s="167" t="s">
        <v>184</v>
      </c>
      <c r="E1211" s="168">
        <v>972</v>
      </c>
      <c r="F1211" s="167" t="s">
        <v>1253</v>
      </c>
      <c r="G1211" s="167" t="s">
        <v>540</v>
      </c>
      <c r="H1211" s="169">
        <v>0</v>
      </c>
      <c r="I1211" s="169">
        <v>-48152.87</v>
      </c>
      <c r="J1211" s="155">
        <f>+J1210+Tabla69[[#This Row],[DEBE]]-Tabla69[[#This Row],[HABER]]</f>
        <v>233610448.9199999</v>
      </c>
      <c r="K1211" s="156" t="s">
        <v>871</v>
      </c>
      <c r="L1211" s="157" t="s">
        <v>821</v>
      </c>
      <c r="M1211" s="157"/>
    </row>
    <row r="1212" spans="2:13" x14ac:dyDescent="0.35">
      <c r="B1212" s="145">
        <v>46050</v>
      </c>
      <c r="C1212" s="146">
        <v>46050</v>
      </c>
      <c r="D1212" s="147" t="s">
        <v>184</v>
      </c>
      <c r="E1212" s="148">
        <v>973</v>
      </c>
      <c r="F1212" s="147" t="s">
        <v>1223</v>
      </c>
      <c r="G1212" s="147" t="s">
        <v>1541</v>
      </c>
      <c r="H1212" s="149">
        <v>0</v>
      </c>
      <c r="I1212" s="149">
        <v>804320.03</v>
      </c>
      <c r="J1212" s="141">
        <f>+J1211+Tabla69[[#This Row],[DEBE]]-Tabla69[[#This Row],[HABER]]</f>
        <v>232806128.8899999</v>
      </c>
      <c r="K1212" s="142" t="s">
        <v>872</v>
      </c>
      <c r="L1212" s="143" t="s">
        <v>786</v>
      </c>
      <c r="M1212" s="143" t="s">
        <v>87</v>
      </c>
    </row>
    <row r="1213" spans="2:13" x14ac:dyDescent="0.35">
      <c r="B1213" s="165">
        <v>46050</v>
      </c>
      <c r="C1213" s="166">
        <v>46050</v>
      </c>
      <c r="D1213" s="167" t="s">
        <v>184</v>
      </c>
      <c r="E1213" s="168">
        <v>974</v>
      </c>
      <c r="F1213" s="167" t="s">
        <v>1247</v>
      </c>
      <c r="G1213" s="167" t="s">
        <v>541</v>
      </c>
      <c r="H1213" s="169">
        <v>0</v>
      </c>
      <c r="I1213" s="169">
        <v>-2400000</v>
      </c>
      <c r="J1213" s="155">
        <f>+J1212+Tabla69[[#This Row],[DEBE]]-Tabla69[[#This Row],[HABER]]</f>
        <v>235206128.8899999</v>
      </c>
      <c r="K1213" s="156" t="s">
        <v>871</v>
      </c>
      <c r="L1213" s="157" t="s">
        <v>822</v>
      </c>
      <c r="M1213" s="157"/>
    </row>
    <row r="1214" spans="2:13" x14ac:dyDescent="0.35">
      <c r="B1214" s="165">
        <v>46050</v>
      </c>
      <c r="C1214" s="166">
        <v>46050</v>
      </c>
      <c r="D1214" s="167" t="s">
        <v>184</v>
      </c>
      <c r="E1214" s="168">
        <v>974</v>
      </c>
      <c r="F1214" s="167" t="s">
        <v>1247</v>
      </c>
      <c r="G1214" s="167" t="s">
        <v>541</v>
      </c>
      <c r="H1214" s="169">
        <v>0</v>
      </c>
      <c r="I1214" s="169">
        <v>2400000</v>
      </c>
      <c r="J1214" s="155">
        <f>+J1213+Tabla69[[#This Row],[DEBE]]-Tabla69[[#This Row],[HABER]]</f>
        <v>232806128.8899999</v>
      </c>
      <c r="K1214" s="156" t="s">
        <v>871</v>
      </c>
      <c r="L1214" s="157" t="s">
        <v>822</v>
      </c>
      <c r="M1214" s="157"/>
    </row>
    <row r="1215" spans="2:13" x14ac:dyDescent="0.35">
      <c r="B1215" s="145">
        <v>46050</v>
      </c>
      <c r="C1215" s="146">
        <v>46050</v>
      </c>
      <c r="D1215" s="147" t="s">
        <v>184</v>
      </c>
      <c r="E1215" s="148">
        <v>975</v>
      </c>
      <c r="F1215" s="147" t="s">
        <v>1254</v>
      </c>
      <c r="G1215" s="147" t="s">
        <v>1542</v>
      </c>
      <c r="H1215" s="149">
        <v>0</v>
      </c>
      <c r="I1215" s="149">
        <v>714191.03</v>
      </c>
      <c r="J1215" s="141">
        <f>+J1214+Tabla69[[#This Row],[DEBE]]-Tabla69[[#This Row],[HABER]]</f>
        <v>232091937.8599999</v>
      </c>
      <c r="K1215" s="142" t="s">
        <v>872</v>
      </c>
      <c r="L1215" s="143" t="s">
        <v>823</v>
      </c>
      <c r="M1215" s="143" t="s">
        <v>87</v>
      </c>
    </row>
    <row r="1216" spans="2:13" x14ac:dyDescent="0.35">
      <c r="B1216" s="145">
        <v>46050</v>
      </c>
      <c r="C1216" s="146">
        <v>46050</v>
      </c>
      <c r="D1216" s="147" t="s">
        <v>184</v>
      </c>
      <c r="E1216" s="148">
        <v>976</v>
      </c>
      <c r="F1216" s="147" t="s">
        <v>1255</v>
      </c>
      <c r="G1216" s="147" t="s">
        <v>1543</v>
      </c>
      <c r="H1216" s="149">
        <v>0</v>
      </c>
      <c r="I1216" s="149">
        <v>2000000</v>
      </c>
      <c r="J1216" s="141">
        <f>+J1215+Tabla69[[#This Row],[DEBE]]-Tabla69[[#This Row],[HABER]]</f>
        <v>230091937.8599999</v>
      </c>
      <c r="K1216" s="142" t="s">
        <v>872</v>
      </c>
      <c r="L1216" s="143" t="s">
        <v>824</v>
      </c>
      <c r="M1216" s="143" t="s">
        <v>87</v>
      </c>
    </row>
    <row r="1217" spans="2:13" x14ac:dyDescent="0.35">
      <c r="B1217" s="145">
        <v>46050</v>
      </c>
      <c r="C1217" s="146">
        <v>46050</v>
      </c>
      <c r="D1217" s="147" t="s">
        <v>184</v>
      </c>
      <c r="E1217" s="148">
        <v>977</v>
      </c>
      <c r="F1217" s="147" t="s">
        <v>1221</v>
      </c>
      <c r="G1217" s="147" t="s">
        <v>1544</v>
      </c>
      <c r="H1217" s="149">
        <v>0</v>
      </c>
      <c r="I1217" s="149">
        <v>818981.4</v>
      </c>
      <c r="J1217" s="141">
        <f>+J1216+Tabla69[[#This Row],[DEBE]]-Tabla69[[#This Row],[HABER]]</f>
        <v>229272956.45999989</v>
      </c>
      <c r="K1217" s="142" t="s">
        <v>872</v>
      </c>
      <c r="L1217" s="143" t="s">
        <v>784</v>
      </c>
      <c r="M1217" s="143" t="s">
        <v>87</v>
      </c>
    </row>
    <row r="1218" spans="2:13" x14ac:dyDescent="0.35">
      <c r="B1218" s="145">
        <v>46050</v>
      </c>
      <c r="C1218" s="146">
        <v>46050</v>
      </c>
      <c r="D1218" s="147" t="s">
        <v>184</v>
      </c>
      <c r="E1218" s="148">
        <v>978</v>
      </c>
      <c r="F1218" s="147" t="s">
        <v>1242</v>
      </c>
      <c r="G1218" s="147" t="s">
        <v>1545</v>
      </c>
      <c r="H1218" s="149">
        <v>0</v>
      </c>
      <c r="I1218" s="149">
        <v>2000000</v>
      </c>
      <c r="J1218" s="141">
        <f>+J1217+Tabla69[[#This Row],[DEBE]]-Tabla69[[#This Row],[HABER]]</f>
        <v>227272956.45999989</v>
      </c>
      <c r="K1218" s="142" t="s">
        <v>872</v>
      </c>
      <c r="L1218" s="143" t="s">
        <v>806</v>
      </c>
      <c r="M1218" s="143" t="s">
        <v>87</v>
      </c>
    </row>
    <row r="1219" spans="2:13" x14ac:dyDescent="0.35">
      <c r="B1219" s="145">
        <v>46050</v>
      </c>
      <c r="C1219" s="146">
        <v>46050</v>
      </c>
      <c r="D1219" s="147" t="s">
        <v>184</v>
      </c>
      <c r="E1219" s="148">
        <v>979</v>
      </c>
      <c r="F1219" s="147" t="s">
        <v>1253</v>
      </c>
      <c r="G1219" s="147" t="s">
        <v>1546</v>
      </c>
      <c r="H1219" s="149">
        <v>0</v>
      </c>
      <c r="I1219" s="149">
        <v>48152.87</v>
      </c>
      <c r="J1219" s="141">
        <f>+J1218+Tabla69[[#This Row],[DEBE]]-Tabla69[[#This Row],[HABER]]</f>
        <v>227224803.58999988</v>
      </c>
      <c r="K1219" s="142" t="s">
        <v>872</v>
      </c>
      <c r="L1219" s="143" t="s">
        <v>821</v>
      </c>
      <c r="M1219" s="143" t="s">
        <v>87</v>
      </c>
    </row>
    <row r="1220" spans="2:13" x14ac:dyDescent="0.35">
      <c r="B1220" s="145">
        <v>46050</v>
      </c>
      <c r="C1220" s="146">
        <v>46050</v>
      </c>
      <c r="D1220" s="147" t="s">
        <v>184</v>
      </c>
      <c r="E1220" s="148">
        <v>980</v>
      </c>
      <c r="F1220" s="147" t="s">
        <v>1247</v>
      </c>
      <c r="G1220" s="147" t="s">
        <v>541</v>
      </c>
      <c r="H1220" s="149">
        <v>0</v>
      </c>
      <c r="I1220" s="149">
        <v>2400000</v>
      </c>
      <c r="J1220" s="141">
        <f>+J1219+Tabla69[[#This Row],[DEBE]]-Tabla69[[#This Row],[HABER]]</f>
        <v>224824803.58999988</v>
      </c>
      <c r="K1220" s="142" t="s">
        <v>872</v>
      </c>
      <c r="L1220" s="143" t="s">
        <v>822</v>
      </c>
      <c r="M1220" s="143" t="s">
        <v>1505</v>
      </c>
    </row>
    <row r="1221" spans="2:13" x14ac:dyDescent="0.35">
      <c r="B1221" s="145">
        <v>46050</v>
      </c>
      <c r="C1221" s="146">
        <v>46050</v>
      </c>
      <c r="D1221" s="147" t="s">
        <v>184</v>
      </c>
      <c r="E1221" s="148">
        <v>981</v>
      </c>
      <c r="F1221" s="147" t="s">
        <v>1246</v>
      </c>
      <c r="G1221" s="147" t="s">
        <v>542</v>
      </c>
      <c r="H1221" s="149">
        <v>0</v>
      </c>
      <c r="I1221" s="149">
        <v>7010428.6699999999</v>
      </c>
      <c r="J1221" s="141">
        <f>+J1220+Tabla69[[#This Row],[DEBE]]-Tabla69[[#This Row],[HABER]]</f>
        <v>217814374.9199999</v>
      </c>
      <c r="K1221" s="142" t="s">
        <v>872</v>
      </c>
      <c r="L1221" s="143" t="s">
        <v>825</v>
      </c>
      <c r="M1221" s="143" t="s">
        <v>1505</v>
      </c>
    </row>
    <row r="1222" spans="2:13" x14ac:dyDescent="0.35">
      <c r="B1222" s="165">
        <v>46050</v>
      </c>
      <c r="C1222" s="166">
        <v>46050</v>
      </c>
      <c r="D1222" s="167" t="s">
        <v>184</v>
      </c>
      <c r="E1222" s="168">
        <v>982</v>
      </c>
      <c r="F1222" s="167" t="s">
        <v>1256</v>
      </c>
      <c r="G1222" s="167" t="s">
        <v>543</v>
      </c>
      <c r="H1222" s="169">
        <v>0</v>
      </c>
      <c r="I1222" s="169">
        <v>92042942.340000004</v>
      </c>
      <c r="J1222" s="155">
        <f>+J1221+Tabla69[[#This Row],[DEBE]]-Tabla69[[#This Row],[HABER]]</f>
        <v>125771432.57999989</v>
      </c>
      <c r="K1222" s="156" t="s">
        <v>871</v>
      </c>
      <c r="L1222" s="157" t="s">
        <v>826</v>
      </c>
      <c r="M1222" s="157"/>
    </row>
    <row r="1223" spans="2:13" x14ac:dyDescent="0.35">
      <c r="B1223" s="165">
        <v>46050</v>
      </c>
      <c r="C1223" s="166">
        <v>46050</v>
      </c>
      <c r="D1223" s="167" t="s">
        <v>184</v>
      </c>
      <c r="E1223" s="168">
        <v>982</v>
      </c>
      <c r="F1223" s="167" t="s">
        <v>1256</v>
      </c>
      <c r="G1223" s="167" t="s">
        <v>543</v>
      </c>
      <c r="H1223" s="169">
        <v>0</v>
      </c>
      <c r="I1223" s="169">
        <v>-92042942.340000004</v>
      </c>
      <c r="J1223" s="155">
        <f>+J1222+Tabla69[[#This Row],[DEBE]]-Tabla69[[#This Row],[HABER]]</f>
        <v>217814374.9199999</v>
      </c>
      <c r="K1223" s="156" t="s">
        <v>871</v>
      </c>
      <c r="L1223" s="157" t="s">
        <v>826</v>
      </c>
      <c r="M1223" s="157"/>
    </row>
    <row r="1224" spans="2:13" x14ac:dyDescent="0.35">
      <c r="B1224" s="165">
        <v>46050</v>
      </c>
      <c r="C1224" s="166">
        <v>46050</v>
      </c>
      <c r="D1224" s="167" t="s">
        <v>184</v>
      </c>
      <c r="E1224" s="168">
        <v>983</v>
      </c>
      <c r="F1224" s="167" t="s">
        <v>1257</v>
      </c>
      <c r="G1224" s="167" t="s">
        <v>544</v>
      </c>
      <c r="H1224" s="169">
        <v>0</v>
      </c>
      <c r="I1224" s="169">
        <v>-250000</v>
      </c>
      <c r="J1224" s="155">
        <f>+J1223+Tabla69[[#This Row],[DEBE]]-Tabla69[[#This Row],[HABER]]</f>
        <v>218064374.9199999</v>
      </c>
      <c r="K1224" s="156" t="s">
        <v>871</v>
      </c>
      <c r="L1224" s="157" t="s">
        <v>649</v>
      </c>
      <c r="M1224" s="157"/>
    </row>
    <row r="1225" spans="2:13" x14ac:dyDescent="0.35">
      <c r="B1225" s="165">
        <v>46050</v>
      </c>
      <c r="C1225" s="166">
        <v>46050</v>
      </c>
      <c r="D1225" s="167" t="s">
        <v>184</v>
      </c>
      <c r="E1225" s="168">
        <v>983</v>
      </c>
      <c r="F1225" s="167" t="s">
        <v>1257</v>
      </c>
      <c r="G1225" s="167" t="s">
        <v>544</v>
      </c>
      <c r="H1225" s="169">
        <v>0</v>
      </c>
      <c r="I1225" s="169">
        <v>250000</v>
      </c>
      <c r="J1225" s="155">
        <f>+J1224+Tabla69[[#This Row],[DEBE]]-Tabla69[[#This Row],[HABER]]</f>
        <v>217814374.9199999</v>
      </c>
      <c r="K1225" s="156" t="s">
        <v>871</v>
      </c>
      <c r="L1225" s="157" t="s">
        <v>649</v>
      </c>
      <c r="M1225" s="157"/>
    </row>
    <row r="1226" spans="2:13" x14ac:dyDescent="0.35">
      <c r="B1226" s="165">
        <v>46050</v>
      </c>
      <c r="C1226" s="166">
        <v>46050</v>
      </c>
      <c r="D1226" s="167" t="s">
        <v>184</v>
      </c>
      <c r="E1226" s="168">
        <v>984</v>
      </c>
      <c r="F1226" s="167" t="s">
        <v>1258</v>
      </c>
      <c r="G1226" s="167" t="s">
        <v>544</v>
      </c>
      <c r="H1226" s="169">
        <v>0</v>
      </c>
      <c r="I1226" s="169">
        <v>-250000</v>
      </c>
      <c r="J1226" s="155">
        <f>+J1225+Tabla69[[#This Row],[DEBE]]-Tabla69[[#This Row],[HABER]]</f>
        <v>218064374.9199999</v>
      </c>
      <c r="K1226" s="156" t="s">
        <v>871</v>
      </c>
      <c r="L1226" s="157" t="s">
        <v>649</v>
      </c>
      <c r="M1226" s="157"/>
    </row>
    <row r="1227" spans="2:13" x14ac:dyDescent="0.35">
      <c r="B1227" s="165">
        <v>46050</v>
      </c>
      <c r="C1227" s="166">
        <v>46050</v>
      </c>
      <c r="D1227" s="167" t="s">
        <v>184</v>
      </c>
      <c r="E1227" s="168">
        <v>984</v>
      </c>
      <c r="F1227" s="167" t="s">
        <v>1258</v>
      </c>
      <c r="G1227" s="167" t="s">
        <v>544</v>
      </c>
      <c r="H1227" s="169">
        <v>0</v>
      </c>
      <c r="I1227" s="169">
        <v>250000</v>
      </c>
      <c r="J1227" s="155">
        <f>+J1226+Tabla69[[#This Row],[DEBE]]-Tabla69[[#This Row],[HABER]]</f>
        <v>217814374.9199999</v>
      </c>
      <c r="K1227" s="156" t="s">
        <v>871</v>
      </c>
      <c r="L1227" s="157" t="s">
        <v>649</v>
      </c>
      <c r="M1227" s="157"/>
    </row>
    <row r="1228" spans="2:13" x14ac:dyDescent="0.35">
      <c r="B1228" s="165">
        <v>46050</v>
      </c>
      <c r="C1228" s="166">
        <v>46050</v>
      </c>
      <c r="D1228" s="167" t="s">
        <v>184</v>
      </c>
      <c r="E1228" s="168">
        <v>985</v>
      </c>
      <c r="F1228" s="167" t="s">
        <v>1259</v>
      </c>
      <c r="G1228" s="167" t="s">
        <v>544</v>
      </c>
      <c r="H1228" s="169">
        <v>0</v>
      </c>
      <c r="I1228" s="169">
        <v>-250000</v>
      </c>
      <c r="J1228" s="155">
        <f>+J1227+Tabla69[[#This Row],[DEBE]]-Tabla69[[#This Row],[HABER]]</f>
        <v>218064374.9199999</v>
      </c>
      <c r="K1228" s="156" t="s">
        <v>871</v>
      </c>
      <c r="L1228" s="157" t="s">
        <v>649</v>
      </c>
      <c r="M1228" s="157"/>
    </row>
    <row r="1229" spans="2:13" x14ac:dyDescent="0.35">
      <c r="B1229" s="165">
        <v>46050</v>
      </c>
      <c r="C1229" s="166">
        <v>46050</v>
      </c>
      <c r="D1229" s="167" t="s">
        <v>184</v>
      </c>
      <c r="E1229" s="168">
        <v>985</v>
      </c>
      <c r="F1229" s="167" t="s">
        <v>1259</v>
      </c>
      <c r="G1229" s="167" t="s">
        <v>544</v>
      </c>
      <c r="H1229" s="169">
        <v>0</v>
      </c>
      <c r="I1229" s="169">
        <v>250000</v>
      </c>
      <c r="J1229" s="155">
        <f>+J1228+Tabla69[[#This Row],[DEBE]]-Tabla69[[#This Row],[HABER]]</f>
        <v>217814374.9199999</v>
      </c>
      <c r="K1229" s="156" t="s">
        <v>871</v>
      </c>
      <c r="L1229" s="157" t="s">
        <v>649</v>
      </c>
      <c r="M1229" s="157"/>
    </row>
    <row r="1230" spans="2:13" x14ac:dyDescent="0.35">
      <c r="B1230" s="165">
        <v>46050</v>
      </c>
      <c r="C1230" s="166">
        <v>46050</v>
      </c>
      <c r="D1230" s="167" t="s">
        <v>184</v>
      </c>
      <c r="E1230" s="168">
        <v>986</v>
      </c>
      <c r="F1230" s="167" t="s">
        <v>1260</v>
      </c>
      <c r="G1230" s="167" t="s">
        <v>544</v>
      </c>
      <c r="H1230" s="169">
        <v>0</v>
      </c>
      <c r="I1230" s="169">
        <v>-250000</v>
      </c>
      <c r="J1230" s="155">
        <f>+J1229+Tabla69[[#This Row],[DEBE]]-Tabla69[[#This Row],[HABER]]</f>
        <v>218064374.9199999</v>
      </c>
      <c r="K1230" s="156" t="s">
        <v>871</v>
      </c>
      <c r="L1230" s="157" t="s">
        <v>649</v>
      </c>
      <c r="M1230" s="157"/>
    </row>
    <row r="1231" spans="2:13" x14ac:dyDescent="0.35">
      <c r="B1231" s="165">
        <v>46050</v>
      </c>
      <c r="C1231" s="166">
        <v>46050</v>
      </c>
      <c r="D1231" s="167" t="s">
        <v>184</v>
      </c>
      <c r="E1231" s="168">
        <v>986</v>
      </c>
      <c r="F1231" s="167" t="s">
        <v>1260</v>
      </c>
      <c r="G1231" s="167" t="s">
        <v>544</v>
      </c>
      <c r="H1231" s="169">
        <v>0</v>
      </c>
      <c r="I1231" s="169">
        <v>250000</v>
      </c>
      <c r="J1231" s="155">
        <f>+J1230+Tabla69[[#This Row],[DEBE]]-Tabla69[[#This Row],[HABER]]</f>
        <v>217814374.9199999</v>
      </c>
      <c r="K1231" s="156" t="s">
        <v>871</v>
      </c>
      <c r="L1231" s="157" t="s">
        <v>649</v>
      </c>
      <c r="M1231" s="157"/>
    </row>
    <row r="1232" spans="2:13" x14ac:dyDescent="0.35">
      <c r="B1232" s="165">
        <v>46050</v>
      </c>
      <c r="C1232" s="166">
        <v>46050</v>
      </c>
      <c r="D1232" s="167" t="s">
        <v>184</v>
      </c>
      <c r="E1232" s="168">
        <v>987</v>
      </c>
      <c r="F1232" s="167" t="s">
        <v>1261</v>
      </c>
      <c r="G1232" s="167" t="s">
        <v>544</v>
      </c>
      <c r="H1232" s="169">
        <v>0</v>
      </c>
      <c r="I1232" s="169">
        <v>-125000</v>
      </c>
      <c r="J1232" s="155">
        <f>+J1231+Tabla69[[#This Row],[DEBE]]-Tabla69[[#This Row],[HABER]]</f>
        <v>217939374.9199999</v>
      </c>
      <c r="K1232" s="156" t="s">
        <v>871</v>
      </c>
      <c r="L1232" s="157" t="s">
        <v>649</v>
      </c>
      <c r="M1232" s="157"/>
    </row>
    <row r="1233" spans="2:13" x14ac:dyDescent="0.35">
      <c r="B1233" s="165">
        <v>46050</v>
      </c>
      <c r="C1233" s="166">
        <v>46050</v>
      </c>
      <c r="D1233" s="167" t="s">
        <v>184</v>
      </c>
      <c r="E1233" s="168">
        <v>987</v>
      </c>
      <c r="F1233" s="167" t="s">
        <v>1261</v>
      </c>
      <c r="G1233" s="167" t="s">
        <v>544</v>
      </c>
      <c r="H1233" s="169">
        <v>0</v>
      </c>
      <c r="I1233" s="169">
        <v>125000</v>
      </c>
      <c r="J1233" s="155">
        <f>+J1232+Tabla69[[#This Row],[DEBE]]-Tabla69[[#This Row],[HABER]]</f>
        <v>217814374.9199999</v>
      </c>
      <c r="K1233" s="156" t="s">
        <v>871</v>
      </c>
      <c r="L1233" s="157" t="s">
        <v>649</v>
      </c>
      <c r="M1233" s="157"/>
    </row>
    <row r="1234" spans="2:13" x14ac:dyDescent="0.35">
      <c r="B1234" s="145">
        <v>46050</v>
      </c>
      <c r="C1234" s="146">
        <v>46050</v>
      </c>
      <c r="D1234" s="147" t="s">
        <v>184</v>
      </c>
      <c r="E1234" s="148">
        <v>988</v>
      </c>
      <c r="F1234" s="147" t="s">
        <v>1261</v>
      </c>
      <c r="G1234" s="147" t="s">
        <v>544</v>
      </c>
      <c r="H1234" s="149">
        <v>0</v>
      </c>
      <c r="I1234" s="149">
        <v>125000</v>
      </c>
      <c r="J1234" s="141">
        <f>+J1233+Tabla69[[#This Row],[DEBE]]-Tabla69[[#This Row],[HABER]]</f>
        <v>217689374.9199999</v>
      </c>
      <c r="K1234" s="142" t="s">
        <v>872</v>
      </c>
      <c r="L1234" s="143" t="s">
        <v>649</v>
      </c>
      <c r="M1234" s="143" t="s">
        <v>1505</v>
      </c>
    </row>
    <row r="1235" spans="2:13" x14ac:dyDescent="0.35">
      <c r="B1235" s="145">
        <v>46050</v>
      </c>
      <c r="C1235" s="146">
        <v>46050</v>
      </c>
      <c r="D1235" s="147" t="s">
        <v>184</v>
      </c>
      <c r="E1235" s="148">
        <v>989</v>
      </c>
      <c r="F1235" s="147" t="s">
        <v>1260</v>
      </c>
      <c r="G1235" s="147" t="s">
        <v>544</v>
      </c>
      <c r="H1235" s="149">
        <v>0</v>
      </c>
      <c r="I1235" s="149">
        <v>250000</v>
      </c>
      <c r="J1235" s="141">
        <f>+J1234+Tabla69[[#This Row],[DEBE]]-Tabla69[[#This Row],[HABER]]</f>
        <v>217439374.9199999</v>
      </c>
      <c r="K1235" s="142" t="s">
        <v>872</v>
      </c>
      <c r="L1235" s="143" t="s">
        <v>649</v>
      </c>
      <c r="M1235" s="143" t="s">
        <v>1505</v>
      </c>
    </row>
    <row r="1236" spans="2:13" x14ac:dyDescent="0.35">
      <c r="B1236" s="145">
        <v>46050</v>
      </c>
      <c r="C1236" s="146">
        <v>46050</v>
      </c>
      <c r="D1236" s="147" t="s">
        <v>184</v>
      </c>
      <c r="E1236" s="148">
        <v>990</v>
      </c>
      <c r="F1236" s="147" t="s">
        <v>1259</v>
      </c>
      <c r="G1236" s="147" t="s">
        <v>544</v>
      </c>
      <c r="H1236" s="149">
        <v>0</v>
      </c>
      <c r="I1236" s="149">
        <v>250000</v>
      </c>
      <c r="J1236" s="141">
        <f>+J1235+Tabla69[[#This Row],[DEBE]]-Tabla69[[#This Row],[HABER]]</f>
        <v>217189374.9199999</v>
      </c>
      <c r="K1236" s="142" t="s">
        <v>872</v>
      </c>
      <c r="L1236" s="143" t="s">
        <v>649</v>
      </c>
      <c r="M1236" s="143" t="s">
        <v>1505</v>
      </c>
    </row>
    <row r="1237" spans="2:13" x14ac:dyDescent="0.35">
      <c r="B1237" s="145">
        <v>46050</v>
      </c>
      <c r="C1237" s="146">
        <v>46050</v>
      </c>
      <c r="D1237" s="147" t="s">
        <v>184</v>
      </c>
      <c r="E1237" s="148">
        <v>991</v>
      </c>
      <c r="F1237" s="147" t="s">
        <v>1258</v>
      </c>
      <c r="G1237" s="147" t="s">
        <v>544</v>
      </c>
      <c r="H1237" s="149">
        <v>0</v>
      </c>
      <c r="I1237" s="149">
        <v>250000</v>
      </c>
      <c r="J1237" s="141">
        <f>+J1236+Tabla69[[#This Row],[DEBE]]-Tabla69[[#This Row],[HABER]]</f>
        <v>216939374.9199999</v>
      </c>
      <c r="K1237" s="142" t="s">
        <v>872</v>
      </c>
      <c r="L1237" s="143" t="s">
        <v>649</v>
      </c>
      <c r="M1237" s="143" t="s">
        <v>1505</v>
      </c>
    </row>
    <row r="1238" spans="2:13" x14ac:dyDescent="0.35">
      <c r="B1238" s="145">
        <v>46050</v>
      </c>
      <c r="C1238" s="146">
        <v>46050</v>
      </c>
      <c r="D1238" s="147" t="s">
        <v>184</v>
      </c>
      <c r="E1238" s="148">
        <v>992</v>
      </c>
      <c r="F1238" s="147" t="s">
        <v>1257</v>
      </c>
      <c r="G1238" s="147" t="s">
        <v>544</v>
      </c>
      <c r="H1238" s="149">
        <v>0</v>
      </c>
      <c r="I1238" s="149">
        <v>250000</v>
      </c>
      <c r="J1238" s="141">
        <f>+J1237+Tabla69[[#This Row],[DEBE]]-Tabla69[[#This Row],[HABER]]</f>
        <v>216689374.9199999</v>
      </c>
      <c r="K1238" s="142" t="s">
        <v>872</v>
      </c>
      <c r="L1238" s="143" t="s">
        <v>649</v>
      </c>
      <c r="M1238" s="143" t="s">
        <v>1505</v>
      </c>
    </row>
    <row r="1239" spans="2:13" x14ac:dyDescent="0.35">
      <c r="B1239" s="165">
        <v>46051</v>
      </c>
      <c r="C1239" s="166">
        <v>46051</v>
      </c>
      <c r="D1239" s="167" t="s">
        <v>184</v>
      </c>
      <c r="E1239" s="168">
        <v>993</v>
      </c>
      <c r="F1239" s="167" t="s">
        <v>1262</v>
      </c>
      <c r="G1239" s="167" t="s">
        <v>545</v>
      </c>
      <c r="H1239" s="169">
        <v>0</v>
      </c>
      <c r="I1239" s="169">
        <v>-61920</v>
      </c>
      <c r="J1239" s="155">
        <f>+J1238+Tabla69[[#This Row],[DEBE]]-Tabla69[[#This Row],[HABER]]</f>
        <v>216751294.9199999</v>
      </c>
      <c r="K1239" s="156" t="s">
        <v>871</v>
      </c>
      <c r="L1239" s="157" t="s">
        <v>827</v>
      </c>
      <c r="M1239" s="157"/>
    </row>
    <row r="1240" spans="2:13" x14ac:dyDescent="0.35">
      <c r="B1240" s="165">
        <v>46051</v>
      </c>
      <c r="C1240" s="166">
        <v>46051</v>
      </c>
      <c r="D1240" s="167" t="s">
        <v>184</v>
      </c>
      <c r="E1240" s="168">
        <v>993</v>
      </c>
      <c r="F1240" s="167" t="s">
        <v>1262</v>
      </c>
      <c r="G1240" s="167" t="s">
        <v>545</v>
      </c>
      <c r="H1240" s="169">
        <v>0</v>
      </c>
      <c r="I1240" s="169">
        <v>61920</v>
      </c>
      <c r="J1240" s="155">
        <f>+J1239+Tabla69[[#This Row],[DEBE]]-Tabla69[[#This Row],[HABER]]</f>
        <v>216689374.9199999</v>
      </c>
      <c r="K1240" s="156" t="s">
        <v>871</v>
      </c>
      <c r="L1240" s="157" t="s">
        <v>827</v>
      </c>
      <c r="M1240" s="157"/>
    </row>
    <row r="1241" spans="2:13" x14ac:dyDescent="0.35">
      <c r="B1241" s="145">
        <v>46051</v>
      </c>
      <c r="C1241" s="146">
        <v>46051</v>
      </c>
      <c r="D1241" s="147" t="s">
        <v>184</v>
      </c>
      <c r="E1241" s="148">
        <v>994</v>
      </c>
      <c r="F1241" s="147" t="s">
        <v>1256</v>
      </c>
      <c r="G1241" s="147" t="s">
        <v>543</v>
      </c>
      <c r="H1241" s="149">
        <v>0</v>
      </c>
      <c r="I1241" s="149">
        <v>92042942.340000004</v>
      </c>
      <c r="J1241" s="141">
        <f>+J1240+Tabla69[[#This Row],[DEBE]]-Tabla69[[#This Row],[HABER]]</f>
        <v>124646432.57999989</v>
      </c>
      <c r="K1241" s="142" t="s">
        <v>872</v>
      </c>
      <c r="L1241" s="143" t="s">
        <v>826</v>
      </c>
      <c r="M1241" s="143" t="s">
        <v>1505</v>
      </c>
    </row>
    <row r="1242" spans="2:13" x14ac:dyDescent="0.35">
      <c r="B1242" s="145">
        <v>46051</v>
      </c>
      <c r="C1242" s="146">
        <v>46051</v>
      </c>
      <c r="D1242" s="147" t="s">
        <v>184</v>
      </c>
      <c r="E1242" s="148">
        <v>995</v>
      </c>
      <c r="F1242" s="147" t="s">
        <v>1263</v>
      </c>
      <c r="G1242" s="147" t="s">
        <v>546</v>
      </c>
      <c r="H1242" s="149">
        <v>0</v>
      </c>
      <c r="I1242" s="149">
        <v>9795144.6600000001</v>
      </c>
      <c r="J1242" s="141">
        <f>+J1241+Tabla69[[#This Row],[DEBE]]-Tabla69[[#This Row],[HABER]]</f>
        <v>114851287.9199999</v>
      </c>
      <c r="K1242" s="142" t="s">
        <v>872</v>
      </c>
      <c r="L1242" s="143" t="s">
        <v>828</v>
      </c>
      <c r="M1242" s="143" t="s">
        <v>1505</v>
      </c>
    </row>
    <row r="1243" spans="2:13" x14ac:dyDescent="0.35">
      <c r="B1243" s="145">
        <v>46051</v>
      </c>
      <c r="C1243" s="146">
        <v>46051</v>
      </c>
      <c r="D1243" s="147" t="s">
        <v>184</v>
      </c>
      <c r="E1243" s="148">
        <v>996</v>
      </c>
      <c r="F1243" s="147" t="s">
        <v>1264</v>
      </c>
      <c r="G1243" s="147" t="s">
        <v>547</v>
      </c>
      <c r="H1243" s="149">
        <v>0</v>
      </c>
      <c r="I1243" s="149">
        <v>112320</v>
      </c>
      <c r="J1243" s="141">
        <f>+J1242+Tabla69[[#This Row],[DEBE]]-Tabla69[[#This Row],[HABER]]</f>
        <v>114738967.9199999</v>
      </c>
      <c r="K1243" s="142" t="s">
        <v>872</v>
      </c>
      <c r="L1243" s="143" t="s">
        <v>829</v>
      </c>
      <c r="M1243" s="143" t="s">
        <v>1505</v>
      </c>
    </row>
    <row r="1244" spans="2:13" x14ac:dyDescent="0.35">
      <c r="B1244" s="145">
        <v>46051</v>
      </c>
      <c r="C1244" s="146">
        <v>46051</v>
      </c>
      <c r="D1244" s="147" t="s">
        <v>184</v>
      </c>
      <c r="E1244" s="148">
        <v>997</v>
      </c>
      <c r="F1244" s="147" t="s">
        <v>1265</v>
      </c>
      <c r="G1244" s="147" t="s">
        <v>548</v>
      </c>
      <c r="H1244" s="149">
        <v>0</v>
      </c>
      <c r="I1244" s="149">
        <v>234467.74</v>
      </c>
      <c r="J1244" s="141">
        <f>+J1243+Tabla69[[#This Row],[DEBE]]-Tabla69[[#This Row],[HABER]]</f>
        <v>114504500.1799999</v>
      </c>
      <c r="K1244" s="142" t="s">
        <v>872</v>
      </c>
      <c r="L1244" s="143" t="s">
        <v>830</v>
      </c>
      <c r="M1244" s="143" t="s">
        <v>1505</v>
      </c>
    </row>
    <row r="1245" spans="2:13" x14ac:dyDescent="0.35">
      <c r="B1245" s="145">
        <v>46051</v>
      </c>
      <c r="C1245" s="146">
        <v>46051</v>
      </c>
      <c r="D1245" s="147" t="s">
        <v>184</v>
      </c>
      <c r="E1245" s="148">
        <v>998</v>
      </c>
      <c r="F1245" s="147" t="s">
        <v>1266</v>
      </c>
      <c r="G1245" s="147" t="s">
        <v>549</v>
      </c>
      <c r="H1245" s="149">
        <v>0</v>
      </c>
      <c r="I1245" s="149">
        <v>676800</v>
      </c>
      <c r="J1245" s="141">
        <f>+J1244+Tabla69[[#This Row],[DEBE]]-Tabla69[[#This Row],[HABER]]</f>
        <v>113827700.1799999</v>
      </c>
      <c r="K1245" s="142" t="s">
        <v>872</v>
      </c>
      <c r="L1245" s="143" t="s">
        <v>831</v>
      </c>
      <c r="M1245" s="143" t="s">
        <v>1505</v>
      </c>
    </row>
    <row r="1246" spans="2:13" x14ac:dyDescent="0.35">
      <c r="B1246" s="145">
        <v>46051</v>
      </c>
      <c r="C1246" s="146">
        <v>46051</v>
      </c>
      <c r="D1246" s="147" t="s">
        <v>184</v>
      </c>
      <c r="E1246" s="148">
        <v>999</v>
      </c>
      <c r="F1246" s="147" t="s">
        <v>1267</v>
      </c>
      <c r="G1246" s="147" t="s">
        <v>550</v>
      </c>
      <c r="H1246" s="149">
        <v>0</v>
      </c>
      <c r="I1246" s="149">
        <v>2290170.34</v>
      </c>
      <c r="J1246" s="141">
        <f>+J1245+Tabla69[[#This Row],[DEBE]]-Tabla69[[#This Row],[HABER]]</f>
        <v>111537529.8399999</v>
      </c>
      <c r="K1246" s="142" t="s">
        <v>872</v>
      </c>
      <c r="L1246" s="143" t="s">
        <v>832</v>
      </c>
      <c r="M1246" s="143" t="s">
        <v>1505</v>
      </c>
    </row>
    <row r="1247" spans="2:13" x14ac:dyDescent="0.35">
      <c r="B1247" s="145">
        <v>46051</v>
      </c>
      <c r="C1247" s="146">
        <v>46051</v>
      </c>
      <c r="D1247" s="147" t="s">
        <v>184</v>
      </c>
      <c r="E1247" s="148">
        <v>1000</v>
      </c>
      <c r="F1247" s="147" t="s">
        <v>1268</v>
      </c>
      <c r="G1247" s="147" t="s">
        <v>551</v>
      </c>
      <c r="H1247" s="149">
        <v>0</v>
      </c>
      <c r="I1247" s="149">
        <v>195840</v>
      </c>
      <c r="J1247" s="141">
        <f>+J1246+Tabla69[[#This Row],[DEBE]]-Tabla69[[#This Row],[HABER]]</f>
        <v>111341689.8399999</v>
      </c>
      <c r="K1247" s="142" t="s">
        <v>872</v>
      </c>
      <c r="L1247" s="143" t="s">
        <v>833</v>
      </c>
      <c r="M1247" s="143" t="s">
        <v>1505</v>
      </c>
    </row>
    <row r="1248" spans="2:13" x14ac:dyDescent="0.35">
      <c r="B1248" s="145">
        <v>46051</v>
      </c>
      <c r="C1248" s="146">
        <v>46051</v>
      </c>
      <c r="D1248" s="147" t="s">
        <v>184</v>
      </c>
      <c r="E1248" s="148">
        <v>1001</v>
      </c>
      <c r="F1248" s="147" t="s">
        <v>1023</v>
      </c>
      <c r="G1248" s="147" t="s">
        <v>552</v>
      </c>
      <c r="H1248" s="149">
        <v>0</v>
      </c>
      <c r="I1248" s="149">
        <v>1666000</v>
      </c>
      <c r="J1248" s="141">
        <f>+J1247+Tabla69[[#This Row],[DEBE]]-Tabla69[[#This Row],[HABER]]</f>
        <v>109675689.8399999</v>
      </c>
      <c r="K1248" s="142" t="s">
        <v>872</v>
      </c>
      <c r="L1248" s="143" t="s">
        <v>834</v>
      </c>
      <c r="M1248" s="143" t="s">
        <v>1505</v>
      </c>
    </row>
    <row r="1249" spans="2:13" x14ac:dyDescent="0.35">
      <c r="B1249" s="145">
        <v>46051</v>
      </c>
      <c r="C1249" s="146">
        <v>46051</v>
      </c>
      <c r="D1249" s="147" t="s">
        <v>184</v>
      </c>
      <c r="E1249" s="148">
        <v>1002</v>
      </c>
      <c r="F1249" s="147" t="s">
        <v>1269</v>
      </c>
      <c r="G1249" s="147" t="s">
        <v>553</v>
      </c>
      <c r="H1249" s="149">
        <v>0</v>
      </c>
      <c r="I1249" s="149">
        <v>354143.4</v>
      </c>
      <c r="J1249" s="141">
        <f>+J1248+Tabla69[[#This Row],[DEBE]]-Tabla69[[#This Row],[HABER]]</f>
        <v>109321546.43999989</v>
      </c>
      <c r="K1249" s="142" t="s">
        <v>872</v>
      </c>
      <c r="L1249" s="143" t="s">
        <v>835</v>
      </c>
      <c r="M1249" s="143" t="s">
        <v>1505</v>
      </c>
    </row>
    <row r="1250" spans="2:13" x14ac:dyDescent="0.35">
      <c r="B1250" s="165">
        <v>46051</v>
      </c>
      <c r="C1250" s="166">
        <v>46051</v>
      </c>
      <c r="D1250" s="167" t="s">
        <v>184</v>
      </c>
      <c r="E1250" s="168">
        <v>1003</v>
      </c>
      <c r="F1250" s="167" t="s">
        <v>1270</v>
      </c>
      <c r="G1250" s="167" t="s">
        <v>554</v>
      </c>
      <c r="H1250" s="169">
        <v>0</v>
      </c>
      <c r="I1250" s="169">
        <v>-962723.4</v>
      </c>
      <c r="J1250" s="155">
        <f>+J1249+Tabla69[[#This Row],[DEBE]]-Tabla69[[#This Row],[HABER]]</f>
        <v>110284269.8399999</v>
      </c>
      <c r="K1250" s="156" t="s">
        <v>871</v>
      </c>
      <c r="L1250" s="157" t="s">
        <v>836</v>
      </c>
      <c r="M1250" s="157"/>
    </row>
    <row r="1251" spans="2:13" x14ac:dyDescent="0.35">
      <c r="B1251" s="165">
        <v>46051</v>
      </c>
      <c r="C1251" s="166">
        <v>46051</v>
      </c>
      <c r="D1251" s="167" t="s">
        <v>184</v>
      </c>
      <c r="E1251" s="168">
        <v>1003</v>
      </c>
      <c r="F1251" s="167" t="s">
        <v>1270</v>
      </c>
      <c r="G1251" s="167" t="s">
        <v>554</v>
      </c>
      <c r="H1251" s="169">
        <v>0</v>
      </c>
      <c r="I1251" s="169">
        <v>962723.4</v>
      </c>
      <c r="J1251" s="155">
        <f>+J1250+Tabla69[[#This Row],[DEBE]]-Tabla69[[#This Row],[HABER]]</f>
        <v>109321546.43999989</v>
      </c>
      <c r="K1251" s="156" t="s">
        <v>871</v>
      </c>
      <c r="L1251" s="157" t="s">
        <v>836</v>
      </c>
      <c r="M1251" s="157"/>
    </row>
    <row r="1252" spans="2:13" x14ac:dyDescent="0.35">
      <c r="B1252" s="145">
        <v>46051</v>
      </c>
      <c r="C1252" s="146">
        <v>46051</v>
      </c>
      <c r="D1252" s="147" t="s">
        <v>184</v>
      </c>
      <c r="E1252" s="148">
        <v>1004</v>
      </c>
      <c r="F1252" s="147" t="s">
        <v>1271</v>
      </c>
      <c r="G1252" s="147" t="s">
        <v>555</v>
      </c>
      <c r="H1252" s="149">
        <v>0</v>
      </c>
      <c r="I1252" s="149">
        <v>524966.40000000002</v>
      </c>
      <c r="J1252" s="141">
        <f>+J1251+Tabla69[[#This Row],[DEBE]]-Tabla69[[#This Row],[HABER]]</f>
        <v>108796580.03999989</v>
      </c>
      <c r="K1252" s="142" t="s">
        <v>872</v>
      </c>
      <c r="L1252" s="143" t="s">
        <v>837</v>
      </c>
      <c r="M1252" s="143" t="s">
        <v>1505</v>
      </c>
    </row>
    <row r="1253" spans="2:13" x14ac:dyDescent="0.35">
      <c r="B1253" s="145">
        <v>46051</v>
      </c>
      <c r="C1253" s="146">
        <v>46051</v>
      </c>
      <c r="D1253" s="147" t="s">
        <v>184</v>
      </c>
      <c r="E1253" s="148">
        <v>1005</v>
      </c>
      <c r="F1253" s="147" t="s">
        <v>1272</v>
      </c>
      <c r="G1253" s="147" t="s">
        <v>556</v>
      </c>
      <c r="H1253" s="149">
        <v>0</v>
      </c>
      <c r="I1253" s="149">
        <v>3440163.4</v>
      </c>
      <c r="J1253" s="141">
        <f>+J1252+Tabla69[[#This Row],[DEBE]]-Tabla69[[#This Row],[HABER]]</f>
        <v>105356416.63999988</v>
      </c>
      <c r="K1253" s="142" t="s">
        <v>872</v>
      </c>
      <c r="L1253" s="143" t="s">
        <v>838</v>
      </c>
      <c r="M1253" s="143" t="s">
        <v>1505</v>
      </c>
    </row>
    <row r="1254" spans="2:13" x14ac:dyDescent="0.35">
      <c r="B1254" s="145">
        <v>46051</v>
      </c>
      <c r="C1254" s="146">
        <v>46051</v>
      </c>
      <c r="D1254" s="147" t="s">
        <v>184</v>
      </c>
      <c r="E1254" s="148">
        <v>1006</v>
      </c>
      <c r="F1254" s="147" t="s">
        <v>1269</v>
      </c>
      <c r="G1254" s="147" t="s">
        <v>557</v>
      </c>
      <c r="H1254" s="149">
        <v>0</v>
      </c>
      <c r="I1254" s="149">
        <v>1128960</v>
      </c>
      <c r="J1254" s="141">
        <f>+J1253+Tabla69[[#This Row],[DEBE]]-Tabla69[[#This Row],[HABER]]</f>
        <v>104227456.63999988</v>
      </c>
      <c r="K1254" s="142" t="s">
        <v>872</v>
      </c>
      <c r="L1254" s="143" t="s">
        <v>839</v>
      </c>
      <c r="M1254" s="143" t="s">
        <v>1505</v>
      </c>
    </row>
    <row r="1255" spans="2:13" x14ac:dyDescent="0.35">
      <c r="B1255" s="165">
        <v>46051</v>
      </c>
      <c r="C1255" s="166">
        <v>46051</v>
      </c>
      <c r="D1255" s="167" t="s">
        <v>184</v>
      </c>
      <c r="E1255" s="168">
        <v>1007</v>
      </c>
      <c r="F1255" s="167" t="s">
        <v>1273</v>
      </c>
      <c r="G1255" s="167" t="s">
        <v>558</v>
      </c>
      <c r="H1255" s="169">
        <v>0</v>
      </c>
      <c r="I1255" s="169">
        <v>-225600</v>
      </c>
      <c r="J1255" s="155">
        <f>+J1254+Tabla69[[#This Row],[DEBE]]-Tabla69[[#This Row],[HABER]]</f>
        <v>104453056.63999988</v>
      </c>
      <c r="K1255" s="156" t="s">
        <v>871</v>
      </c>
      <c r="L1255" s="157" t="s">
        <v>840</v>
      </c>
      <c r="M1255" s="157"/>
    </row>
    <row r="1256" spans="2:13" x14ac:dyDescent="0.35">
      <c r="B1256" s="165">
        <v>46051</v>
      </c>
      <c r="C1256" s="166">
        <v>46051</v>
      </c>
      <c r="D1256" s="167" t="s">
        <v>184</v>
      </c>
      <c r="E1256" s="168">
        <v>1007</v>
      </c>
      <c r="F1256" s="167" t="s">
        <v>1273</v>
      </c>
      <c r="G1256" s="167" t="s">
        <v>558</v>
      </c>
      <c r="H1256" s="169">
        <v>0</v>
      </c>
      <c r="I1256" s="169">
        <v>225600</v>
      </c>
      <c r="J1256" s="155">
        <f>+J1255+Tabla69[[#This Row],[DEBE]]-Tabla69[[#This Row],[HABER]]</f>
        <v>104227456.63999988</v>
      </c>
      <c r="K1256" s="156" t="s">
        <v>871</v>
      </c>
      <c r="L1256" s="157" t="s">
        <v>840</v>
      </c>
      <c r="M1256" s="157"/>
    </row>
    <row r="1257" spans="2:13" x14ac:dyDescent="0.35">
      <c r="B1257" s="145">
        <v>46051</v>
      </c>
      <c r="C1257" s="146">
        <v>46051</v>
      </c>
      <c r="D1257" s="147" t="s">
        <v>184</v>
      </c>
      <c r="E1257" s="148">
        <v>1008</v>
      </c>
      <c r="F1257" s="147" t="s">
        <v>1129</v>
      </c>
      <c r="G1257" s="147" t="s">
        <v>559</v>
      </c>
      <c r="H1257" s="149">
        <v>0</v>
      </c>
      <c r="I1257" s="149">
        <v>330000</v>
      </c>
      <c r="J1257" s="141">
        <f>+J1256+Tabla69[[#This Row],[DEBE]]-Tabla69[[#This Row],[HABER]]</f>
        <v>103897456.63999988</v>
      </c>
      <c r="K1257" s="142" t="s">
        <v>872</v>
      </c>
      <c r="L1257" s="143" t="s">
        <v>841</v>
      </c>
      <c r="M1257" s="143" t="s">
        <v>1505</v>
      </c>
    </row>
    <row r="1258" spans="2:13" x14ac:dyDescent="0.35">
      <c r="B1258" s="145">
        <v>46051</v>
      </c>
      <c r="C1258" s="146">
        <v>46051</v>
      </c>
      <c r="D1258" s="147" t="s">
        <v>184</v>
      </c>
      <c r="E1258" s="148">
        <v>1009</v>
      </c>
      <c r="F1258" s="147" t="s">
        <v>1274</v>
      </c>
      <c r="G1258" s="147" t="s">
        <v>560</v>
      </c>
      <c r="H1258" s="149">
        <v>0</v>
      </c>
      <c r="I1258" s="149">
        <v>750000</v>
      </c>
      <c r="J1258" s="141">
        <f>+J1257+Tabla69[[#This Row],[DEBE]]-Tabla69[[#This Row],[HABER]]</f>
        <v>103147456.63999988</v>
      </c>
      <c r="K1258" s="142" t="s">
        <v>872</v>
      </c>
      <c r="L1258" s="143" t="s">
        <v>842</v>
      </c>
      <c r="M1258" s="143" t="s">
        <v>1505</v>
      </c>
    </row>
    <row r="1259" spans="2:13" x14ac:dyDescent="0.35">
      <c r="B1259" s="145">
        <v>46051</v>
      </c>
      <c r="C1259" s="146">
        <v>46051</v>
      </c>
      <c r="D1259" s="147" t="s">
        <v>184</v>
      </c>
      <c r="E1259" s="148">
        <v>1010</v>
      </c>
      <c r="F1259" s="147" t="s">
        <v>1275</v>
      </c>
      <c r="G1259" s="147" t="s">
        <v>561</v>
      </c>
      <c r="H1259" s="149">
        <v>0</v>
      </c>
      <c r="I1259" s="149">
        <v>202320</v>
      </c>
      <c r="J1259" s="141">
        <f>+J1258+Tabla69[[#This Row],[DEBE]]-Tabla69[[#This Row],[HABER]]</f>
        <v>102945136.63999988</v>
      </c>
      <c r="K1259" s="142" t="s">
        <v>872</v>
      </c>
      <c r="L1259" s="143" t="s">
        <v>843</v>
      </c>
      <c r="M1259" s="143" t="s">
        <v>1505</v>
      </c>
    </row>
    <row r="1260" spans="2:13" x14ac:dyDescent="0.35">
      <c r="B1260" s="145">
        <v>46051</v>
      </c>
      <c r="C1260" s="146">
        <v>46051</v>
      </c>
      <c r="D1260" s="147" t="s">
        <v>184</v>
      </c>
      <c r="E1260" s="148">
        <v>1011</v>
      </c>
      <c r="F1260" s="147" t="s">
        <v>1276</v>
      </c>
      <c r="G1260" s="147" t="s">
        <v>554</v>
      </c>
      <c r="H1260" s="149">
        <v>0</v>
      </c>
      <c r="I1260" s="149">
        <v>962723.4</v>
      </c>
      <c r="J1260" s="141">
        <f>+J1259+Tabla69[[#This Row],[DEBE]]-Tabla69[[#This Row],[HABER]]</f>
        <v>101982413.23999988</v>
      </c>
      <c r="K1260" s="142" t="s">
        <v>872</v>
      </c>
      <c r="L1260" s="143" t="s">
        <v>836</v>
      </c>
      <c r="M1260" s="143" t="s">
        <v>1505</v>
      </c>
    </row>
    <row r="1261" spans="2:13" x14ac:dyDescent="0.35">
      <c r="B1261" s="145">
        <v>46051</v>
      </c>
      <c r="C1261" s="146">
        <v>46051</v>
      </c>
      <c r="D1261" s="147" t="s">
        <v>184</v>
      </c>
      <c r="E1261" s="148">
        <v>1012</v>
      </c>
      <c r="F1261" s="147" t="s">
        <v>1273</v>
      </c>
      <c r="G1261" s="147" t="s">
        <v>558</v>
      </c>
      <c r="H1261" s="149">
        <v>0</v>
      </c>
      <c r="I1261" s="149">
        <v>225600</v>
      </c>
      <c r="J1261" s="141">
        <f>+J1260+Tabla69[[#This Row],[DEBE]]-Tabla69[[#This Row],[HABER]]</f>
        <v>101756813.23999988</v>
      </c>
      <c r="K1261" s="142" t="s">
        <v>872</v>
      </c>
      <c r="L1261" s="143" t="s">
        <v>840</v>
      </c>
      <c r="M1261" s="143" t="s">
        <v>1505</v>
      </c>
    </row>
    <row r="1262" spans="2:13" x14ac:dyDescent="0.35">
      <c r="B1262" s="145">
        <v>46051</v>
      </c>
      <c r="C1262" s="146">
        <v>46051</v>
      </c>
      <c r="D1262" s="147" t="s">
        <v>184</v>
      </c>
      <c r="E1262" s="148">
        <v>1013</v>
      </c>
      <c r="F1262" s="147" t="s">
        <v>1277</v>
      </c>
      <c r="G1262" s="147" t="s">
        <v>562</v>
      </c>
      <c r="H1262" s="149">
        <v>0</v>
      </c>
      <c r="I1262" s="149">
        <v>1292667.2</v>
      </c>
      <c r="J1262" s="141">
        <f>+J1261+Tabla69[[#This Row],[DEBE]]-Tabla69[[#This Row],[HABER]]</f>
        <v>100464146.03999987</v>
      </c>
      <c r="K1262" s="142" t="s">
        <v>872</v>
      </c>
      <c r="L1262" s="143" t="s">
        <v>844</v>
      </c>
      <c r="M1262" s="143" t="s">
        <v>1505</v>
      </c>
    </row>
    <row r="1263" spans="2:13" x14ac:dyDescent="0.35">
      <c r="B1263" s="145">
        <v>46051</v>
      </c>
      <c r="C1263" s="146">
        <v>46051</v>
      </c>
      <c r="D1263" s="147" t="s">
        <v>184</v>
      </c>
      <c r="E1263" s="148">
        <v>1014</v>
      </c>
      <c r="F1263" s="147" t="s">
        <v>1278</v>
      </c>
      <c r="G1263" s="147" t="s">
        <v>563</v>
      </c>
      <c r="H1263" s="149">
        <v>0</v>
      </c>
      <c r="I1263" s="149">
        <v>650725</v>
      </c>
      <c r="J1263" s="141">
        <f>+J1262+Tabla69[[#This Row],[DEBE]]-Tabla69[[#This Row],[HABER]]</f>
        <v>99813421.039999872</v>
      </c>
      <c r="K1263" s="142" t="s">
        <v>872</v>
      </c>
      <c r="L1263" s="143" t="s">
        <v>845</v>
      </c>
      <c r="M1263" s="143" t="s">
        <v>1505</v>
      </c>
    </row>
    <row r="1264" spans="2:13" x14ac:dyDescent="0.35">
      <c r="B1264" s="145">
        <v>46051</v>
      </c>
      <c r="C1264" s="146">
        <v>46051</v>
      </c>
      <c r="D1264" s="147" t="s">
        <v>184</v>
      </c>
      <c r="E1264" s="148">
        <v>1015</v>
      </c>
      <c r="F1264" s="147" t="s">
        <v>1279</v>
      </c>
      <c r="G1264" s="147" t="s">
        <v>564</v>
      </c>
      <c r="H1264" s="149">
        <v>0</v>
      </c>
      <c r="I1264" s="149">
        <v>192000</v>
      </c>
      <c r="J1264" s="141">
        <f>+J1263+Tabla69[[#This Row],[DEBE]]-Tabla69[[#This Row],[HABER]]</f>
        <v>99621421.039999872</v>
      </c>
      <c r="K1264" s="142" t="s">
        <v>872</v>
      </c>
      <c r="L1264" s="143" t="s">
        <v>846</v>
      </c>
      <c r="M1264" s="143" t="s">
        <v>1505</v>
      </c>
    </row>
    <row r="1265" spans="2:13" x14ac:dyDescent="0.35">
      <c r="B1265" s="165">
        <v>46051</v>
      </c>
      <c r="C1265" s="166">
        <v>46051</v>
      </c>
      <c r="D1265" s="167" t="s">
        <v>184</v>
      </c>
      <c r="E1265" s="168">
        <v>1016</v>
      </c>
      <c r="F1265" s="167" t="s">
        <v>1280</v>
      </c>
      <c r="G1265" s="167" t="s">
        <v>565</v>
      </c>
      <c r="H1265" s="169">
        <v>0</v>
      </c>
      <c r="I1265" s="169">
        <v>14000000</v>
      </c>
      <c r="J1265" s="155">
        <f>+J1264+Tabla69[[#This Row],[DEBE]]-Tabla69[[#This Row],[HABER]]</f>
        <v>85621421.039999872</v>
      </c>
      <c r="K1265" s="156" t="s">
        <v>871</v>
      </c>
      <c r="L1265" s="157" t="s">
        <v>847</v>
      </c>
      <c r="M1265" s="157"/>
    </row>
    <row r="1266" spans="2:13" x14ac:dyDescent="0.35">
      <c r="B1266" s="165">
        <v>46051</v>
      </c>
      <c r="C1266" s="166">
        <v>46051</v>
      </c>
      <c r="D1266" s="167" t="s">
        <v>184</v>
      </c>
      <c r="E1266" s="168">
        <v>1016</v>
      </c>
      <c r="F1266" s="167" t="s">
        <v>1280</v>
      </c>
      <c r="G1266" s="167" t="s">
        <v>565</v>
      </c>
      <c r="H1266" s="169">
        <v>0</v>
      </c>
      <c r="I1266" s="169">
        <v>-14000000</v>
      </c>
      <c r="J1266" s="155">
        <f>+J1265+Tabla69[[#This Row],[DEBE]]-Tabla69[[#This Row],[HABER]]</f>
        <v>99621421.039999872</v>
      </c>
      <c r="K1266" s="156" t="s">
        <v>871</v>
      </c>
      <c r="L1266" s="157" t="s">
        <v>847</v>
      </c>
      <c r="M1266" s="157"/>
    </row>
    <row r="1267" spans="2:13" x14ac:dyDescent="0.35">
      <c r="B1267" s="165">
        <v>46051</v>
      </c>
      <c r="C1267" s="166">
        <v>46051</v>
      </c>
      <c r="D1267" s="167" t="s">
        <v>184</v>
      </c>
      <c r="E1267" s="168">
        <v>1017</v>
      </c>
      <c r="F1267" s="167" t="s">
        <v>1281</v>
      </c>
      <c r="G1267" s="167" t="s">
        <v>566</v>
      </c>
      <c r="H1267" s="169">
        <v>0</v>
      </c>
      <c r="I1267" s="169">
        <v>-750000</v>
      </c>
      <c r="J1267" s="155">
        <f>+J1266+Tabla69[[#This Row],[DEBE]]-Tabla69[[#This Row],[HABER]]</f>
        <v>100371421.03999987</v>
      </c>
      <c r="K1267" s="156" t="s">
        <v>871</v>
      </c>
      <c r="L1267" s="157" t="s">
        <v>848</v>
      </c>
      <c r="M1267" s="157"/>
    </row>
    <row r="1268" spans="2:13" x14ac:dyDescent="0.35">
      <c r="B1268" s="165">
        <v>46051</v>
      </c>
      <c r="C1268" s="166">
        <v>46051</v>
      </c>
      <c r="D1268" s="167" t="s">
        <v>184</v>
      </c>
      <c r="E1268" s="168">
        <v>1017</v>
      </c>
      <c r="F1268" s="167" t="s">
        <v>1281</v>
      </c>
      <c r="G1268" s="167" t="s">
        <v>566</v>
      </c>
      <c r="H1268" s="169">
        <v>0</v>
      </c>
      <c r="I1268" s="169">
        <v>750000</v>
      </c>
      <c r="J1268" s="155">
        <f>+J1267+Tabla69[[#This Row],[DEBE]]-Tabla69[[#This Row],[HABER]]</f>
        <v>99621421.039999872</v>
      </c>
      <c r="K1268" s="156" t="s">
        <v>871</v>
      </c>
      <c r="L1268" s="157" t="s">
        <v>848</v>
      </c>
      <c r="M1268" s="157"/>
    </row>
    <row r="1269" spans="2:13" x14ac:dyDescent="0.35">
      <c r="B1269" s="145">
        <v>46051</v>
      </c>
      <c r="C1269" s="146">
        <v>46051</v>
      </c>
      <c r="D1269" s="147" t="s">
        <v>184</v>
      </c>
      <c r="E1269" s="148">
        <v>1018</v>
      </c>
      <c r="F1269" s="147" t="s">
        <v>1282</v>
      </c>
      <c r="G1269" s="147" t="s">
        <v>567</v>
      </c>
      <c r="H1269" s="149">
        <v>0</v>
      </c>
      <c r="I1269" s="149">
        <v>1892000</v>
      </c>
      <c r="J1269" s="141">
        <f>+J1268+Tabla69[[#This Row],[DEBE]]-Tabla69[[#This Row],[HABER]]</f>
        <v>97729421.039999872</v>
      </c>
      <c r="K1269" s="142" t="s">
        <v>872</v>
      </c>
      <c r="L1269" s="143" t="s">
        <v>849</v>
      </c>
      <c r="M1269" s="143" t="s">
        <v>1505</v>
      </c>
    </row>
    <row r="1270" spans="2:13" x14ac:dyDescent="0.35">
      <c r="B1270" s="165">
        <v>46051</v>
      </c>
      <c r="C1270" s="166">
        <v>46051</v>
      </c>
      <c r="D1270" s="167" t="s">
        <v>184</v>
      </c>
      <c r="E1270" s="168">
        <v>1019</v>
      </c>
      <c r="F1270" s="167" t="s">
        <v>1283</v>
      </c>
      <c r="G1270" s="167" t="s">
        <v>568</v>
      </c>
      <c r="H1270" s="169">
        <v>0</v>
      </c>
      <c r="I1270" s="169">
        <v>1150000</v>
      </c>
      <c r="J1270" s="155">
        <f>+J1269+Tabla69[[#This Row],[DEBE]]-Tabla69[[#This Row],[HABER]]</f>
        <v>96579421.039999872</v>
      </c>
      <c r="K1270" s="156" t="s">
        <v>871</v>
      </c>
      <c r="L1270" s="157" t="s">
        <v>850</v>
      </c>
      <c r="M1270" s="157"/>
    </row>
    <row r="1271" spans="2:13" x14ac:dyDescent="0.35">
      <c r="B1271" s="165">
        <v>46051</v>
      </c>
      <c r="C1271" s="166">
        <v>46051</v>
      </c>
      <c r="D1271" s="167" t="s">
        <v>184</v>
      </c>
      <c r="E1271" s="168">
        <v>1019</v>
      </c>
      <c r="F1271" s="167" t="s">
        <v>1283</v>
      </c>
      <c r="G1271" s="167" t="s">
        <v>568</v>
      </c>
      <c r="H1271" s="169">
        <v>0</v>
      </c>
      <c r="I1271" s="169">
        <v>-1150000</v>
      </c>
      <c r="J1271" s="155">
        <f>+J1270+Tabla69[[#This Row],[DEBE]]-Tabla69[[#This Row],[HABER]]</f>
        <v>97729421.039999872</v>
      </c>
      <c r="K1271" s="156" t="s">
        <v>871</v>
      </c>
      <c r="L1271" s="157" t="s">
        <v>850</v>
      </c>
      <c r="M1271" s="157"/>
    </row>
    <row r="1272" spans="2:13" x14ac:dyDescent="0.35">
      <c r="B1272" s="145">
        <v>46051</v>
      </c>
      <c r="C1272" s="146">
        <v>46051</v>
      </c>
      <c r="D1272" s="147" t="s">
        <v>184</v>
      </c>
      <c r="E1272" s="148">
        <v>1020</v>
      </c>
      <c r="F1272" s="147" t="s">
        <v>1281</v>
      </c>
      <c r="G1272" s="147" t="s">
        <v>566</v>
      </c>
      <c r="H1272" s="149">
        <v>0</v>
      </c>
      <c r="I1272" s="149">
        <v>750000</v>
      </c>
      <c r="J1272" s="141">
        <f>+J1271+Tabla69[[#This Row],[DEBE]]-Tabla69[[#This Row],[HABER]]</f>
        <v>96979421.039999872</v>
      </c>
      <c r="K1272" s="142" t="s">
        <v>872</v>
      </c>
      <c r="L1272" s="143" t="s">
        <v>848</v>
      </c>
      <c r="M1272" s="143" t="s">
        <v>1505</v>
      </c>
    </row>
    <row r="1273" spans="2:13" x14ac:dyDescent="0.35">
      <c r="B1273" s="145">
        <v>46051</v>
      </c>
      <c r="C1273" s="146">
        <v>46051</v>
      </c>
      <c r="D1273" s="147" t="s">
        <v>184</v>
      </c>
      <c r="E1273" s="148">
        <v>1021</v>
      </c>
      <c r="F1273" s="147" t="s">
        <v>1280</v>
      </c>
      <c r="G1273" s="147" t="s">
        <v>565</v>
      </c>
      <c r="H1273" s="149">
        <v>0</v>
      </c>
      <c r="I1273" s="149">
        <v>14000000</v>
      </c>
      <c r="J1273" s="141">
        <f>+J1272+Tabla69[[#This Row],[DEBE]]-Tabla69[[#This Row],[HABER]]</f>
        <v>82979421.039999872</v>
      </c>
      <c r="K1273" s="142" t="s">
        <v>872</v>
      </c>
      <c r="L1273" s="143" t="s">
        <v>847</v>
      </c>
      <c r="M1273" s="143" t="s">
        <v>1505</v>
      </c>
    </row>
    <row r="1274" spans="2:13" x14ac:dyDescent="0.35">
      <c r="B1274" s="145">
        <v>46052</v>
      </c>
      <c r="C1274" s="146">
        <v>46052</v>
      </c>
      <c r="D1274" s="147" t="s">
        <v>184</v>
      </c>
      <c r="E1274" s="148">
        <v>1022</v>
      </c>
      <c r="F1274" s="147" t="s">
        <v>1284</v>
      </c>
      <c r="G1274" s="147" t="s">
        <v>569</v>
      </c>
      <c r="H1274" s="149">
        <v>0</v>
      </c>
      <c r="I1274" s="149">
        <v>1131510</v>
      </c>
      <c r="J1274" s="141">
        <f>+J1273+Tabla69[[#This Row],[DEBE]]-Tabla69[[#This Row],[HABER]]</f>
        <v>81847911.039999872</v>
      </c>
      <c r="K1274" s="142" t="s">
        <v>872</v>
      </c>
      <c r="L1274" s="143" t="s">
        <v>851</v>
      </c>
      <c r="M1274" s="143" t="s">
        <v>1505</v>
      </c>
    </row>
    <row r="1275" spans="2:13" x14ac:dyDescent="0.35">
      <c r="B1275" s="165">
        <v>46052</v>
      </c>
      <c r="C1275" s="166">
        <v>46052</v>
      </c>
      <c r="D1275" s="167" t="s">
        <v>184</v>
      </c>
      <c r="E1275" s="168">
        <v>1023</v>
      </c>
      <c r="F1275" s="167" t="s">
        <v>1285</v>
      </c>
      <c r="G1275" s="167" t="s">
        <v>570</v>
      </c>
      <c r="H1275" s="169">
        <v>0</v>
      </c>
      <c r="I1275" s="169">
        <v>59123.3</v>
      </c>
      <c r="J1275" s="155">
        <f>+J1274+Tabla69[[#This Row],[DEBE]]-Tabla69[[#This Row],[HABER]]</f>
        <v>81788787.739999875</v>
      </c>
      <c r="K1275" s="156" t="s">
        <v>871</v>
      </c>
      <c r="L1275" s="157" t="s">
        <v>852</v>
      </c>
      <c r="M1275" s="157"/>
    </row>
    <row r="1276" spans="2:13" x14ac:dyDescent="0.35">
      <c r="B1276" s="165">
        <v>46052</v>
      </c>
      <c r="C1276" s="166">
        <v>46052</v>
      </c>
      <c r="D1276" s="167" t="s">
        <v>184</v>
      </c>
      <c r="E1276" s="168">
        <v>1023</v>
      </c>
      <c r="F1276" s="167" t="s">
        <v>1285</v>
      </c>
      <c r="G1276" s="167" t="s">
        <v>570</v>
      </c>
      <c r="H1276" s="169">
        <v>0</v>
      </c>
      <c r="I1276" s="169">
        <v>-59123.3</v>
      </c>
      <c r="J1276" s="155">
        <f>+J1275+Tabla69[[#This Row],[DEBE]]-Tabla69[[#This Row],[HABER]]</f>
        <v>81847911.039999872</v>
      </c>
      <c r="K1276" s="156" t="s">
        <v>871</v>
      </c>
      <c r="L1276" s="157" t="s">
        <v>852</v>
      </c>
      <c r="M1276" s="157"/>
    </row>
    <row r="1277" spans="2:13" x14ac:dyDescent="0.35">
      <c r="B1277" s="145">
        <v>46052</v>
      </c>
      <c r="C1277" s="146">
        <v>46052</v>
      </c>
      <c r="D1277" s="147" t="s">
        <v>184</v>
      </c>
      <c r="E1277" s="148">
        <v>1024</v>
      </c>
      <c r="F1277" s="147" t="s">
        <v>1286</v>
      </c>
      <c r="G1277" s="147" t="s">
        <v>571</v>
      </c>
      <c r="H1277" s="149">
        <v>0</v>
      </c>
      <c r="I1277" s="149">
        <v>1961343.4</v>
      </c>
      <c r="J1277" s="141">
        <f>+J1276+Tabla69[[#This Row],[DEBE]]-Tabla69[[#This Row],[HABER]]</f>
        <v>79886567.639999866</v>
      </c>
      <c r="K1277" s="142" t="s">
        <v>872</v>
      </c>
      <c r="L1277" s="143" t="s">
        <v>853</v>
      </c>
      <c r="M1277" s="143" t="s">
        <v>1505</v>
      </c>
    </row>
    <row r="1278" spans="2:13" x14ac:dyDescent="0.35">
      <c r="B1278" s="145">
        <v>46052</v>
      </c>
      <c r="C1278" s="146">
        <v>46052</v>
      </c>
      <c r="D1278" s="147" t="s">
        <v>184</v>
      </c>
      <c r="E1278" s="148">
        <v>1025</v>
      </c>
      <c r="F1278" s="147" t="s">
        <v>903</v>
      </c>
      <c r="G1278" s="147" t="s">
        <v>572</v>
      </c>
      <c r="H1278" s="149">
        <v>0</v>
      </c>
      <c r="I1278" s="149">
        <v>1791045.46</v>
      </c>
      <c r="J1278" s="141">
        <f>+J1277+Tabla69[[#This Row],[DEBE]]-Tabla69[[#This Row],[HABER]]</f>
        <v>78095522.179999873</v>
      </c>
      <c r="K1278" s="142" t="s">
        <v>872</v>
      </c>
      <c r="L1278" s="143" t="s">
        <v>854</v>
      </c>
      <c r="M1278" s="143" t="s">
        <v>1505</v>
      </c>
    </row>
    <row r="1279" spans="2:13" x14ac:dyDescent="0.35">
      <c r="B1279" s="145">
        <v>46052</v>
      </c>
      <c r="C1279" s="146">
        <v>46052</v>
      </c>
      <c r="D1279" s="147" t="s">
        <v>184</v>
      </c>
      <c r="E1279" s="148">
        <v>1026</v>
      </c>
      <c r="F1279" s="147" t="s">
        <v>1287</v>
      </c>
      <c r="G1279" s="147" t="s">
        <v>573</v>
      </c>
      <c r="H1279" s="149">
        <v>0</v>
      </c>
      <c r="I1279" s="149">
        <v>1189391.0900000001</v>
      </c>
      <c r="J1279" s="141">
        <f>+J1278+Tabla69[[#This Row],[DEBE]]-Tabla69[[#This Row],[HABER]]</f>
        <v>76906131.089999869</v>
      </c>
      <c r="K1279" s="142" t="s">
        <v>872</v>
      </c>
      <c r="L1279" s="143" t="s">
        <v>855</v>
      </c>
      <c r="M1279" s="143" t="s">
        <v>1505</v>
      </c>
    </row>
    <row r="1280" spans="2:13" x14ac:dyDescent="0.35">
      <c r="B1280" s="145">
        <v>46052</v>
      </c>
      <c r="C1280" s="146">
        <v>46052</v>
      </c>
      <c r="D1280" s="147" t="s">
        <v>184</v>
      </c>
      <c r="E1280" s="148">
        <v>1027</v>
      </c>
      <c r="F1280" s="147" t="s">
        <v>1288</v>
      </c>
      <c r="G1280" s="147" t="s">
        <v>574</v>
      </c>
      <c r="H1280" s="149">
        <v>0</v>
      </c>
      <c r="I1280" s="149">
        <v>589343.4</v>
      </c>
      <c r="J1280" s="141">
        <f>+J1279+Tabla69[[#This Row],[DEBE]]-Tabla69[[#This Row],[HABER]]</f>
        <v>76316787.689999864</v>
      </c>
      <c r="K1280" s="142" t="s">
        <v>872</v>
      </c>
      <c r="L1280" s="143" t="s">
        <v>856</v>
      </c>
      <c r="M1280" s="143" t="s">
        <v>1505</v>
      </c>
    </row>
    <row r="1281" spans="2:13" x14ac:dyDescent="0.35">
      <c r="B1281" s="145">
        <v>46052</v>
      </c>
      <c r="C1281" s="146">
        <v>46052</v>
      </c>
      <c r="D1281" s="147" t="s">
        <v>184</v>
      </c>
      <c r="E1281" s="148">
        <v>1028</v>
      </c>
      <c r="F1281" s="147" t="s">
        <v>1289</v>
      </c>
      <c r="G1281" s="147" t="s">
        <v>575</v>
      </c>
      <c r="H1281" s="149">
        <v>0</v>
      </c>
      <c r="I1281" s="149">
        <v>1373343.4</v>
      </c>
      <c r="J1281" s="141">
        <f>+J1280+Tabla69[[#This Row],[DEBE]]-Tabla69[[#This Row],[HABER]]</f>
        <v>74943444.289999858</v>
      </c>
      <c r="K1281" s="142" t="s">
        <v>872</v>
      </c>
      <c r="L1281" s="143" t="s">
        <v>857</v>
      </c>
      <c r="M1281" s="143" t="s">
        <v>1505</v>
      </c>
    </row>
    <row r="1282" spans="2:13" x14ac:dyDescent="0.35">
      <c r="B1282" s="145">
        <v>46052</v>
      </c>
      <c r="C1282" s="146">
        <v>46052</v>
      </c>
      <c r="D1282" s="147" t="s">
        <v>184</v>
      </c>
      <c r="E1282" s="148">
        <v>1029</v>
      </c>
      <c r="F1282" s="147" t="s">
        <v>1290</v>
      </c>
      <c r="G1282" s="147" t="s">
        <v>576</v>
      </c>
      <c r="H1282" s="149">
        <v>0</v>
      </c>
      <c r="I1282" s="149">
        <v>3423631.82</v>
      </c>
      <c r="J1282" s="141">
        <f>+J1281+Tabla69[[#This Row],[DEBE]]-Tabla69[[#This Row],[HABER]]</f>
        <v>71519812.469999865</v>
      </c>
      <c r="K1282" s="142" t="s">
        <v>872</v>
      </c>
      <c r="L1282" s="143" t="s">
        <v>858</v>
      </c>
      <c r="M1282" s="143" t="s">
        <v>1505</v>
      </c>
    </row>
    <row r="1283" spans="2:13" x14ac:dyDescent="0.35">
      <c r="B1283" s="165">
        <v>46052</v>
      </c>
      <c r="C1283" s="166">
        <v>46052</v>
      </c>
      <c r="D1283" s="167" t="s">
        <v>184</v>
      </c>
      <c r="E1283" s="168">
        <v>1030</v>
      </c>
      <c r="F1283" s="167" t="s">
        <v>1291</v>
      </c>
      <c r="G1283" s="167" t="s">
        <v>577</v>
      </c>
      <c r="H1283" s="169">
        <v>0</v>
      </c>
      <c r="I1283" s="169">
        <v>1672000</v>
      </c>
      <c r="J1283" s="155">
        <f>+J1282+Tabla69[[#This Row],[DEBE]]-Tabla69[[#This Row],[HABER]]</f>
        <v>69847812.469999865</v>
      </c>
      <c r="K1283" s="156" t="s">
        <v>871</v>
      </c>
      <c r="L1283" s="157" t="s">
        <v>859</v>
      </c>
      <c r="M1283" s="157"/>
    </row>
    <row r="1284" spans="2:13" x14ac:dyDescent="0.35">
      <c r="B1284" s="165">
        <v>46052</v>
      </c>
      <c r="C1284" s="166">
        <v>46052</v>
      </c>
      <c r="D1284" s="167" t="s">
        <v>184</v>
      </c>
      <c r="E1284" s="168">
        <v>1030</v>
      </c>
      <c r="F1284" s="167" t="s">
        <v>1291</v>
      </c>
      <c r="G1284" s="167" t="s">
        <v>577</v>
      </c>
      <c r="H1284" s="169">
        <v>0</v>
      </c>
      <c r="I1284" s="169">
        <v>-1672000</v>
      </c>
      <c r="J1284" s="155">
        <f>+J1283+Tabla69[[#This Row],[DEBE]]-Tabla69[[#This Row],[HABER]]</f>
        <v>71519812.469999865</v>
      </c>
      <c r="K1284" s="156" t="s">
        <v>871</v>
      </c>
      <c r="L1284" s="157" t="s">
        <v>859</v>
      </c>
      <c r="M1284" s="157"/>
    </row>
    <row r="1285" spans="2:13" x14ac:dyDescent="0.35">
      <c r="B1285" s="145">
        <v>46052</v>
      </c>
      <c r="C1285" s="146">
        <v>46052</v>
      </c>
      <c r="D1285" s="147" t="s">
        <v>184</v>
      </c>
      <c r="E1285" s="148">
        <v>1031</v>
      </c>
      <c r="F1285" s="147" t="s">
        <v>1283</v>
      </c>
      <c r="G1285" s="147" t="s">
        <v>568</v>
      </c>
      <c r="H1285" s="149">
        <v>0</v>
      </c>
      <c r="I1285" s="149">
        <v>1150000</v>
      </c>
      <c r="J1285" s="141">
        <f>+J1284+Tabla69[[#This Row],[DEBE]]-Tabla69[[#This Row],[HABER]]</f>
        <v>70369812.469999865</v>
      </c>
      <c r="K1285" s="142" t="s">
        <v>872</v>
      </c>
      <c r="L1285" s="143" t="s">
        <v>850</v>
      </c>
      <c r="M1285" s="143" t="s">
        <v>1505</v>
      </c>
    </row>
    <row r="1286" spans="2:13" x14ac:dyDescent="0.35">
      <c r="B1286" s="165">
        <v>46052</v>
      </c>
      <c r="C1286" s="166">
        <v>46052</v>
      </c>
      <c r="D1286" s="167" t="s">
        <v>184</v>
      </c>
      <c r="E1286" s="168">
        <v>1032</v>
      </c>
      <c r="F1286" s="167" t="s">
        <v>1285</v>
      </c>
      <c r="G1286" s="167" t="s">
        <v>570</v>
      </c>
      <c r="H1286" s="169">
        <v>0</v>
      </c>
      <c r="I1286" s="169">
        <v>59123.3</v>
      </c>
      <c r="J1286" s="155">
        <f>+J1285+Tabla69[[#This Row],[DEBE]]-Tabla69[[#This Row],[HABER]]</f>
        <v>70310689.169999868</v>
      </c>
      <c r="K1286" s="156" t="s">
        <v>871</v>
      </c>
      <c r="L1286" s="157" t="s">
        <v>852</v>
      </c>
      <c r="M1286" s="157"/>
    </row>
    <row r="1287" spans="2:13" x14ac:dyDescent="0.35">
      <c r="B1287" s="165">
        <v>46052</v>
      </c>
      <c r="C1287" s="166">
        <v>46052</v>
      </c>
      <c r="D1287" s="167" t="s">
        <v>184</v>
      </c>
      <c r="E1287" s="168">
        <v>1032</v>
      </c>
      <c r="F1287" s="167" t="s">
        <v>1285</v>
      </c>
      <c r="G1287" s="167" t="s">
        <v>570</v>
      </c>
      <c r="H1287" s="169">
        <v>0</v>
      </c>
      <c r="I1287" s="169">
        <v>-59123.3</v>
      </c>
      <c r="J1287" s="155">
        <f>+J1286+Tabla69[[#This Row],[DEBE]]-Tabla69[[#This Row],[HABER]]</f>
        <v>70369812.469999865</v>
      </c>
      <c r="K1287" s="156" t="s">
        <v>871</v>
      </c>
      <c r="L1287" s="157" t="s">
        <v>852</v>
      </c>
      <c r="M1287" s="157"/>
    </row>
    <row r="1288" spans="2:13" x14ac:dyDescent="0.35">
      <c r="B1288" s="145">
        <v>46052</v>
      </c>
      <c r="C1288" s="146">
        <v>46052</v>
      </c>
      <c r="D1288" s="147" t="s">
        <v>184</v>
      </c>
      <c r="E1288" s="148">
        <v>1033</v>
      </c>
      <c r="F1288" s="147" t="s">
        <v>1292</v>
      </c>
      <c r="G1288" s="147" t="s">
        <v>578</v>
      </c>
      <c r="H1288" s="149">
        <v>0</v>
      </c>
      <c r="I1288" s="149">
        <v>50760000</v>
      </c>
      <c r="J1288" s="141">
        <f>+J1287+Tabla69[[#This Row],[DEBE]]-Tabla69[[#This Row],[HABER]]</f>
        <v>19609812.469999865</v>
      </c>
      <c r="K1288" s="142" t="s">
        <v>872</v>
      </c>
      <c r="L1288" s="143" t="s">
        <v>860</v>
      </c>
      <c r="M1288" s="143" t="s">
        <v>1505</v>
      </c>
    </row>
    <row r="1289" spans="2:13" x14ac:dyDescent="0.35">
      <c r="B1289" s="145">
        <v>46052</v>
      </c>
      <c r="C1289" s="146">
        <v>46052</v>
      </c>
      <c r="D1289" s="147" t="s">
        <v>184</v>
      </c>
      <c r="E1289" s="148">
        <v>1034</v>
      </c>
      <c r="F1289" s="147" t="s">
        <v>1050</v>
      </c>
      <c r="G1289" s="147" t="s">
        <v>579</v>
      </c>
      <c r="H1289" s="149">
        <v>0</v>
      </c>
      <c r="I1289" s="149">
        <v>129360</v>
      </c>
      <c r="J1289" s="141">
        <f>+J1288+Tabla69[[#This Row],[DEBE]]-Tabla69[[#This Row],[HABER]]</f>
        <v>19480452.469999865</v>
      </c>
      <c r="K1289" s="142" t="s">
        <v>872</v>
      </c>
      <c r="L1289" s="143" t="s">
        <v>694</v>
      </c>
      <c r="M1289" s="143" t="s">
        <v>1505</v>
      </c>
    </row>
    <row r="1290" spans="2:13" x14ac:dyDescent="0.35">
      <c r="B1290" s="145">
        <v>46052</v>
      </c>
      <c r="C1290" s="146">
        <v>46052</v>
      </c>
      <c r="D1290" s="147" t="s">
        <v>184</v>
      </c>
      <c r="E1290" s="148">
        <v>1035</v>
      </c>
      <c r="F1290" s="147" t="s">
        <v>1224</v>
      </c>
      <c r="G1290" s="147" t="s">
        <v>580</v>
      </c>
      <c r="H1290" s="149">
        <v>0</v>
      </c>
      <c r="I1290" s="149">
        <v>7990427.5499999998</v>
      </c>
      <c r="J1290" s="141">
        <f>+J1289+Tabla69[[#This Row],[DEBE]]-Tabla69[[#This Row],[HABER]]</f>
        <v>11490024.919999864</v>
      </c>
      <c r="K1290" s="142" t="s">
        <v>872</v>
      </c>
      <c r="L1290" s="143" t="s">
        <v>861</v>
      </c>
      <c r="M1290" s="143" t="s">
        <v>1505</v>
      </c>
    </row>
    <row r="1291" spans="2:13" x14ac:dyDescent="0.35">
      <c r="B1291" s="145">
        <v>46052</v>
      </c>
      <c r="C1291" s="146">
        <v>46052</v>
      </c>
      <c r="D1291" s="147" t="s">
        <v>184</v>
      </c>
      <c r="E1291" s="148">
        <v>1036</v>
      </c>
      <c r="F1291" s="147" t="s">
        <v>1293</v>
      </c>
      <c r="G1291" s="147" t="s">
        <v>581</v>
      </c>
      <c r="H1291" s="149">
        <v>0</v>
      </c>
      <c r="I1291" s="149">
        <v>2229589.6</v>
      </c>
      <c r="J1291" s="141">
        <f>+J1290+Tabla69[[#This Row],[DEBE]]-Tabla69[[#This Row],[HABER]]</f>
        <v>9260435.3199998643</v>
      </c>
      <c r="K1291" s="142" t="s">
        <v>872</v>
      </c>
      <c r="L1291" s="143" t="s">
        <v>862</v>
      </c>
      <c r="M1291" s="143" t="s">
        <v>1505</v>
      </c>
    </row>
    <row r="1292" spans="2:13" x14ac:dyDescent="0.35">
      <c r="B1292" s="145">
        <v>46052</v>
      </c>
      <c r="C1292" s="146">
        <v>46052</v>
      </c>
      <c r="D1292" s="147" t="s">
        <v>184</v>
      </c>
      <c r="E1292" s="148">
        <v>1037</v>
      </c>
      <c r="F1292" s="147" t="s">
        <v>1294</v>
      </c>
      <c r="G1292" s="147" t="s">
        <v>582</v>
      </c>
      <c r="H1292" s="149">
        <v>0</v>
      </c>
      <c r="I1292" s="149">
        <v>3000000</v>
      </c>
      <c r="J1292" s="141">
        <f>+J1291+Tabla69[[#This Row],[DEBE]]-Tabla69[[#This Row],[HABER]]</f>
        <v>6260435.3199998643</v>
      </c>
      <c r="K1292" s="142" t="s">
        <v>872</v>
      </c>
      <c r="L1292" s="143" t="s">
        <v>863</v>
      </c>
      <c r="M1292" s="143" t="s">
        <v>1505</v>
      </c>
    </row>
    <row r="1293" spans="2:13" x14ac:dyDescent="0.35">
      <c r="B1293" s="145">
        <v>46052</v>
      </c>
      <c r="C1293" s="146">
        <v>46052</v>
      </c>
      <c r="D1293" s="147" t="s">
        <v>184</v>
      </c>
      <c r="E1293" s="148">
        <v>1038</v>
      </c>
      <c r="F1293" s="147" t="s">
        <v>1285</v>
      </c>
      <c r="G1293" s="147" t="s">
        <v>570</v>
      </c>
      <c r="H1293" s="149">
        <v>0</v>
      </c>
      <c r="I1293" s="149">
        <v>59123.3</v>
      </c>
      <c r="J1293" s="141">
        <f>+J1292+Tabla69[[#This Row],[DEBE]]-Tabla69[[#This Row],[HABER]]</f>
        <v>6201312.0199998645</v>
      </c>
      <c r="K1293" s="142" t="s">
        <v>872</v>
      </c>
      <c r="L1293" s="143" t="s">
        <v>852</v>
      </c>
      <c r="M1293" s="143" t="s">
        <v>1505</v>
      </c>
    </row>
    <row r="1294" spans="2:13" x14ac:dyDescent="0.35">
      <c r="B1294" s="145">
        <v>46052</v>
      </c>
      <c r="C1294" s="146">
        <v>46052</v>
      </c>
      <c r="D1294" s="147" t="s">
        <v>184</v>
      </c>
      <c r="E1294" s="148">
        <v>1039</v>
      </c>
      <c r="F1294" s="147" t="s">
        <v>1295</v>
      </c>
      <c r="G1294" s="147" t="s">
        <v>583</v>
      </c>
      <c r="H1294" s="149">
        <v>0</v>
      </c>
      <c r="I1294" s="149">
        <v>6791900.5999999996</v>
      </c>
      <c r="J1294" s="141">
        <f>+J1293+Tabla69[[#This Row],[DEBE]]-Tabla69[[#This Row],[HABER]]</f>
        <v>-590588.58000013512</v>
      </c>
      <c r="K1294" s="142" t="s">
        <v>872</v>
      </c>
      <c r="L1294" s="143" t="s">
        <v>864</v>
      </c>
      <c r="M1294" s="143" t="s">
        <v>1505</v>
      </c>
    </row>
    <row r="1295" spans="2:13" x14ac:dyDescent="0.35">
      <c r="B1295" s="145">
        <v>46052</v>
      </c>
      <c r="C1295" s="146">
        <v>46052</v>
      </c>
      <c r="D1295" s="147" t="s">
        <v>184</v>
      </c>
      <c r="E1295" s="148">
        <v>1040</v>
      </c>
      <c r="F1295" s="147" t="s">
        <v>1296</v>
      </c>
      <c r="G1295" s="147" t="s">
        <v>584</v>
      </c>
      <c r="H1295" s="149">
        <v>0</v>
      </c>
      <c r="I1295" s="149">
        <v>221490.6</v>
      </c>
      <c r="J1295" s="141">
        <f>+J1294+Tabla69[[#This Row],[DEBE]]-Tabla69[[#This Row],[HABER]]</f>
        <v>-812079.18000013509</v>
      </c>
      <c r="K1295" s="142" t="s">
        <v>872</v>
      </c>
      <c r="L1295" s="143" t="s">
        <v>865</v>
      </c>
      <c r="M1295" s="143" t="s">
        <v>1505</v>
      </c>
    </row>
    <row r="1296" spans="2:13" x14ac:dyDescent="0.35">
      <c r="B1296" s="145">
        <v>46052</v>
      </c>
      <c r="C1296" s="146">
        <v>46052</v>
      </c>
      <c r="D1296" s="147" t="s">
        <v>184</v>
      </c>
      <c r="E1296" s="148">
        <v>1041</v>
      </c>
      <c r="F1296" s="147" t="s">
        <v>1052</v>
      </c>
      <c r="G1296" s="147" t="s">
        <v>585</v>
      </c>
      <c r="H1296" s="149">
        <v>0</v>
      </c>
      <c r="I1296" s="149">
        <v>557993.06999999995</v>
      </c>
      <c r="J1296" s="141">
        <f>+J1295+Tabla69[[#This Row],[DEBE]]-Tabla69[[#This Row],[HABER]]</f>
        <v>-1370072.250000135</v>
      </c>
      <c r="K1296" s="142" t="s">
        <v>872</v>
      </c>
      <c r="L1296" s="143" t="s">
        <v>866</v>
      </c>
      <c r="M1296" s="143" t="s">
        <v>1505</v>
      </c>
    </row>
    <row r="1297" spans="2:13" x14ac:dyDescent="0.35">
      <c r="B1297" s="145">
        <v>46052</v>
      </c>
      <c r="C1297" s="146">
        <v>46052</v>
      </c>
      <c r="D1297" s="147" t="s">
        <v>184</v>
      </c>
      <c r="E1297" s="148">
        <v>1042</v>
      </c>
      <c r="F1297" s="147" t="s">
        <v>1297</v>
      </c>
      <c r="G1297" s="147" t="s">
        <v>586</v>
      </c>
      <c r="H1297" s="149">
        <v>0</v>
      </c>
      <c r="I1297" s="149">
        <v>1791767.82</v>
      </c>
      <c r="J1297" s="141">
        <f>+J1296+Tabla69[[#This Row],[DEBE]]-Tabla69[[#This Row],[HABER]]</f>
        <v>-3161840.0700001353</v>
      </c>
      <c r="K1297" s="142" t="s">
        <v>872</v>
      </c>
      <c r="L1297" s="143" t="s">
        <v>866</v>
      </c>
      <c r="M1297" s="143" t="s">
        <v>1505</v>
      </c>
    </row>
    <row r="1298" spans="2:13" x14ac:dyDescent="0.35">
      <c r="B1298" s="185">
        <v>46052</v>
      </c>
      <c r="C1298" s="108">
        <v>46052</v>
      </c>
      <c r="D1298" s="109" t="s">
        <v>184</v>
      </c>
      <c r="E1298" s="118">
        <v>1043</v>
      </c>
      <c r="F1298" s="109" t="s">
        <v>1207</v>
      </c>
      <c r="G1298" s="109" t="s">
        <v>587</v>
      </c>
      <c r="H1298" s="111">
        <v>0</v>
      </c>
      <c r="I1298" s="111">
        <v>56126683.960000001</v>
      </c>
      <c r="J1298" s="186">
        <f>+J1297+Tabla69[[#This Row],[DEBE]]-Tabla69[[#This Row],[HABER]]</f>
        <v>-59288524.030000135</v>
      </c>
      <c r="K1298" s="187" t="s">
        <v>872</v>
      </c>
      <c r="L1298" s="188" t="s">
        <v>1643</v>
      </c>
      <c r="M1298" s="188" t="s">
        <v>86</v>
      </c>
    </row>
    <row r="1299" spans="2:13" x14ac:dyDescent="0.35">
      <c r="B1299" s="145">
        <v>46052</v>
      </c>
      <c r="C1299" s="146">
        <v>46052</v>
      </c>
      <c r="D1299" s="147" t="s">
        <v>184</v>
      </c>
      <c r="E1299" s="148">
        <v>1044</v>
      </c>
      <c r="F1299" s="147" t="s">
        <v>1298</v>
      </c>
      <c r="G1299" s="147" t="s">
        <v>588</v>
      </c>
      <c r="H1299" s="149">
        <v>0</v>
      </c>
      <c r="I1299" s="149">
        <v>575600</v>
      </c>
      <c r="J1299" s="141">
        <f>+J1298+Tabla69[[#This Row],[DEBE]]-Tabla69[[#This Row],[HABER]]</f>
        <v>-59864124.030000135</v>
      </c>
      <c r="K1299" s="142" t="s">
        <v>872</v>
      </c>
      <c r="L1299" s="143" t="s">
        <v>867</v>
      </c>
      <c r="M1299" s="143" t="s">
        <v>1505</v>
      </c>
    </row>
    <row r="1300" spans="2:13" x14ac:dyDescent="0.35">
      <c r="B1300" s="145">
        <v>46052</v>
      </c>
      <c r="C1300" s="146">
        <v>46052</v>
      </c>
      <c r="D1300" s="147" t="s">
        <v>184</v>
      </c>
      <c r="E1300" s="148">
        <v>1045</v>
      </c>
      <c r="F1300" s="147" t="s">
        <v>1299</v>
      </c>
      <c r="G1300" s="147" t="s">
        <v>589</v>
      </c>
      <c r="H1300" s="149">
        <v>0</v>
      </c>
      <c r="I1300" s="149">
        <v>26088943.399999999</v>
      </c>
      <c r="J1300" s="141">
        <f>+J1299+Tabla69[[#This Row],[DEBE]]-Tabla69[[#This Row],[HABER]]</f>
        <v>-85953067.430000126</v>
      </c>
      <c r="K1300" s="142" t="s">
        <v>872</v>
      </c>
      <c r="L1300" s="143" t="s">
        <v>868</v>
      </c>
      <c r="M1300" s="143" t="s">
        <v>1505</v>
      </c>
    </row>
    <row r="1301" spans="2:13" x14ac:dyDescent="0.35">
      <c r="B1301" s="165">
        <v>46052</v>
      </c>
      <c r="C1301" s="166">
        <v>46052</v>
      </c>
      <c r="D1301" s="167" t="s">
        <v>184</v>
      </c>
      <c r="E1301" s="168">
        <v>1046</v>
      </c>
      <c r="F1301" s="167" t="s">
        <v>1262</v>
      </c>
      <c r="G1301" s="167" t="s">
        <v>545</v>
      </c>
      <c r="H1301" s="169">
        <v>0</v>
      </c>
      <c r="I1301" s="169">
        <v>-61920</v>
      </c>
      <c r="J1301" s="155">
        <f>+J1300+Tabla69[[#This Row],[DEBE]]-Tabla69[[#This Row],[HABER]]</f>
        <v>-85891147.430000126</v>
      </c>
      <c r="K1301" s="156" t="s">
        <v>871</v>
      </c>
      <c r="L1301" s="157" t="s">
        <v>827</v>
      </c>
      <c r="M1301" s="157"/>
    </row>
    <row r="1302" spans="2:13" x14ac:dyDescent="0.35">
      <c r="B1302" s="165">
        <v>46052</v>
      </c>
      <c r="C1302" s="166">
        <v>46052</v>
      </c>
      <c r="D1302" s="167" t="s">
        <v>184</v>
      </c>
      <c r="E1302" s="168">
        <v>1046</v>
      </c>
      <c r="F1302" s="167" t="s">
        <v>1262</v>
      </c>
      <c r="G1302" s="167" t="s">
        <v>545</v>
      </c>
      <c r="H1302" s="169">
        <v>0</v>
      </c>
      <c r="I1302" s="169">
        <v>61920</v>
      </c>
      <c r="J1302" s="155">
        <f>+J1301+Tabla69[[#This Row],[DEBE]]-Tabla69[[#This Row],[HABER]]</f>
        <v>-85953067.430000126</v>
      </c>
      <c r="K1302" s="156" t="s">
        <v>871</v>
      </c>
      <c r="L1302" s="157" t="s">
        <v>827</v>
      </c>
      <c r="M1302" s="157"/>
    </row>
    <row r="1303" spans="2:13" x14ac:dyDescent="0.35">
      <c r="B1303" s="165">
        <v>46052</v>
      </c>
      <c r="C1303" s="166">
        <v>46052</v>
      </c>
      <c r="D1303" s="167" t="s">
        <v>184</v>
      </c>
      <c r="E1303" s="168">
        <v>1047</v>
      </c>
      <c r="F1303" s="167" t="s">
        <v>1262</v>
      </c>
      <c r="G1303" s="167" t="s">
        <v>545</v>
      </c>
      <c r="H1303" s="169">
        <v>0</v>
      </c>
      <c r="I1303" s="169">
        <v>-61920</v>
      </c>
      <c r="J1303" s="155">
        <f>+J1302+Tabla69[[#This Row],[DEBE]]-Tabla69[[#This Row],[HABER]]</f>
        <v>-85891147.430000126</v>
      </c>
      <c r="K1303" s="156" t="s">
        <v>871</v>
      </c>
      <c r="L1303" s="157" t="s">
        <v>827</v>
      </c>
      <c r="M1303" s="157"/>
    </row>
    <row r="1304" spans="2:13" x14ac:dyDescent="0.35">
      <c r="B1304" s="165">
        <v>46052</v>
      </c>
      <c r="C1304" s="166">
        <v>46052</v>
      </c>
      <c r="D1304" s="167" t="s">
        <v>184</v>
      </c>
      <c r="E1304" s="168">
        <v>1047</v>
      </c>
      <c r="F1304" s="167" t="s">
        <v>1262</v>
      </c>
      <c r="G1304" s="167" t="s">
        <v>545</v>
      </c>
      <c r="H1304" s="169">
        <v>0</v>
      </c>
      <c r="I1304" s="169">
        <v>61920</v>
      </c>
      <c r="J1304" s="155">
        <f>+J1303+Tabla69[[#This Row],[DEBE]]-Tabla69[[#This Row],[HABER]]</f>
        <v>-85953067.430000126</v>
      </c>
      <c r="K1304" s="156" t="s">
        <v>871</v>
      </c>
      <c r="L1304" s="157" t="s">
        <v>827</v>
      </c>
      <c r="M1304" s="157"/>
    </row>
    <row r="1305" spans="2:13" x14ac:dyDescent="0.35">
      <c r="B1305" s="165">
        <v>46052</v>
      </c>
      <c r="C1305" s="166">
        <v>46052</v>
      </c>
      <c r="D1305" s="167" t="s">
        <v>184</v>
      </c>
      <c r="E1305" s="168">
        <v>1048</v>
      </c>
      <c r="F1305" s="167" t="s">
        <v>1262</v>
      </c>
      <c r="G1305" s="167" t="s">
        <v>545</v>
      </c>
      <c r="H1305" s="169">
        <v>0</v>
      </c>
      <c r="I1305" s="169">
        <v>-61920</v>
      </c>
      <c r="J1305" s="155">
        <f>+J1304+Tabla69[[#This Row],[DEBE]]-Tabla69[[#This Row],[HABER]]</f>
        <v>-85891147.430000126</v>
      </c>
      <c r="K1305" s="156" t="s">
        <v>871</v>
      </c>
      <c r="L1305" s="157" t="s">
        <v>827</v>
      </c>
      <c r="M1305" s="157"/>
    </row>
    <row r="1306" spans="2:13" x14ac:dyDescent="0.35">
      <c r="B1306" s="165">
        <v>46052</v>
      </c>
      <c r="C1306" s="166">
        <v>46052</v>
      </c>
      <c r="D1306" s="167" t="s">
        <v>184</v>
      </c>
      <c r="E1306" s="168">
        <v>1048</v>
      </c>
      <c r="F1306" s="167" t="s">
        <v>1262</v>
      </c>
      <c r="G1306" s="167" t="s">
        <v>545</v>
      </c>
      <c r="H1306" s="169">
        <v>0</v>
      </c>
      <c r="I1306" s="169">
        <v>61920</v>
      </c>
      <c r="J1306" s="155">
        <f>+J1305+Tabla69[[#This Row],[DEBE]]-Tabla69[[#This Row],[HABER]]</f>
        <v>-85953067.430000126</v>
      </c>
      <c r="K1306" s="156" t="s">
        <v>871</v>
      </c>
      <c r="L1306" s="157" t="s">
        <v>827</v>
      </c>
      <c r="M1306" s="157"/>
    </row>
    <row r="1307" spans="2:13" x14ac:dyDescent="0.35">
      <c r="B1307" s="165">
        <v>46052</v>
      </c>
      <c r="C1307" s="166">
        <v>46052</v>
      </c>
      <c r="D1307" s="167" t="s">
        <v>184</v>
      </c>
      <c r="E1307" s="168">
        <v>1050</v>
      </c>
      <c r="F1307" s="167" t="s">
        <v>1262</v>
      </c>
      <c r="G1307" s="167" t="s">
        <v>545</v>
      </c>
      <c r="H1307" s="169">
        <v>0</v>
      </c>
      <c r="I1307" s="169">
        <v>61920</v>
      </c>
      <c r="J1307" s="155">
        <f>+J1306+Tabla69[[#This Row],[DEBE]]-Tabla69[[#This Row],[HABER]]</f>
        <v>-86014987.430000126</v>
      </c>
      <c r="K1307" s="156" t="s">
        <v>871</v>
      </c>
      <c r="L1307" s="157" t="s">
        <v>827</v>
      </c>
      <c r="M1307" s="157"/>
    </row>
    <row r="1308" spans="2:13" x14ac:dyDescent="0.35">
      <c r="B1308" s="165">
        <v>46052</v>
      </c>
      <c r="C1308" s="166">
        <v>46052</v>
      </c>
      <c r="D1308" s="167" t="s">
        <v>184</v>
      </c>
      <c r="E1308" s="168">
        <v>1050</v>
      </c>
      <c r="F1308" s="167" t="s">
        <v>1262</v>
      </c>
      <c r="G1308" s="167" t="s">
        <v>545</v>
      </c>
      <c r="H1308" s="169">
        <v>0</v>
      </c>
      <c r="I1308" s="169">
        <v>-61920</v>
      </c>
      <c r="J1308" s="155">
        <f>+J1307+Tabla69[[#This Row],[DEBE]]-Tabla69[[#This Row],[HABER]]</f>
        <v>-85953067.430000126</v>
      </c>
      <c r="K1308" s="156" t="s">
        <v>871</v>
      </c>
      <c r="L1308" s="157" t="s">
        <v>827</v>
      </c>
      <c r="M1308" s="157"/>
    </row>
    <row r="1309" spans="2:13" x14ac:dyDescent="0.35">
      <c r="B1309" s="165">
        <v>46052</v>
      </c>
      <c r="C1309" s="166">
        <v>46052</v>
      </c>
      <c r="D1309" s="167" t="s">
        <v>184</v>
      </c>
      <c r="E1309" s="168">
        <v>1051</v>
      </c>
      <c r="F1309" s="167" t="s">
        <v>1262</v>
      </c>
      <c r="G1309" s="167" t="s">
        <v>545</v>
      </c>
      <c r="H1309" s="169">
        <v>0</v>
      </c>
      <c r="I1309" s="169">
        <v>61920</v>
      </c>
      <c r="J1309" s="155">
        <f>+J1308+Tabla69[[#This Row],[DEBE]]-Tabla69[[#This Row],[HABER]]</f>
        <v>-86014987.430000126</v>
      </c>
      <c r="K1309" s="156" t="s">
        <v>871</v>
      </c>
      <c r="L1309" s="157" t="s">
        <v>827</v>
      </c>
      <c r="M1309" s="157"/>
    </row>
    <row r="1310" spans="2:13" x14ac:dyDescent="0.35">
      <c r="B1310" s="165">
        <v>46052</v>
      </c>
      <c r="C1310" s="166">
        <v>46052</v>
      </c>
      <c r="D1310" s="167" t="s">
        <v>184</v>
      </c>
      <c r="E1310" s="168">
        <v>1051</v>
      </c>
      <c r="F1310" s="167" t="s">
        <v>1262</v>
      </c>
      <c r="G1310" s="167" t="s">
        <v>545</v>
      </c>
      <c r="H1310" s="169">
        <v>0</v>
      </c>
      <c r="I1310" s="169">
        <v>-61920</v>
      </c>
      <c r="J1310" s="155">
        <f>+J1309+Tabla69[[#This Row],[DEBE]]-Tabla69[[#This Row],[HABER]]</f>
        <v>-85953067.430000126</v>
      </c>
      <c r="K1310" s="156" t="s">
        <v>871</v>
      </c>
      <c r="L1310" s="157" t="s">
        <v>827</v>
      </c>
      <c r="M1310" s="157"/>
    </row>
    <row r="1311" spans="2:13" x14ac:dyDescent="0.35">
      <c r="B1311" s="165">
        <v>46052</v>
      </c>
      <c r="C1311" s="166">
        <v>46052</v>
      </c>
      <c r="D1311" s="167" t="s">
        <v>184</v>
      </c>
      <c r="E1311" s="168">
        <v>1052</v>
      </c>
      <c r="F1311" s="167" t="s">
        <v>1262</v>
      </c>
      <c r="G1311" s="167" t="s">
        <v>545</v>
      </c>
      <c r="H1311" s="169">
        <v>0</v>
      </c>
      <c r="I1311" s="169">
        <v>-61920</v>
      </c>
      <c r="J1311" s="155">
        <f>+J1310+Tabla69[[#This Row],[DEBE]]-Tabla69[[#This Row],[HABER]]</f>
        <v>-85891147.430000126</v>
      </c>
      <c r="K1311" s="156" t="s">
        <v>871</v>
      </c>
      <c r="L1311" s="157" t="s">
        <v>827</v>
      </c>
      <c r="M1311" s="157"/>
    </row>
    <row r="1312" spans="2:13" x14ac:dyDescent="0.35">
      <c r="B1312" s="165">
        <v>46052</v>
      </c>
      <c r="C1312" s="166">
        <v>46052</v>
      </c>
      <c r="D1312" s="167" t="s">
        <v>184</v>
      </c>
      <c r="E1312" s="168">
        <v>1052</v>
      </c>
      <c r="F1312" s="167" t="s">
        <v>1262</v>
      </c>
      <c r="G1312" s="167" t="s">
        <v>545</v>
      </c>
      <c r="H1312" s="169">
        <v>0</v>
      </c>
      <c r="I1312" s="169">
        <v>61920</v>
      </c>
      <c r="J1312" s="155">
        <f>+J1311+Tabla69[[#This Row],[DEBE]]-Tabla69[[#This Row],[HABER]]</f>
        <v>-85953067.430000126</v>
      </c>
      <c r="K1312" s="156" t="s">
        <v>871</v>
      </c>
      <c r="L1312" s="157" t="s">
        <v>827</v>
      </c>
      <c r="M1312" s="157"/>
    </row>
    <row r="1313" spans="2:13" x14ac:dyDescent="0.35">
      <c r="B1313" s="185">
        <v>46052</v>
      </c>
      <c r="C1313" s="108">
        <v>46052</v>
      </c>
      <c r="D1313" s="109" t="s">
        <v>184</v>
      </c>
      <c r="E1313" s="118">
        <v>1053</v>
      </c>
      <c r="F1313" s="109" t="s">
        <v>1207</v>
      </c>
      <c r="G1313" s="109" t="s">
        <v>590</v>
      </c>
      <c r="H1313" s="111">
        <v>0</v>
      </c>
      <c r="I1313" s="111">
        <v>140586161.22999999</v>
      </c>
      <c r="J1313" s="186">
        <f>+J1312+Tabla69[[#This Row],[DEBE]]-Tabla69[[#This Row],[HABER]]</f>
        <v>-226539228.66000012</v>
      </c>
      <c r="K1313" s="187" t="s">
        <v>872</v>
      </c>
      <c r="L1313" s="188" t="s">
        <v>1644</v>
      </c>
      <c r="M1313" s="188" t="s">
        <v>86</v>
      </c>
    </row>
    <row r="1314" spans="2:13" x14ac:dyDescent="0.35">
      <c r="B1314" s="145">
        <v>46052</v>
      </c>
      <c r="C1314" s="146">
        <v>46052</v>
      </c>
      <c r="D1314" s="147" t="s">
        <v>184</v>
      </c>
      <c r="E1314" s="148">
        <v>1054</v>
      </c>
      <c r="F1314" s="147" t="s">
        <v>1300</v>
      </c>
      <c r="G1314" s="147" t="s">
        <v>591</v>
      </c>
      <c r="H1314" s="149">
        <v>0</v>
      </c>
      <c r="I1314" s="149">
        <v>76441343.400000006</v>
      </c>
      <c r="J1314" s="141">
        <f>+J1313+Tabla69[[#This Row],[DEBE]]-Tabla69[[#This Row],[HABER]]</f>
        <v>-302980572.06000012</v>
      </c>
      <c r="K1314" s="142" t="s">
        <v>872</v>
      </c>
      <c r="L1314" s="143" t="s">
        <v>869</v>
      </c>
      <c r="M1314" s="143" t="s">
        <v>1505</v>
      </c>
    </row>
    <row r="1315" spans="2:13" x14ac:dyDescent="0.35">
      <c r="B1315" s="145">
        <v>46052</v>
      </c>
      <c r="C1315" s="146">
        <v>46052</v>
      </c>
      <c r="D1315" s="147" t="s">
        <v>184</v>
      </c>
      <c r="E1315" s="148">
        <v>1055</v>
      </c>
      <c r="F1315" s="147" t="s">
        <v>1301</v>
      </c>
      <c r="G1315" s="147" t="s">
        <v>592</v>
      </c>
      <c r="H1315" s="149">
        <v>0</v>
      </c>
      <c r="I1315" s="149">
        <v>218639994.53999999</v>
      </c>
      <c r="J1315" s="141">
        <f>+J1314+Tabla69[[#This Row],[DEBE]]-Tabla69[[#This Row],[HABER]]</f>
        <v>-521620566.60000014</v>
      </c>
      <c r="K1315" s="142" t="s">
        <v>872</v>
      </c>
      <c r="L1315" s="143" t="s">
        <v>870</v>
      </c>
      <c r="M1315" s="143" t="s">
        <v>1505</v>
      </c>
    </row>
    <row r="1316" spans="2:13" x14ac:dyDescent="0.35">
      <c r="B1316" s="134" t="s">
        <v>180</v>
      </c>
      <c r="C1316" s="73"/>
      <c r="D1316" s="8"/>
      <c r="E1316" s="73"/>
      <c r="F1316" s="8"/>
      <c r="G1316" s="8"/>
      <c r="H1316" s="94">
        <f>SUBTOTAL(109,H7:H1315)</f>
        <v>6528550411.499999</v>
      </c>
      <c r="I1316" s="94">
        <f>SUBTOTAL(109,I7:I1315)</f>
        <v>7097376364.5399876</v>
      </c>
      <c r="J1316" s="96">
        <f>+J1315</f>
        <v>-521620566.60000014</v>
      </c>
      <c r="K1316" s="132"/>
      <c r="L1316" s="133"/>
      <c r="M1316" s="133"/>
    </row>
  </sheetData>
  <dataConsolidate/>
  <mergeCells count="1">
    <mergeCell ref="O6:P6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OPCIONES!$H$3:$H$18</xm:f>
          </x14:formula1>
          <xm:sqref>M7:M1316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346"/>
  <sheetViews>
    <sheetView showGridLines="0" tabSelected="1" zoomScaleNormal="100" workbookViewId="0">
      <selection activeCell="E18" sqref="E18"/>
    </sheetView>
  </sheetViews>
  <sheetFormatPr baseColWidth="10" defaultRowHeight="15" x14ac:dyDescent="0.35"/>
  <cols>
    <col min="1" max="1" width="4.7109375" style="13" customWidth="1"/>
    <col min="2" max="2" width="17.28515625" style="13" bestFit="1" customWidth="1"/>
    <col min="3" max="3" width="17.5703125" style="13" bestFit="1" customWidth="1"/>
    <col min="4" max="5" width="18.85546875" style="13" customWidth="1"/>
    <col min="6" max="6" width="46.42578125" style="13" bestFit="1" customWidth="1"/>
    <col min="7" max="7" width="71.5703125" style="13" bestFit="1" customWidth="1"/>
    <col min="8" max="8" width="15.7109375" style="13" bestFit="1" customWidth="1"/>
    <col min="9" max="9" width="10.85546875" style="13" bestFit="1" customWidth="1"/>
    <col min="10" max="10" width="17.85546875" style="13" bestFit="1" customWidth="1"/>
    <col min="11" max="11" width="10.85546875" style="13" bestFit="1" customWidth="1"/>
    <col min="12" max="16384" width="11.42578125" style="13"/>
  </cols>
  <sheetData>
    <row r="2" spans="2:5" x14ac:dyDescent="0.35">
      <c r="B2" s="15" t="s">
        <v>37</v>
      </c>
      <c r="C2" s="22" t="s">
        <v>33</v>
      </c>
    </row>
    <row r="3" spans="2:5" x14ac:dyDescent="0.35">
      <c r="B3" s="15" t="s">
        <v>40</v>
      </c>
      <c r="C3" s="22">
        <v>579702001</v>
      </c>
    </row>
    <row r="4" spans="2:5" x14ac:dyDescent="0.35">
      <c r="B4" s="15" t="s">
        <v>38</v>
      </c>
      <c r="C4" s="22" t="s">
        <v>41</v>
      </c>
    </row>
    <row r="6" spans="2:5" x14ac:dyDescent="0.35">
      <c r="B6" s="34" t="s">
        <v>9</v>
      </c>
      <c r="C6" s="34" t="s">
        <v>10</v>
      </c>
    </row>
    <row r="7" spans="2:5" x14ac:dyDescent="0.35">
      <c r="B7" s="26" t="s">
        <v>26</v>
      </c>
      <c r="C7" s="78">
        <v>40555915.530000329</v>
      </c>
    </row>
    <row r="8" spans="2:5" x14ac:dyDescent="0.35">
      <c r="B8" s="26" t="s">
        <v>27</v>
      </c>
      <c r="C8" s="78">
        <v>-521620566.60000014</v>
      </c>
    </row>
    <row r="10" spans="2:5" x14ac:dyDescent="0.35">
      <c r="B10" s="195" t="s">
        <v>23</v>
      </c>
      <c r="C10" s="196"/>
      <c r="D10" s="34" t="s">
        <v>10</v>
      </c>
      <c r="E10" s="14"/>
    </row>
    <row r="11" spans="2:5" x14ac:dyDescent="0.35">
      <c r="B11" s="197" t="s">
        <v>67</v>
      </c>
      <c r="C11" s="198"/>
      <c r="D11" s="79">
        <f>+C8</f>
        <v>-521620566.60000014</v>
      </c>
    </row>
    <row r="12" spans="2:5" x14ac:dyDescent="0.35">
      <c r="B12" s="197" t="s">
        <v>53</v>
      </c>
      <c r="C12" s="198"/>
      <c r="D12" s="79">
        <f>+D30+D346</f>
        <v>0</v>
      </c>
      <c r="E12" s="84"/>
    </row>
    <row r="13" spans="2:5" x14ac:dyDescent="0.35">
      <c r="B13" s="197" t="s">
        <v>54</v>
      </c>
      <c r="C13" s="198"/>
      <c r="D13" s="79">
        <f>+E30+E346</f>
        <v>1369932</v>
      </c>
      <c r="E13" s="84"/>
    </row>
    <row r="14" spans="2:5" x14ac:dyDescent="0.35">
      <c r="B14" s="197" t="s">
        <v>55</v>
      </c>
      <c r="C14" s="198"/>
      <c r="D14" s="79">
        <f>+E36+D340</f>
        <v>1614738431.6800001</v>
      </c>
      <c r="E14" s="84"/>
    </row>
    <row r="15" spans="2:5" x14ac:dyDescent="0.35">
      <c r="B15" s="197" t="s">
        <v>56</v>
      </c>
      <c r="C15" s="198"/>
      <c r="D15" s="79">
        <f>+D36+E340</f>
        <v>2175544981.8099995</v>
      </c>
      <c r="E15" s="84"/>
    </row>
    <row r="16" spans="2:5" x14ac:dyDescent="0.35">
      <c r="B16" s="197" t="s">
        <v>57</v>
      </c>
      <c r="C16" s="198"/>
      <c r="D16" s="80">
        <f>+D11-D12+D13-D14+D15</f>
        <v>40555915.529999256</v>
      </c>
    </row>
    <row r="17" spans="2:10" x14ac:dyDescent="0.35">
      <c r="B17" s="197" t="s">
        <v>68</v>
      </c>
      <c r="C17" s="198"/>
      <c r="D17" s="81">
        <f>+C7</f>
        <v>40555915.530000329</v>
      </c>
    </row>
    <row r="18" spans="2:10" x14ac:dyDescent="0.35">
      <c r="B18" s="197" t="s">
        <v>66</v>
      </c>
      <c r="C18" s="198"/>
      <c r="D18" s="79">
        <f>+D16-D17</f>
        <v>-1.0728836059570313E-6</v>
      </c>
    </row>
    <row r="20" spans="2:10" x14ac:dyDescent="0.35">
      <c r="B20" s="192" t="s">
        <v>0</v>
      </c>
      <c r="C20" s="192"/>
      <c r="D20" s="192"/>
      <c r="E20" s="192"/>
      <c r="F20" s="192"/>
      <c r="G20" s="192"/>
      <c r="H20" s="16"/>
    </row>
    <row r="21" spans="2:10" x14ac:dyDescent="0.35">
      <c r="B21" s="15"/>
      <c r="C21" s="15"/>
      <c r="D21" s="15"/>
      <c r="E21" s="15"/>
      <c r="F21" s="15"/>
      <c r="G21" s="15"/>
      <c r="H21" s="15"/>
    </row>
    <row r="22" spans="2:10" x14ac:dyDescent="0.35">
      <c r="B22" s="34" t="s">
        <v>2</v>
      </c>
      <c r="C22" s="34" t="s">
        <v>65</v>
      </c>
      <c r="D22" s="34" t="s">
        <v>4</v>
      </c>
      <c r="E22" s="34" t="s">
        <v>5</v>
      </c>
      <c r="F22" s="60" t="s">
        <v>62</v>
      </c>
      <c r="G22" s="34" t="s">
        <v>6</v>
      </c>
      <c r="H22" s="86" t="s">
        <v>63</v>
      </c>
      <c r="J22" s="25"/>
    </row>
    <row r="23" spans="2:10" x14ac:dyDescent="0.35">
      <c r="B23" s="120">
        <v>45861</v>
      </c>
      <c r="C23" s="5" t="s">
        <v>102</v>
      </c>
      <c r="D23" s="89"/>
      <c r="E23" s="113">
        <v>13965</v>
      </c>
      <c r="F23" s="5"/>
      <c r="G23" s="5" t="s">
        <v>1745</v>
      </c>
      <c r="H23" s="72"/>
      <c r="J23" s="49"/>
    </row>
    <row r="24" spans="2:10" x14ac:dyDescent="0.35">
      <c r="B24" s="120">
        <v>45947</v>
      </c>
      <c r="C24" s="5" t="s">
        <v>102</v>
      </c>
      <c r="D24" s="89"/>
      <c r="E24" s="113">
        <v>50000</v>
      </c>
      <c r="F24" s="5"/>
      <c r="G24" s="5" t="s">
        <v>1746</v>
      </c>
      <c r="H24" s="72"/>
      <c r="J24" s="49"/>
    </row>
    <row r="25" spans="2:10" x14ac:dyDescent="0.35">
      <c r="B25" s="120">
        <v>45951</v>
      </c>
      <c r="C25" s="5" t="s">
        <v>102</v>
      </c>
      <c r="D25" s="89"/>
      <c r="E25" s="113">
        <v>27930</v>
      </c>
      <c r="F25" s="5"/>
      <c r="G25" s="5" t="s">
        <v>1747</v>
      </c>
      <c r="H25" s="72"/>
      <c r="J25" s="49"/>
    </row>
    <row r="26" spans="2:10" x14ac:dyDescent="0.35">
      <c r="B26" s="120">
        <v>45978</v>
      </c>
      <c r="C26" s="5" t="s">
        <v>102</v>
      </c>
      <c r="D26" s="89"/>
      <c r="E26" s="113">
        <v>30723</v>
      </c>
      <c r="F26" s="5"/>
      <c r="G26" s="5" t="s">
        <v>1748</v>
      </c>
      <c r="H26" s="72"/>
      <c r="J26" s="49"/>
    </row>
    <row r="27" spans="2:10" x14ac:dyDescent="0.35">
      <c r="B27" s="85">
        <v>45988</v>
      </c>
      <c r="C27" s="26" t="s">
        <v>102</v>
      </c>
      <c r="D27" s="89"/>
      <c r="E27" s="46">
        <v>625868</v>
      </c>
      <c r="F27" s="26"/>
      <c r="G27" s="26" t="s">
        <v>1749</v>
      </c>
      <c r="H27" s="56"/>
      <c r="J27" s="49"/>
    </row>
    <row r="28" spans="2:10" x14ac:dyDescent="0.35">
      <c r="B28" s="85">
        <v>45988</v>
      </c>
      <c r="C28" s="26" t="s">
        <v>102</v>
      </c>
      <c r="D28" s="89"/>
      <c r="E28" s="46">
        <v>560000</v>
      </c>
      <c r="F28" s="26"/>
      <c r="G28" s="26" t="s">
        <v>1750</v>
      </c>
      <c r="H28" s="56"/>
      <c r="J28" s="49"/>
    </row>
    <row r="29" spans="2:10" x14ac:dyDescent="0.35">
      <c r="B29" s="120">
        <v>46008</v>
      </c>
      <c r="C29" s="5" t="s">
        <v>102</v>
      </c>
      <c r="D29" s="89"/>
      <c r="E29" s="113">
        <v>30723</v>
      </c>
      <c r="F29" s="26"/>
      <c r="G29" s="26" t="s">
        <v>1751</v>
      </c>
      <c r="H29" s="72"/>
      <c r="J29" s="49"/>
    </row>
    <row r="30" spans="2:10" x14ac:dyDescent="0.35">
      <c r="B30" s="88"/>
      <c r="C30" s="25"/>
      <c r="D30" s="89">
        <f>SUM(D23:D29)</f>
        <v>0</v>
      </c>
      <c r="E30" s="89">
        <f>SUM(E23:E29)</f>
        <v>1339209</v>
      </c>
      <c r="F30" s="25"/>
      <c r="G30" s="25"/>
      <c r="H30" s="1"/>
      <c r="J30" s="25"/>
    </row>
    <row r="31" spans="2:10" x14ac:dyDescent="0.35">
      <c r="B31" s="25"/>
      <c r="C31" s="25"/>
      <c r="D31" s="25"/>
      <c r="E31" s="25"/>
      <c r="F31" s="25"/>
      <c r="G31" s="25"/>
      <c r="H31" s="1"/>
      <c r="J31" s="25"/>
    </row>
    <row r="32" spans="2:10" x14ac:dyDescent="0.35">
      <c r="B32" s="192" t="s">
        <v>1</v>
      </c>
      <c r="C32" s="192"/>
      <c r="D32" s="192"/>
      <c r="E32" s="192"/>
      <c r="F32" s="192"/>
      <c r="G32" s="192"/>
      <c r="H32" s="16"/>
    </row>
    <row r="33" spans="2:8" x14ac:dyDescent="0.35">
      <c r="B33" s="15"/>
      <c r="C33" s="15"/>
      <c r="D33" s="15"/>
      <c r="E33" s="15"/>
      <c r="F33" s="15"/>
      <c r="G33" s="15"/>
      <c r="H33" s="15"/>
    </row>
    <row r="34" spans="2:8" x14ac:dyDescent="0.35">
      <c r="B34" s="34" t="s">
        <v>2</v>
      </c>
      <c r="C34" s="34" t="s">
        <v>65</v>
      </c>
      <c r="D34" s="86" t="s">
        <v>4</v>
      </c>
      <c r="E34" s="86" t="s">
        <v>5</v>
      </c>
      <c r="F34" s="34" t="s">
        <v>62</v>
      </c>
      <c r="G34" s="34" t="s">
        <v>6</v>
      </c>
      <c r="H34" s="86" t="s">
        <v>63</v>
      </c>
    </row>
    <row r="35" spans="2:8" x14ac:dyDescent="0.35">
      <c r="B35" s="85">
        <v>45888</v>
      </c>
      <c r="C35" s="26" t="s">
        <v>1744</v>
      </c>
      <c r="D35" s="89"/>
      <c r="E35" s="46">
        <v>0.1</v>
      </c>
      <c r="F35" s="26" t="s">
        <v>112</v>
      </c>
      <c r="G35" s="56">
        <v>20807000</v>
      </c>
      <c r="H35" s="85"/>
    </row>
    <row r="36" spans="2:8" x14ac:dyDescent="0.35">
      <c r="B36" s="88"/>
      <c r="C36" s="25"/>
      <c r="D36" s="89">
        <f>SUM(D35:D35)</f>
        <v>0</v>
      </c>
      <c r="E36" s="89">
        <f>SUM(E35:E35)</f>
        <v>0.1</v>
      </c>
      <c r="F36" s="25"/>
      <c r="G36" s="25"/>
      <c r="H36" s="88"/>
    </row>
    <row r="37" spans="2:8" x14ac:dyDescent="0.35">
      <c r="B37" s="15"/>
      <c r="C37" s="15"/>
      <c r="D37" s="15"/>
      <c r="E37" s="15"/>
      <c r="F37" s="15"/>
      <c r="G37" s="15"/>
      <c r="H37" s="15"/>
    </row>
    <row r="38" spans="2:8" x14ac:dyDescent="0.35">
      <c r="B38" s="194" t="s">
        <v>24</v>
      </c>
      <c r="C38" s="194"/>
      <c r="D38" s="194"/>
      <c r="E38" s="194"/>
      <c r="F38" s="194"/>
      <c r="G38" s="194"/>
      <c r="H38" s="43"/>
    </row>
    <row r="39" spans="2:8" x14ac:dyDescent="0.35">
      <c r="B39" s="17"/>
      <c r="C39" s="17"/>
      <c r="D39" s="17"/>
      <c r="E39" s="17"/>
      <c r="F39" s="17"/>
      <c r="G39" s="17"/>
      <c r="H39" s="17"/>
    </row>
    <row r="40" spans="2:8" x14ac:dyDescent="0.35">
      <c r="B40" s="34" t="s">
        <v>2</v>
      </c>
      <c r="C40" s="34" t="s">
        <v>65</v>
      </c>
      <c r="D40" s="86" t="s">
        <v>4</v>
      </c>
      <c r="E40" s="86" t="s">
        <v>5</v>
      </c>
      <c r="F40" s="34" t="s">
        <v>62</v>
      </c>
      <c r="G40" s="34" t="s">
        <v>6</v>
      </c>
      <c r="H40" s="86" t="s">
        <v>63</v>
      </c>
    </row>
    <row r="41" spans="2:8" x14ac:dyDescent="0.35">
      <c r="B41" s="85">
        <v>46024</v>
      </c>
      <c r="C41" s="5" t="s">
        <v>115</v>
      </c>
      <c r="D41" s="113"/>
      <c r="E41" s="113">
        <v>54659.58</v>
      </c>
      <c r="F41" s="5" t="s">
        <v>117</v>
      </c>
      <c r="G41" s="5" t="s">
        <v>1737</v>
      </c>
      <c r="H41" s="85"/>
    </row>
    <row r="42" spans="2:8" x14ac:dyDescent="0.35">
      <c r="B42" s="85">
        <v>46024</v>
      </c>
      <c r="C42" s="5" t="s">
        <v>115</v>
      </c>
      <c r="D42" s="113"/>
      <c r="E42" s="113">
        <v>1116822.78</v>
      </c>
      <c r="F42" s="5" t="s">
        <v>118</v>
      </c>
      <c r="G42" s="5" t="s">
        <v>1503</v>
      </c>
      <c r="H42" s="85"/>
    </row>
    <row r="43" spans="2:8" x14ac:dyDescent="0.35">
      <c r="B43" s="85">
        <v>46024</v>
      </c>
      <c r="C43" s="5" t="s">
        <v>115</v>
      </c>
      <c r="D43" s="113"/>
      <c r="E43" s="113">
        <v>1248497.51</v>
      </c>
      <c r="F43" s="5" t="s">
        <v>119</v>
      </c>
      <c r="G43" s="5" t="s">
        <v>1647</v>
      </c>
      <c r="H43" s="85"/>
    </row>
    <row r="44" spans="2:8" x14ac:dyDescent="0.35">
      <c r="B44" s="85">
        <v>46024</v>
      </c>
      <c r="C44" s="5" t="s">
        <v>115</v>
      </c>
      <c r="D44" s="113"/>
      <c r="E44" s="113">
        <v>2659291.0099999998</v>
      </c>
      <c r="F44" s="5" t="s">
        <v>118</v>
      </c>
      <c r="G44" s="5" t="s">
        <v>1648</v>
      </c>
      <c r="H44" s="85"/>
    </row>
    <row r="45" spans="2:8" x14ac:dyDescent="0.35">
      <c r="B45" s="85">
        <v>46024</v>
      </c>
      <c r="C45" s="5" t="s">
        <v>121</v>
      </c>
      <c r="D45" s="113"/>
      <c r="E45" s="113">
        <v>2834619.76</v>
      </c>
      <c r="F45" s="5" t="s">
        <v>124</v>
      </c>
      <c r="G45" s="5" t="s">
        <v>1485</v>
      </c>
      <c r="H45" s="85"/>
    </row>
    <row r="46" spans="2:8" x14ac:dyDescent="0.35">
      <c r="B46" s="85">
        <v>46024</v>
      </c>
      <c r="C46" s="5" t="s">
        <v>115</v>
      </c>
      <c r="D46" s="113"/>
      <c r="E46" s="113">
        <v>4310918.12</v>
      </c>
      <c r="F46" s="5" t="s">
        <v>119</v>
      </c>
      <c r="G46" s="5" t="s">
        <v>1647</v>
      </c>
      <c r="H46" s="85"/>
    </row>
    <row r="47" spans="2:8" x14ac:dyDescent="0.35">
      <c r="B47" s="85">
        <v>46024</v>
      </c>
      <c r="C47" s="5" t="s">
        <v>125</v>
      </c>
      <c r="D47" s="113"/>
      <c r="E47" s="113">
        <v>5954777.46</v>
      </c>
      <c r="F47" s="5" t="s">
        <v>124</v>
      </c>
      <c r="G47" s="5" t="s">
        <v>1649</v>
      </c>
      <c r="H47" s="85"/>
    </row>
    <row r="48" spans="2:8" x14ac:dyDescent="0.35">
      <c r="B48" s="85">
        <v>46024</v>
      </c>
      <c r="C48" s="5" t="s">
        <v>115</v>
      </c>
      <c r="D48" s="113"/>
      <c r="E48" s="113">
        <v>6786022.8300000001</v>
      </c>
      <c r="F48" s="5" t="s">
        <v>127</v>
      </c>
      <c r="G48" s="5" t="s">
        <v>1503</v>
      </c>
      <c r="H48" s="85"/>
    </row>
    <row r="49" spans="2:8" x14ac:dyDescent="0.35">
      <c r="B49" s="85">
        <v>46024</v>
      </c>
      <c r="C49" s="5" t="s">
        <v>128</v>
      </c>
      <c r="D49" s="113"/>
      <c r="E49" s="113">
        <v>6896421.3300000001</v>
      </c>
      <c r="F49" s="5" t="s">
        <v>124</v>
      </c>
      <c r="G49" s="5" t="s">
        <v>1727</v>
      </c>
      <c r="H49" s="85"/>
    </row>
    <row r="50" spans="2:8" x14ac:dyDescent="0.35">
      <c r="B50" s="85">
        <v>46024</v>
      </c>
      <c r="C50" s="5" t="s">
        <v>115</v>
      </c>
      <c r="D50" s="113"/>
      <c r="E50" s="113">
        <v>7960642.7999999998</v>
      </c>
      <c r="F50" s="5" t="s">
        <v>127</v>
      </c>
      <c r="G50" s="5" t="s">
        <v>1648</v>
      </c>
      <c r="H50" s="85"/>
    </row>
    <row r="51" spans="2:8" x14ac:dyDescent="0.35">
      <c r="B51" s="85">
        <v>46024</v>
      </c>
      <c r="C51" s="5" t="s">
        <v>128</v>
      </c>
      <c r="D51" s="113"/>
      <c r="E51" s="113">
        <v>10203823.77</v>
      </c>
      <c r="F51" s="5" t="s">
        <v>124</v>
      </c>
      <c r="G51" s="5" t="s">
        <v>1728</v>
      </c>
      <c r="H51" s="85"/>
    </row>
    <row r="52" spans="2:8" x14ac:dyDescent="0.35">
      <c r="B52" s="85">
        <v>46024</v>
      </c>
      <c r="C52" s="5" t="s">
        <v>115</v>
      </c>
      <c r="D52" s="113"/>
      <c r="E52" s="113">
        <v>22112122.199999999</v>
      </c>
      <c r="F52" s="5" t="s">
        <v>119</v>
      </c>
      <c r="G52" s="5" t="s">
        <v>1647</v>
      </c>
      <c r="H52" s="85"/>
    </row>
    <row r="53" spans="2:8" x14ac:dyDescent="0.35">
      <c r="B53" s="85">
        <v>46024</v>
      </c>
      <c r="C53" s="5" t="s">
        <v>128</v>
      </c>
      <c r="D53" s="113"/>
      <c r="E53" s="113">
        <v>29768111.73</v>
      </c>
      <c r="F53" s="5" t="s">
        <v>124</v>
      </c>
      <c r="G53" s="5" t="s">
        <v>1479</v>
      </c>
      <c r="H53" s="85"/>
    </row>
    <row r="54" spans="2:8" x14ac:dyDescent="0.35">
      <c r="B54" s="120">
        <v>46027</v>
      </c>
      <c r="C54" s="5" t="s">
        <v>128</v>
      </c>
      <c r="D54" s="113"/>
      <c r="E54" s="113">
        <v>3900</v>
      </c>
      <c r="F54" s="5" t="s">
        <v>1510</v>
      </c>
      <c r="G54" s="5" t="s">
        <v>1737</v>
      </c>
      <c r="H54" s="85"/>
    </row>
    <row r="55" spans="2:8" x14ac:dyDescent="0.35">
      <c r="B55" s="120">
        <v>46027</v>
      </c>
      <c r="C55" s="5" t="s">
        <v>128</v>
      </c>
      <c r="D55" s="113"/>
      <c r="E55" s="113">
        <v>18205</v>
      </c>
      <c r="F55" s="5" t="s">
        <v>124</v>
      </c>
      <c r="G55" s="5" t="s">
        <v>1627</v>
      </c>
      <c r="H55" s="85"/>
    </row>
    <row r="56" spans="2:8" x14ac:dyDescent="0.35">
      <c r="B56" s="120">
        <v>46027</v>
      </c>
      <c r="C56" s="5" t="s">
        <v>128</v>
      </c>
      <c r="D56" s="113"/>
      <c r="E56" s="113">
        <v>19500</v>
      </c>
      <c r="F56" s="5" t="s">
        <v>136</v>
      </c>
      <c r="G56" s="5" t="s">
        <v>1627</v>
      </c>
      <c r="H56" s="85"/>
    </row>
    <row r="57" spans="2:8" x14ac:dyDescent="0.35">
      <c r="B57" s="120">
        <v>46027</v>
      </c>
      <c r="C57" s="5" t="s">
        <v>128</v>
      </c>
      <c r="D57" s="113"/>
      <c r="E57" s="113">
        <v>23400</v>
      </c>
      <c r="F57" s="5" t="s">
        <v>1548</v>
      </c>
      <c r="G57" s="5" t="s">
        <v>1735</v>
      </c>
      <c r="H57" s="85"/>
    </row>
    <row r="58" spans="2:8" x14ac:dyDescent="0.35">
      <c r="B58" s="120">
        <v>46027</v>
      </c>
      <c r="C58" s="5" t="s">
        <v>128</v>
      </c>
      <c r="D58" s="113"/>
      <c r="E58" s="113">
        <v>39000</v>
      </c>
      <c r="F58" s="5" t="s">
        <v>1509</v>
      </c>
      <c r="G58" s="5" t="s">
        <v>1737</v>
      </c>
      <c r="H58" s="85"/>
    </row>
    <row r="59" spans="2:8" x14ac:dyDescent="0.35">
      <c r="B59" s="120">
        <v>46027</v>
      </c>
      <c r="C59" s="5" t="s">
        <v>128</v>
      </c>
      <c r="D59" s="113"/>
      <c r="E59" s="113">
        <v>39000</v>
      </c>
      <c r="F59" s="5" t="s">
        <v>1511</v>
      </c>
      <c r="G59" s="5" t="s">
        <v>1737</v>
      </c>
      <c r="H59" s="85"/>
    </row>
    <row r="60" spans="2:8" x14ac:dyDescent="0.35">
      <c r="B60" s="120">
        <v>46027</v>
      </c>
      <c r="C60" s="5" t="s">
        <v>128</v>
      </c>
      <c r="D60" s="113"/>
      <c r="E60" s="113">
        <v>39000</v>
      </c>
      <c r="F60" s="5" t="s">
        <v>1512</v>
      </c>
      <c r="G60" s="5" t="s">
        <v>1737</v>
      </c>
      <c r="H60" s="85"/>
    </row>
    <row r="61" spans="2:8" x14ac:dyDescent="0.35">
      <c r="B61" s="120">
        <v>46027</v>
      </c>
      <c r="C61" s="5" t="s">
        <v>128</v>
      </c>
      <c r="D61" s="113"/>
      <c r="E61" s="113">
        <v>39000</v>
      </c>
      <c r="F61" s="5" t="s">
        <v>1513</v>
      </c>
      <c r="G61" s="5" t="s">
        <v>1737</v>
      </c>
      <c r="H61" s="85"/>
    </row>
    <row r="62" spans="2:8" x14ac:dyDescent="0.35">
      <c r="B62" s="120">
        <v>46027</v>
      </c>
      <c r="C62" s="5" t="s">
        <v>128</v>
      </c>
      <c r="D62" s="113"/>
      <c r="E62" s="113">
        <v>39000</v>
      </c>
      <c r="F62" s="5" t="s">
        <v>1549</v>
      </c>
      <c r="G62" s="5" t="s">
        <v>1735</v>
      </c>
      <c r="H62" s="85"/>
    </row>
    <row r="63" spans="2:8" x14ac:dyDescent="0.35">
      <c r="B63" s="120">
        <v>46027</v>
      </c>
      <c r="C63" s="5" t="s">
        <v>128</v>
      </c>
      <c r="D63" s="113"/>
      <c r="E63" s="113">
        <v>39000</v>
      </c>
      <c r="F63" s="5" t="s">
        <v>1550</v>
      </c>
      <c r="G63" s="5" t="s">
        <v>1735</v>
      </c>
      <c r="H63" s="85"/>
    </row>
    <row r="64" spans="2:8" x14ac:dyDescent="0.35">
      <c r="B64" s="120">
        <v>46027</v>
      </c>
      <c r="C64" s="5" t="s">
        <v>128</v>
      </c>
      <c r="D64" s="113"/>
      <c r="E64" s="113">
        <v>40000</v>
      </c>
      <c r="F64" s="5" t="s">
        <v>1551</v>
      </c>
      <c r="G64" s="5" t="s">
        <v>1735</v>
      </c>
      <c r="H64" s="85"/>
    </row>
    <row r="65" spans="2:8" x14ac:dyDescent="0.35">
      <c r="B65" s="120">
        <v>46027</v>
      </c>
      <c r="C65" s="5" t="s">
        <v>128</v>
      </c>
      <c r="D65" s="113"/>
      <c r="E65" s="113">
        <v>52000</v>
      </c>
      <c r="F65" s="5" t="s">
        <v>124</v>
      </c>
      <c r="G65" s="5" t="s">
        <v>1627</v>
      </c>
      <c r="H65" s="85"/>
    </row>
    <row r="66" spans="2:8" x14ac:dyDescent="0.35">
      <c r="B66" s="120">
        <v>46027</v>
      </c>
      <c r="C66" s="5" t="s">
        <v>128</v>
      </c>
      <c r="D66" s="113"/>
      <c r="E66" s="113">
        <v>52000</v>
      </c>
      <c r="F66" s="5" t="s">
        <v>1552</v>
      </c>
      <c r="G66" s="5" t="s">
        <v>1735</v>
      </c>
      <c r="H66" s="85"/>
    </row>
    <row r="67" spans="2:8" x14ac:dyDescent="0.35">
      <c r="B67" s="120">
        <v>46027</v>
      </c>
      <c r="C67" s="5" t="s">
        <v>125</v>
      </c>
      <c r="D67" s="113"/>
      <c r="E67" s="113">
        <v>54034.31</v>
      </c>
      <c r="F67" s="5" t="s">
        <v>124</v>
      </c>
      <c r="G67" s="5" t="s">
        <v>1650</v>
      </c>
      <c r="H67" s="85"/>
    </row>
    <row r="68" spans="2:8" x14ac:dyDescent="0.35">
      <c r="B68" s="120">
        <v>46027</v>
      </c>
      <c r="C68" s="5" t="s">
        <v>128</v>
      </c>
      <c r="D68" s="113"/>
      <c r="E68" s="113">
        <v>69000</v>
      </c>
      <c r="F68" s="5" t="s">
        <v>124</v>
      </c>
      <c r="G68" s="5" t="s">
        <v>1627</v>
      </c>
      <c r="H68" s="85"/>
    </row>
    <row r="69" spans="2:8" x14ac:dyDescent="0.35">
      <c r="B69" s="120">
        <v>46027</v>
      </c>
      <c r="C69" s="5" t="s">
        <v>128</v>
      </c>
      <c r="D69" s="113"/>
      <c r="E69" s="113">
        <v>78000</v>
      </c>
      <c r="F69" s="5" t="s">
        <v>139</v>
      </c>
      <c r="G69" s="5" t="s">
        <v>1737</v>
      </c>
      <c r="H69" s="85"/>
    </row>
    <row r="70" spans="2:8" x14ac:dyDescent="0.35">
      <c r="B70" s="120">
        <v>46027</v>
      </c>
      <c r="C70" s="5" t="s">
        <v>128</v>
      </c>
      <c r="D70" s="113"/>
      <c r="E70" s="113">
        <v>78000</v>
      </c>
      <c r="F70" s="5" t="s">
        <v>1553</v>
      </c>
      <c r="G70" s="5" t="s">
        <v>1735</v>
      </c>
      <c r="H70" s="85"/>
    </row>
    <row r="71" spans="2:8" x14ac:dyDescent="0.35">
      <c r="B71" s="120">
        <v>46027</v>
      </c>
      <c r="C71" s="5" t="s">
        <v>115</v>
      </c>
      <c r="D71" s="113"/>
      <c r="E71" s="113">
        <v>549643.47</v>
      </c>
      <c r="F71" s="5" t="s">
        <v>118</v>
      </c>
      <c r="G71" s="5" t="s">
        <v>1650</v>
      </c>
      <c r="H71" s="85"/>
    </row>
    <row r="72" spans="2:8" x14ac:dyDescent="0.35">
      <c r="B72" s="120">
        <v>46027</v>
      </c>
      <c r="C72" s="5" t="s">
        <v>128</v>
      </c>
      <c r="D72" s="113"/>
      <c r="E72" s="113">
        <v>1033503.44</v>
      </c>
      <c r="F72" s="5" t="s">
        <v>124</v>
      </c>
      <c r="G72" s="5" t="s">
        <v>1650</v>
      </c>
      <c r="H72" s="85"/>
    </row>
    <row r="73" spans="2:8" x14ac:dyDescent="0.35">
      <c r="B73" s="120">
        <v>46027</v>
      </c>
      <c r="C73" s="5" t="s">
        <v>115</v>
      </c>
      <c r="D73" s="113"/>
      <c r="E73" s="113">
        <v>1830283.57</v>
      </c>
      <c r="F73" s="5" t="s">
        <v>119</v>
      </c>
      <c r="G73" s="5" t="s">
        <v>1651</v>
      </c>
      <c r="H73" s="85"/>
    </row>
    <row r="74" spans="2:8" x14ac:dyDescent="0.35">
      <c r="B74" s="120">
        <v>46027</v>
      </c>
      <c r="C74" s="5" t="s">
        <v>115</v>
      </c>
      <c r="D74" s="113"/>
      <c r="E74" s="113">
        <v>2706018.32</v>
      </c>
      <c r="F74" s="5" t="s">
        <v>119</v>
      </c>
      <c r="G74" s="5" t="s">
        <v>1651</v>
      </c>
      <c r="H74" s="85"/>
    </row>
    <row r="75" spans="2:8" x14ac:dyDescent="0.35">
      <c r="B75" s="120">
        <v>46027</v>
      </c>
      <c r="C75" s="5" t="s">
        <v>115</v>
      </c>
      <c r="D75" s="113"/>
      <c r="E75" s="113">
        <v>20976326.859999999</v>
      </c>
      <c r="F75" s="5" t="s">
        <v>119</v>
      </c>
      <c r="G75" s="5" t="s">
        <v>1651</v>
      </c>
      <c r="H75" s="85"/>
    </row>
    <row r="76" spans="2:8" x14ac:dyDescent="0.35">
      <c r="B76" s="120">
        <v>46027</v>
      </c>
      <c r="C76" s="5" t="s">
        <v>128</v>
      </c>
      <c r="D76" s="113"/>
      <c r="E76" s="113">
        <v>25720644.719999999</v>
      </c>
      <c r="F76" s="5" t="s">
        <v>124</v>
      </c>
      <c r="G76" s="5" t="s">
        <v>1480</v>
      </c>
      <c r="H76" s="85"/>
    </row>
    <row r="77" spans="2:8" x14ac:dyDescent="0.35">
      <c r="B77" s="120">
        <v>46028</v>
      </c>
      <c r="C77" s="5" t="s">
        <v>128</v>
      </c>
      <c r="D77" s="113"/>
      <c r="E77" s="113">
        <v>13000</v>
      </c>
      <c r="F77" s="5" t="s">
        <v>124</v>
      </c>
      <c r="G77" s="5" t="s">
        <v>1628</v>
      </c>
      <c r="H77" s="85"/>
    </row>
    <row r="78" spans="2:8" x14ac:dyDescent="0.35">
      <c r="B78" s="120">
        <v>46028</v>
      </c>
      <c r="C78" s="5" t="s">
        <v>128</v>
      </c>
      <c r="D78" s="113"/>
      <c r="E78" s="113">
        <v>19500</v>
      </c>
      <c r="F78" s="5" t="s">
        <v>1554</v>
      </c>
      <c r="G78" s="5" t="s">
        <v>1735</v>
      </c>
      <c r="H78" s="85"/>
    </row>
    <row r="79" spans="2:8" x14ac:dyDescent="0.35">
      <c r="B79" s="120">
        <v>46028</v>
      </c>
      <c r="C79" s="5" t="s">
        <v>115</v>
      </c>
      <c r="D79" s="113"/>
      <c r="E79" s="113">
        <v>23486.799999999999</v>
      </c>
      <c r="F79" s="5" t="s">
        <v>118</v>
      </c>
      <c r="G79" s="5" t="s">
        <v>1652</v>
      </c>
      <c r="H79" s="85"/>
    </row>
    <row r="80" spans="2:8" x14ac:dyDescent="0.35">
      <c r="B80" s="120">
        <v>46028</v>
      </c>
      <c r="C80" s="5" t="s">
        <v>128</v>
      </c>
      <c r="D80" s="113"/>
      <c r="E80" s="113">
        <v>26000</v>
      </c>
      <c r="F80" s="5" t="s">
        <v>124</v>
      </c>
      <c r="G80" s="5" t="s">
        <v>1628</v>
      </c>
      <c r="H80" s="85"/>
    </row>
    <row r="81" spans="2:8" x14ac:dyDescent="0.35">
      <c r="B81" s="120">
        <v>46028</v>
      </c>
      <c r="C81" s="5" t="s">
        <v>128</v>
      </c>
      <c r="D81" s="113"/>
      <c r="E81" s="113">
        <v>39000</v>
      </c>
      <c r="F81" s="180"/>
      <c r="G81" s="5" t="s">
        <v>1736</v>
      </c>
      <c r="H81" s="85"/>
    </row>
    <row r="82" spans="2:8" x14ac:dyDescent="0.35">
      <c r="B82" s="120">
        <v>46028</v>
      </c>
      <c r="C82" s="5" t="s">
        <v>128</v>
      </c>
      <c r="D82" s="113"/>
      <c r="E82" s="113">
        <v>39000</v>
      </c>
      <c r="F82" s="5" t="s">
        <v>1514</v>
      </c>
      <c r="G82" s="5" t="s">
        <v>1737</v>
      </c>
      <c r="H82" s="85"/>
    </row>
    <row r="83" spans="2:8" x14ac:dyDescent="0.35">
      <c r="B83" s="120">
        <v>46028</v>
      </c>
      <c r="C83" s="5" t="s">
        <v>128</v>
      </c>
      <c r="D83" s="113"/>
      <c r="E83" s="113">
        <v>39000</v>
      </c>
      <c r="F83" s="5" t="s">
        <v>124</v>
      </c>
      <c r="G83" s="5" t="s">
        <v>1627</v>
      </c>
      <c r="H83" s="85"/>
    </row>
    <row r="84" spans="2:8" x14ac:dyDescent="0.35">
      <c r="B84" s="120">
        <v>46028</v>
      </c>
      <c r="C84" s="5" t="s">
        <v>128</v>
      </c>
      <c r="D84" s="113"/>
      <c r="E84" s="113">
        <v>39000</v>
      </c>
      <c r="F84" s="5" t="s">
        <v>124</v>
      </c>
      <c r="G84" s="5" t="s">
        <v>1627</v>
      </c>
      <c r="H84" s="85"/>
    </row>
    <row r="85" spans="2:8" x14ac:dyDescent="0.35">
      <c r="B85" s="120">
        <v>46028</v>
      </c>
      <c r="C85" s="5" t="s">
        <v>128</v>
      </c>
      <c r="D85" s="113"/>
      <c r="E85" s="113">
        <v>39000</v>
      </c>
      <c r="F85" s="5" t="s">
        <v>1515</v>
      </c>
      <c r="G85" s="5" t="s">
        <v>1737</v>
      </c>
      <c r="H85" s="85"/>
    </row>
    <row r="86" spans="2:8" x14ac:dyDescent="0.35">
      <c r="B86" s="120">
        <v>46028</v>
      </c>
      <c r="C86" s="5" t="s">
        <v>128</v>
      </c>
      <c r="D86" s="113"/>
      <c r="E86" s="113">
        <v>78000</v>
      </c>
      <c r="F86" s="5" t="s">
        <v>124</v>
      </c>
      <c r="G86" s="5" t="s">
        <v>1628</v>
      </c>
      <c r="H86" s="85"/>
    </row>
    <row r="87" spans="2:8" x14ac:dyDescent="0.35">
      <c r="B87" s="120">
        <v>46028</v>
      </c>
      <c r="C87" s="5" t="s">
        <v>128</v>
      </c>
      <c r="D87" s="113"/>
      <c r="E87" s="113">
        <v>92840.66</v>
      </c>
      <c r="F87" s="5"/>
      <c r="G87" s="5" t="s">
        <v>1652</v>
      </c>
      <c r="H87" s="85"/>
    </row>
    <row r="88" spans="2:8" x14ac:dyDescent="0.35">
      <c r="B88" s="120">
        <v>46028</v>
      </c>
      <c r="C88" s="5" t="s">
        <v>115</v>
      </c>
      <c r="D88" s="113"/>
      <c r="E88" s="113">
        <v>495640.19</v>
      </c>
      <c r="F88" s="5" t="s">
        <v>127</v>
      </c>
      <c r="G88" s="5" t="s">
        <v>1652</v>
      </c>
      <c r="H88" s="85"/>
    </row>
    <row r="89" spans="2:8" x14ac:dyDescent="0.35">
      <c r="B89" s="120">
        <v>46028</v>
      </c>
      <c r="C89" s="5" t="s">
        <v>125</v>
      </c>
      <c r="D89" s="113"/>
      <c r="E89" s="113">
        <v>605046.98</v>
      </c>
      <c r="F89" s="5" t="s">
        <v>124</v>
      </c>
      <c r="G89" s="5" t="s">
        <v>1653</v>
      </c>
      <c r="H89" s="85"/>
    </row>
    <row r="90" spans="2:8" x14ac:dyDescent="0.35">
      <c r="B90" s="120">
        <v>46028</v>
      </c>
      <c r="C90" s="5" t="s">
        <v>115</v>
      </c>
      <c r="D90" s="113"/>
      <c r="E90" s="113">
        <v>2095927.77</v>
      </c>
      <c r="F90" s="5" t="s">
        <v>119</v>
      </c>
      <c r="G90" s="5" t="s">
        <v>1655</v>
      </c>
      <c r="H90" s="85"/>
    </row>
    <row r="91" spans="2:8" x14ac:dyDescent="0.35">
      <c r="B91" s="120">
        <v>46028</v>
      </c>
      <c r="C91" s="5" t="s">
        <v>115</v>
      </c>
      <c r="D91" s="113"/>
      <c r="E91" s="113">
        <v>2778839.06</v>
      </c>
      <c r="F91" s="5" t="s">
        <v>119</v>
      </c>
      <c r="G91" s="5" t="s">
        <v>1655</v>
      </c>
      <c r="H91" s="85"/>
    </row>
    <row r="92" spans="2:8" x14ac:dyDescent="0.35">
      <c r="B92" s="120">
        <v>46028</v>
      </c>
      <c r="C92" s="5" t="s">
        <v>128</v>
      </c>
      <c r="D92" s="113"/>
      <c r="E92" s="113">
        <v>15503716.26</v>
      </c>
      <c r="F92" s="5" t="s">
        <v>124</v>
      </c>
      <c r="G92" s="5" t="s">
        <v>1481</v>
      </c>
      <c r="H92" s="85"/>
    </row>
    <row r="93" spans="2:8" x14ac:dyDescent="0.35">
      <c r="B93" s="120">
        <v>46028</v>
      </c>
      <c r="C93" s="5" t="s">
        <v>115</v>
      </c>
      <c r="D93" s="113"/>
      <c r="E93" s="113">
        <v>18911670.57</v>
      </c>
      <c r="F93" s="5" t="s">
        <v>119</v>
      </c>
      <c r="G93" s="5" t="s">
        <v>1655</v>
      </c>
      <c r="H93" s="85"/>
    </row>
    <row r="94" spans="2:8" x14ac:dyDescent="0.35">
      <c r="B94" s="120">
        <v>46029</v>
      </c>
      <c r="C94" s="5" t="s">
        <v>125</v>
      </c>
      <c r="D94" s="113"/>
      <c r="E94" s="113">
        <v>21315.42</v>
      </c>
      <c r="F94" s="5" t="s">
        <v>124</v>
      </c>
      <c r="G94" s="5" t="s">
        <v>1656</v>
      </c>
      <c r="H94" s="85"/>
    </row>
    <row r="95" spans="2:8" x14ac:dyDescent="0.35">
      <c r="B95" s="120">
        <v>46029</v>
      </c>
      <c r="C95" s="5" t="s">
        <v>115</v>
      </c>
      <c r="D95" s="113"/>
      <c r="E95" s="113">
        <v>156909.85999999999</v>
      </c>
      <c r="F95" s="5" t="s">
        <v>144</v>
      </c>
      <c r="G95" s="5" t="s">
        <v>1737</v>
      </c>
      <c r="H95" s="85"/>
    </row>
    <row r="96" spans="2:8" x14ac:dyDescent="0.35">
      <c r="B96" s="120">
        <v>46029</v>
      </c>
      <c r="C96" s="5" t="s">
        <v>128</v>
      </c>
      <c r="D96" s="113"/>
      <c r="E96" s="113">
        <v>284586.7</v>
      </c>
      <c r="F96" s="5" t="s">
        <v>124</v>
      </c>
      <c r="G96" s="5" t="s">
        <v>1657</v>
      </c>
      <c r="H96" s="85"/>
    </row>
    <row r="97" spans="2:8" x14ac:dyDescent="0.35">
      <c r="B97" s="120">
        <v>46029</v>
      </c>
      <c r="C97" s="5" t="s">
        <v>115</v>
      </c>
      <c r="D97" s="113"/>
      <c r="E97" s="113">
        <v>773356.63</v>
      </c>
      <c r="F97" s="5" t="s">
        <v>127</v>
      </c>
      <c r="G97" s="5" t="s">
        <v>1657</v>
      </c>
      <c r="H97" s="85"/>
    </row>
    <row r="98" spans="2:8" x14ac:dyDescent="0.35">
      <c r="B98" s="120">
        <v>46029</v>
      </c>
      <c r="C98" s="5" t="s">
        <v>115</v>
      </c>
      <c r="D98" s="113"/>
      <c r="E98" s="113">
        <v>2272343.2799999998</v>
      </c>
      <c r="F98" s="5" t="s">
        <v>119</v>
      </c>
      <c r="G98" s="5" t="s">
        <v>1658</v>
      </c>
      <c r="H98" s="85"/>
    </row>
    <row r="99" spans="2:8" x14ac:dyDescent="0.35">
      <c r="B99" s="120">
        <v>46029</v>
      </c>
      <c r="C99" s="5" t="s">
        <v>115</v>
      </c>
      <c r="D99" s="113"/>
      <c r="E99" s="113">
        <v>4297115.2</v>
      </c>
      <c r="F99" s="5" t="s">
        <v>119</v>
      </c>
      <c r="G99" s="5" t="s">
        <v>1658</v>
      </c>
      <c r="H99" s="85"/>
    </row>
    <row r="100" spans="2:8" x14ac:dyDescent="0.35">
      <c r="B100" s="120">
        <v>46029</v>
      </c>
      <c r="C100" s="5" t="s">
        <v>128</v>
      </c>
      <c r="D100" s="113"/>
      <c r="E100" s="113">
        <v>9773173.6400000006</v>
      </c>
      <c r="F100" s="5" t="s">
        <v>124</v>
      </c>
      <c r="G100" s="5" t="s">
        <v>1482</v>
      </c>
      <c r="H100" s="85"/>
    </row>
    <row r="101" spans="2:8" x14ac:dyDescent="0.35">
      <c r="B101" s="120">
        <v>46029</v>
      </c>
      <c r="C101" s="5" t="s">
        <v>115</v>
      </c>
      <c r="D101" s="113"/>
      <c r="E101" s="113">
        <v>28645179.109999999</v>
      </c>
      <c r="F101" s="5" t="s">
        <v>119</v>
      </c>
      <c r="G101" s="5" t="s">
        <v>1658</v>
      </c>
      <c r="H101" s="85"/>
    </row>
    <row r="102" spans="2:8" x14ac:dyDescent="0.35">
      <c r="B102" s="120">
        <v>46030</v>
      </c>
      <c r="C102" s="5" t="s">
        <v>115</v>
      </c>
      <c r="D102" s="113"/>
      <c r="E102" s="113">
        <v>13743.3</v>
      </c>
      <c r="F102" s="5" t="s">
        <v>145</v>
      </c>
      <c r="G102" s="5" t="s">
        <v>1737</v>
      </c>
      <c r="H102" s="85"/>
    </row>
    <row r="103" spans="2:8" x14ac:dyDescent="0.35">
      <c r="B103" s="120">
        <v>46031</v>
      </c>
      <c r="C103" s="5" t="s">
        <v>125</v>
      </c>
      <c r="D103" s="113"/>
      <c r="E103" s="113">
        <v>37868.400000000001</v>
      </c>
      <c r="F103" s="5" t="s">
        <v>124</v>
      </c>
      <c r="G103" s="5" t="s">
        <v>1659</v>
      </c>
      <c r="H103" s="85"/>
    </row>
    <row r="104" spans="2:8" x14ac:dyDescent="0.35">
      <c r="B104" s="120">
        <v>46030</v>
      </c>
      <c r="C104" s="5" t="s">
        <v>115</v>
      </c>
      <c r="D104" s="113"/>
      <c r="E104" s="113">
        <v>262675.69</v>
      </c>
      <c r="F104" s="5" t="s">
        <v>119</v>
      </c>
      <c r="G104" s="5" t="s">
        <v>1660</v>
      </c>
      <c r="H104" s="85"/>
    </row>
    <row r="105" spans="2:8" x14ac:dyDescent="0.35">
      <c r="B105" s="120">
        <v>46030</v>
      </c>
      <c r="C105" s="5" t="s">
        <v>115</v>
      </c>
      <c r="D105" s="113"/>
      <c r="E105" s="113">
        <v>347556.72</v>
      </c>
      <c r="F105" s="5" t="s">
        <v>119</v>
      </c>
      <c r="G105" s="5" t="s">
        <v>1660</v>
      </c>
      <c r="H105" s="85"/>
    </row>
    <row r="106" spans="2:8" x14ac:dyDescent="0.35">
      <c r="B106" s="120">
        <v>46030</v>
      </c>
      <c r="C106" s="5" t="s">
        <v>128</v>
      </c>
      <c r="D106" s="113"/>
      <c r="E106" s="113">
        <v>460923.13</v>
      </c>
      <c r="F106" s="5" t="s">
        <v>124</v>
      </c>
      <c r="G106" s="5" t="s">
        <v>1661</v>
      </c>
      <c r="H106" s="85"/>
    </row>
    <row r="107" spans="2:8" x14ac:dyDescent="0.35">
      <c r="B107" s="120">
        <v>46030</v>
      </c>
      <c r="C107" s="5" t="s">
        <v>115</v>
      </c>
      <c r="D107" s="113"/>
      <c r="E107" s="113">
        <v>595745.57999999996</v>
      </c>
      <c r="F107" s="5" t="s">
        <v>127</v>
      </c>
      <c r="G107" s="5" t="s">
        <v>1661</v>
      </c>
      <c r="H107" s="85"/>
    </row>
    <row r="108" spans="2:8" x14ac:dyDescent="0.35">
      <c r="B108" s="120">
        <v>46030</v>
      </c>
      <c r="C108" s="5" t="s">
        <v>115</v>
      </c>
      <c r="D108" s="113"/>
      <c r="E108" s="113">
        <v>5110113.42</v>
      </c>
      <c r="F108" s="5" t="s">
        <v>119</v>
      </c>
      <c r="G108" s="5" t="s">
        <v>1660</v>
      </c>
      <c r="H108" s="85"/>
    </row>
    <row r="109" spans="2:8" x14ac:dyDescent="0.35">
      <c r="B109" s="120">
        <v>46030</v>
      </c>
      <c r="C109" s="5" t="s">
        <v>128</v>
      </c>
      <c r="D109" s="113"/>
      <c r="E109" s="113">
        <v>15452104.83</v>
      </c>
      <c r="F109" s="5" t="s">
        <v>124</v>
      </c>
      <c r="G109" s="5" t="s">
        <v>1483</v>
      </c>
      <c r="H109" s="85"/>
    </row>
    <row r="110" spans="2:8" x14ac:dyDescent="0.35">
      <c r="B110" s="120">
        <v>46030</v>
      </c>
      <c r="C110" s="5" t="s">
        <v>115</v>
      </c>
      <c r="D110" s="113">
        <v>146350990.34</v>
      </c>
      <c r="E110" s="113"/>
      <c r="F110" s="5" t="s">
        <v>1665</v>
      </c>
      <c r="G110" s="5" t="s">
        <v>1662</v>
      </c>
      <c r="H110" s="85"/>
    </row>
    <row r="111" spans="2:8" x14ac:dyDescent="0.35">
      <c r="B111" s="120">
        <v>46030</v>
      </c>
      <c r="C111" s="5" t="s">
        <v>115</v>
      </c>
      <c r="D111" s="113">
        <v>1859.5</v>
      </c>
      <c r="E111" s="113"/>
      <c r="F111" s="5" t="s">
        <v>1664</v>
      </c>
      <c r="G111" s="5" t="s">
        <v>1663</v>
      </c>
      <c r="H111" s="85"/>
    </row>
    <row r="112" spans="2:8" x14ac:dyDescent="0.35">
      <c r="B112" s="120">
        <v>46031</v>
      </c>
      <c r="C112" s="5" t="s">
        <v>134</v>
      </c>
      <c r="D112" s="113"/>
      <c r="E112" s="113">
        <v>10000</v>
      </c>
      <c r="F112" s="5" t="s">
        <v>124</v>
      </c>
      <c r="G112" s="5" t="s">
        <v>1726</v>
      </c>
      <c r="H112" s="85"/>
    </row>
    <row r="113" spans="2:8" x14ac:dyDescent="0.35">
      <c r="B113" s="120">
        <v>46031</v>
      </c>
      <c r="C113" s="5" t="s">
        <v>115</v>
      </c>
      <c r="D113" s="113"/>
      <c r="E113" s="113">
        <v>178178.62</v>
      </c>
      <c r="F113" s="5" t="s">
        <v>119</v>
      </c>
      <c r="G113" s="5" t="s">
        <v>1666</v>
      </c>
      <c r="H113" s="85"/>
    </row>
    <row r="114" spans="2:8" x14ac:dyDescent="0.35">
      <c r="B114" s="120">
        <v>46031</v>
      </c>
      <c r="C114" s="5" t="s">
        <v>128</v>
      </c>
      <c r="D114" s="113"/>
      <c r="E114" s="113">
        <v>286177.7</v>
      </c>
      <c r="F114" s="5" t="s">
        <v>124</v>
      </c>
      <c r="G114" s="5" t="s">
        <v>1667</v>
      </c>
      <c r="H114" s="85"/>
    </row>
    <row r="115" spans="2:8" x14ac:dyDescent="0.35">
      <c r="B115" s="120">
        <v>46031</v>
      </c>
      <c r="C115" s="5" t="s">
        <v>115</v>
      </c>
      <c r="D115" s="113"/>
      <c r="E115" s="113">
        <v>380940.99</v>
      </c>
      <c r="F115" s="5" t="s">
        <v>119</v>
      </c>
      <c r="G115" s="5" t="s">
        <v>1666</v>
      </c>
      <c r="H115" s="85"/>
    </row>
    <row r="116" spans="2:8" x14ac:dyDescent="0.35">
      <c r="B116" s="120">
        <v>46031</v>
      </c>
      <c r="C116" s="5" t="s">
        <v>115</v>
      </c>
      <c r="D116" s="113"/>
      <c r="E116" s="113">
        <v>444794.24</v>
      </c>
      <c r="F116" s="5" t="s">
        <v>118</v>
      </c>
      <c r="G116" s="5" t="s">
        <v>1667</v>
      </c>
      <c r="H116" s="85"/>
    </row>
    <row r="117" spans="2:8" x14ac:dyDescent="0.35">
      <c r="B117" s="120">
        <v>46031</v>
      </c>
      <c r="C117" s="5" t="s">
        <v>115</v>
      </c>
      <c r="D117" s="113"/>
      <c r="E117" s="113">
        <v>496807.2</v>
      </c>
      <c r="F117" s="5" t="s">
        <v>127</v>
      </c>
      <c r="G117" s="5" t="s">
        <v>1667</v>
      </c>
      <c r="H117" s="85"/>
    </row>
    <row r="118" spans="2:8" x14ac:dyDescent="0.35">
      <c r="B118" s="120">
        <v>46031</v>
      </c>
      <c r="C118" s="5" t="s">
        <v>115</v>
      </c>
      <c r="D118" s="113"/>
      <c r="E118" s="113">
        <v>1142648.81</v>
      </c>
      <c r="F118" s="5" t="s">
        <v>119</v>
      </c>
      <c r="G118" s="5" t="s">
        <v>1666</v>
      </c>
      <c r="H118" s="85"/>
    </row>
    <row r="119" spans="2:8" x14ac:dyDescent="0.35">
      <c r="B119" s="120">
        <v>46031</v>
      </c>
      <c r="C119" s="5" t="s">
        <v>128</v>
      </c>
      <c r="D119" s="113"/>
      <c r="E119" s="113">
        <v>7669721.3499999996</v>
      </c>
      <c r="F119" s="5" t="s">
        <v>124</v>
      </c>
      <c r="G119" s="5" t="s">
        <v>1484</v>
      </c>
      <c r="H119" s="85"/>
    </row>
    <row r="120" spans="2:8" x14ac:dyDescent="0.35">
      <c r="B120" s="120">
        <v>46031</v>
      </c>
      <c r="C120" s="5" t="s">
        <v>150</v>
      </c>
      <c r="D120" s="113">
        <v>1595887.79</v>
      </c>
      <c r="E120" s="113"/>
      <c r="F120" s="5" t="s">
        <v>1668</v>
      </c>
      <c r="G120" s="5" t="s">
        <v>1669</v>
      </c>
      <c r="H120" s="85"/>
    </row>
    <row r="121" spans="2:8" x14ac:dyDescent="0.35">
      <c r="B121" s="120">
        <v>46034</v>
      </c>
      <c r="C121" s="5" t="s">
        <v>115</v>
      </c>
      <c r="D121" s="113"/>
      <c r="E121" s="113">
        <v>64091.09</v>
      </c>
      <c r="F121" s="5" t="s">
        <v>119</v>
      </c>
      <c r="G121" s="5" t="s">
        <v>1670</v>
      </c>
      <c r="H121" s="85"/>
    </row>
    <row r="122" spans="2:8" x14ac:dyDescent="0.35">
      <c r="B122" s="120">
        <v>46034</v>
      </c>
      <c r="C122" s="5" t="s">
        <v>128</v>
      </c>
      <c r="D122" s="113"/>
      <c r="E122" s="113">
        <v>68349.23</v>
      </c>
      <c r="F122" s="5" t="s">
        <v>124</v>
      </c>
      <c r="G122" s="5" t="s">
        <v>1671</v>
      </c>
      <c r="H122" s="85"/>
    </row>
    <row r="123" spans="2:8" x14ac:dyDescent="0.35">
      <c r="B123" s="120">
        <v>46034</v>
      </c>
      <c r="C123" s="5" t="s">
        <v>125</v>
      </c>
      <c r="D123" s="113"/>
      <c r="E123" s="113">
        <v>151646.53</v>
      </c>
      <c r="F123" s="5" t="s">
        <v>124</v>
      </c>
      <c r="G123" s="5" t="s">
        <v>1672</v>
      </c>
      <c r="H123" s="85"/>
    </row>
    <row r="124" spans="2:8" x14ac:dyDescent="0.35">
      <c r="B124" s="120">
        <v>46034</v>
      </c>
      <c r="C124" s="5" t="s">
        <v>115</v>
      </c>
      <c r="D124" s="113"/>
      <c r="E124" s="113">
        <v>162363.32999999999</v>
      </c>
      <c r="F124" s="5" t="s">
        <v>127</v>
      </c>
      <c r="G124" s="5" t="s">
        <v>1671</v>
      </c>
      <c r="H124" s="85"/>
    </row>
    <row r="125" spans="2:8" x14ac:dyDescent="0.35">
      <c r="B125" s="120">
        <v>46034</v>
      </c>
      <c r="C125" s="5" t="s">
        <v>115</v>
      </c>
      <c r="D125" s="113"/>
      <c r="E125" s="113">
        <v>290922.28000000003</v>
      </c>
      <c r="F125" s="5" t="s">
        <v>119</v>
      </c>
      <c r="G125" s="5" t="s">
        <v>1670</v>
      </c>
      <c r="H125" s="85"/>
    </row>
    <row r="126" spans="2:8" x14ac:dyDescent="0.35">
      <c r="B126" s="120">
        <v>46034</v>
      </c>
      <c r="C126" s="5" t="s">
        <v>115</v>
      </c>
      <c r="D126" s="113"/>
      <c r="E126" s="113">
        <v>590671.96</v>
      </c>
      <c r="F126" s="5" t="s">
        <v>118</v>
      </c>
      <c r="G126" s="5" t="s">
        <v>1671</v>
      </c>
      <c r="H126" s="85"/>
    </row>
    <row r="127" spans="2:8" x14ac:dyDescent="0.35">
      <c r="B127" s="120">
        <v>46034</v>
      </c>
      <c r="C127" s="5" t="s">
        <v>115</v>
      </c>
      <c r="D127" s="113"/>
      <c r="E127" s="113">
        <v>1114100</v>
      </c>
      <c r="F127" s="5" t="s">
        <v>153</v>
      </c>
      <c r="G127" s="5" t="s">
        <v>1629</v>
      </c>
      <c r="H127" s="85"/>
    </row>
    <row r="128" spans="2:8" x14ac:dyDescent="0.35">
      <c r="B128" s="120">
        <v>46034</v>
      </c>
      <c r="C128" s="5" t="s">
        <v>115</v>
      </c>
      <c r="D128" s="113"/>
      <c r="E128" s="113">
        <v>2546454.9</v>
      </c>
      <c r="F128" s="5" t="s">
        <v>119</v>
      </c>
      <c r="G128" s="5" t="s">
        <v>1670</v>
      </c>
      <c r="H128" s="85"/>
    </row>
    <row r="129" spans="2:8" x14ac:dyDescent="0.35">
      <c r="B129" s="120">
        <v>46034</v>
      </c>
      <c r="C129" s="5" t="s">
        <v>128</v>
      </c>
      <c r="D129" s="113"/>
      <c r="E129" s="113">
        <v>9086351.4399999995</v>
      </c>
      <c r="F129" s="5" t="s">
        <v>124</v>
      </c>
      <c r="G129" s="5" t="s">
        <v>1733</v>
      </c>
      <c r="H129" s="85"/>
    </row>
    <row r="130" spans="2:8" x14ac:dyDescent="0.35">
      <c r="B130" s="120">
        <v>46035</v>
      </c>
      <c r="C130" s="5" t="s">
        <v>115</v>
      </c>
      <c r="D130" s="113"/>
      <c r="E130" s="113">
        <v>50885.81</v>
      </c>
      <c r="F130" s="5" t="s">
        <v>119</v>
      </c>
      <c r="G130" s="5" t="s">
        <v>1673</v>
      </c>
      <c r="H130" s="85"/>
    </row>
    <row r="131" spans="2:8" x14ac:dyDescent="0.35">
      <c r="B131" s="120">
        <v>46035</v>
      </c>
      <c r="C131" s="5" t="s">
        <v>128</v>
      </c>
      <c r="D131" s="113"/>
      <c r="E131" s="113">
        <v>230373.9</v>
      </c>
      <c r="F131" s="5" t="s">
        <v>124</v>
      </c>
      <c r="G131" s="5" t="s">
        <v>1674</v>
      </c>
      <c r="H131" s="85"/>
    </row>
    <row r="132" spans="2:8" x14ac:dyDescent="0.35">
      <c r="B132" s="120">
        <v>46035</v>
      </c>
      <c r="C132" s="5" t="s">
        <v>125</v>
      </c>
      <c r="D132" s="113"/>
      <c r="E132" s="113">
        <v>589058</v>
      </c>
      <c r="F132" s="5" t="s">
        <v>124</v>
      </c>
      <c r="G132" s="5" t="s">
        <v>1675</v>
      </c>
      <c r="H132" s="85"/>
    </row>
    <row r="133" spans="2:8" x14ac:dyDescent="0.35">
      <c r="B133" s="120">
        <v>46035</v>
      </c>
      <c r="C133" s="5" t="s">
        <v>115</v>
      </c>
      <c r="D133" s="113"/>
      <c r="E133" s="113">
        <v>694970.98</v>
      </c>
      <c r="F133" s="5" t="s">
        <v>119</v>
      </c>
      <c r="G133" s="5" t="s">
        <v>1673</v>
      </c>
      <c r="H133" s="85"/>
    </row>
    <row r="134" spans="2:8" x14ac:dyDescent="0.35">
      <c r="B134" s="120">
        <v>46035</v>
      </c>
      <c r="C134" s="5" t="s">
        <v>115</v>
      </c>
      <c r="D134" s="113"/>
      <c r="E134" s="113">
        <v>1380613.01</v>
      </c>
      <c r="F134" s="5" t="s">
        <v>119</v>
      </c>
      <c r="G134" s="5" t="s">
        <v>1673</v>
      </c>
      <c r="H134" s="85"/>
    </row>
    <row r="135" spans="2:8" x14ac:dyDescent="0.35">
      <c r="B135" s="120">
        <v>46035</v>
      </c>
      <c r="C135" s="5" t="s">
        <v>115</v>
      </c>
      <c r="D135" s="113"/>
      <c r="E135" s="113">
        <v>1541528.24</v>
      </c>
      <c r="F135" s="5" t="s">
        <v>127</v>
      </c>
      <c r="G135" s="5" t="s">
        <v>1674</v>
      </c>
      <c r="H135" s="85"/>
    </row>
    <row r="136" spans="2:8" x14ac:dyDescent="0.35">
      <c r="B136" s="120">
        <v>46035</v>
      </c>
      <c r="C136" s="5" t="s">
        <v>121</v>
      </c>
      <c r="D136" s="113"/>
      <c r="E136" s="113">
        <v>10085292.74</v>
      </c>
      <c r="F136" s="5" t="s">
        <v>1676</v>
      </c>
      <c r="G136" s="5" t="s">
        <v>1729</v>
      </c>
      <c r="H136" s="85"/>
    </row>
    <row r="137" spans="2:8" x14ac:dyDescent="0.35">
      <c r="B137" s="120">
        <v>46035</v>
      </c>
      <c r="C137" s="5" t="s">
        <v>128</v>
      </c>
      <c r="D137" s="113"/>
      <c r="E137" s="113">
        <v>14142003.140000001</v>
      </c>
      <c r="F137" s="5" t="s">
        <v>124</v>
      </c>
      <c r="G137" s="5" t="s">
        <v>1734</v>
      </c>
      <c r="H137" s="85"/>
    </row>
    <row r="138" spans="2:8" x14ac:dyDescent="0.35">
      <c r="B138" s="120">
        <v>46036</v>
      </c>
      <c r="C138" s="5" t="s">
        <v>115</v>
      </c>
      <c r="D138" s="113"/>
      <c r="E138" s="113">
        <v>55503.81</v>
      </c>
      <c r="F138" s="5" t="s">
        <v>119</v>
      </c>
      <c r="G138" s="5" t="s">
        <v>1677</v>
      </c>
      <c r="H138" s="85"/>
    </row>
    <row r="139" spans="2:8" x14ac:dyDescent="0.35">
      <c r="B139" s="120">
        <v>46036</v>
      </c>
      <c r="C139" s="5" t="s">
        <v>115</v>
      </c>
      <c r="D139" s="113"/>
      <c r="E139" s="113">
        <v>253896.28</v>
      </c>
      <c r="F139" s="5" t="s">
        <v>155</v>
      </c>
      <c r="G139" s="5" t="s">
        <v>1630</v>
      </c>
      <c r="H139" s="85"/>
    </row>
    <row r="140" spans="2:8" x14ac:dyDescent="0.35">
      <c r="B140" s="120">
        <v>46036</v>
      </c>
      <c r="C140" s="5" t="s">
        <v>125</v>
      </c>
      <c r="D140" s="113"/>
      <c r="E140" s="113">
        <v>260514.24</v>
      </c>
      <c r="F140" s="5" t="s">
        <v>124</v>
      </c>
      <c r="G140" s="5" t="s">
        <v>1678</v>
      </c>
      <c r="H140" s="85"/>
    </row>
    <row r="141" spans="2:8" x14ac:dyDescent="0.35">
      <c r="B141" s="120">
        <v>46036</v>
      </c>
      <c r="C141" s="5" t="s">
        <v>128</v>
      </c>
      <c r="D141" s="113"/>
      <c r="E141" s="113">
        <v>316805.84999999998</v>
      </c>
      <c r="F141" s="5" t="s">
        <v>124</v>
      </c>
      <c r="G141" s="5" t="s">
        <v>1680</v>
      </c>
      <c r="H141" s="85"/>
    </row>
    <row r="142" spans="2:8" x14ac:dyDescent="0.35">
      <c r="B142" s="120">
        <v>46036</v>
      </c>
      <c r="C142" s="5" t="s">
        <v>115</v>
      </c>
      <c r="D142" s="113"/>
      <c r="E142" s="113">
        <v>320175.42</v>
      </c>
      <c r="F142" s="5" t="s">
        <v>118</v>
      </c>
      <c r="G142" s="5" t="s">
        <v>1680</v>
      </c>
      <c r="H142" s="85"/>
    </row>
    <row r="143" spans="2:8" x14ac:dyDescent="0.35">
      <c r="B143" s="120">
        <v>46036</v>
      </c>
      <c r="C143" s="5" t="s">
        <v>115</v>
      </c>
      <c r="D143" s="113"/>
      <c r="E143" s="113">
        <v>681515.11</v>
      </c>
      <c r="F143" s="5" t="s">
        <v>119</v>
      </c>
      <c r="G143" s="5" t="s">
        <v>1677</v>
      </c>
      <c r="H143" s="85"/>
    </row>
    <row r="144" spans="2:8" x14ac:dyDescent="0.35">
      <c r="B144" s="120">
        <v>46036</v>
      </c>
      <c r="C144" s="5" t="s">
        <v>115</v>
      </c>
      <c r="D144" s="113"/>
      <c r="E144" s="113">
        <v>1378389.24</v>
      </c>
      <c r="F144" s="5" t="s">
        <v>127</v>
      </c>
      <c r="G144" s="5" t="s">
        <v>1680</v>
      </c>
      <c r="H144" s="85"/>
    </row>
    <row r="145" spans="2:8" x14ac:dyDescent="0.35">
      <c r="B145" s="120">
        <v>46036</v>
      </c>
      <c r="C145" s="5" t="s">
        <v>115</v>
      </c>
      <c r="D145" s="113"/>
      <c r="E145" s="113">
        <v>2114336.21</v>
      </c>
      <c r="F145" s="5" t="s">
        <v>119</v>
      </c>
      <c r="G145" s="5" t="s">
        <v>1677</v>
      </c>
      <c r="H145" s="85"/>
    </row>
    <row r="146" spans="2:8" x14ac:dyDescent="0.35">
      <c r="B146" s="120">
        <v>46036</v>
      </c>
      <c r="C146" s="5" t="s">
        <v>128</v>
      </c>
      <c r="D146" s="113"/>
      <c r="E146" s="113">
        <v>10240691.9</v>
      </c>
      <c r="F146" s="5" t="s">
        <v>124</v>
      </c>
      <c r="G146" s="5" t="s">
        <v>1486</v>
      </c>
      <c r="H146" s="85"/>
    </row>
    <row r="147" spans="2:8" x14ac:dyDescent="0.35">
      <c r="B147" s="120">
        <v>46037</v>
      </c>
      <c r="C147" s="5" t="s">
        <v>115</v>
      </c>
      <c r="D147" s="113"/>
      <c r="E147" s="113">
        <v>110004.09</v>
      </c>
      <c r="F147" s="5" t="s">
        <v>119</v>
      </c>
      <c r="G147" s="5" t="s">
        <v>1681</v>
      </c>
      <c r="H147" s="85"/>
    </row>
    <row r="148" spans="2:8" x14ac:dyDescent="0.35">
      <c r="B148" s="120">
        <v>46037</v>
      </c>
      <c r="C148" s="5" t="s">
        <v>115</v>
      </c>
      <c r="D148" s="113"/>
      <c r="E148" s="113">
        <v>129265.03</v>
      </c>
      <c r="F148" s="5" t="s">
        <v>156</v>
      </c>
      <c r="G148" s="190" t="s">
        <v>1626</v>
      </c>
      <c r="H148" s="85"/>
    </row>
    <row r="149" spans="2:8" x14ac:dyDescent="0.35">
      <c r="B149" s="120">
        <v>46037</v>
      </c>
      <c r="C149" s="5" t="s">
        <v>115</v>
      </c>
      <c r="D149" s="113"/>
      <c r="E149" s="113">
        <v>129932.31</v>
      </c>
      <c r="F149" s="5" t="s">
        <v>157</v>
      </c>
      <c r="G149" s="5" t="s">
        <v>1737</v>
      </c>
      <c r="H149" s="85"/>
    </row>
    <row r="150" spans="2:8" x14ac:dyDescent="0.35">
      <c r="B150" s="120">
        <v>46037</v>
      </c>
      <c r="C150" s="5" t="s">
        <v>115</v>
      </c>
      <c r="D150" s="113"/>
      <c r="E150" s="113">
        <v>173369.62</v>
      </c>
      <c r="F150" s="5" t="s">
        <v>118</v>
      </c>
      <c r="G150" s="5" t="s">
        <v>1682</v>
      </c>
      <c r="H150" s="85"/>
    </row>
    <row r="151" spans="2:8" x14ac:dyDescent="0.35">
      <c r="B151" s="120">
        <v>46037</v>
      </c>
      <c r="C151" s="5" t="s">
        <v>128</v>
      </c>
      <c r="D151" s="113"/>
      <c r="E151" s="113">
        <v>250039.24</v>
      </c>
      <c r="F151" s="5" t="s">
        <v>124</v>
      </c>
      <c r="G151" s="5" t="s">
        <v>1682</v>
      </c>
      <c r="H151" s="85"/>
    </row>
    <row r="152" spans="2:8" x14ac:dyDescent="0.35">
      <c r="B152" s="120">
        <v>46037</v>
      </c>
      <c r="C152" s="5" t="s">
        <v>115</v>
      </c>
      <c r="D152" s="113"/>
      <c r="E152" s="113">
        <v>619990.51</v>
      </c>
      <c r="F152" s="5" t="s">
        <v>119</v>
      </c>
      <c r="G152" s="5" t="s">
        <v>1681</v>
      </c>
      <c r="H152" s="85"/>
    </row>
    <row r="153" spans="2:8" x14ac:dyDescent="0.35">
      <c r="B153" s="120">
        <v>46037</v>
      </c>
      <c r="C153" s="5" t="s">
        <v>125</v>
      </c>
      <c r="D153" s="113"/>
      <c r="E153" s="113">
        <v>1457730.68</v>
      </c>
      <c r="F153" s="5" t="s">
        <v>124</v>
      </c>
      <c r="G153" s="5" t="s">
        <v>1683</v>
      </c>
      <c r="H153" s="85"/>
    </row>
    <row r="154" spans="2:8" x14ac:dyDescent="0.35">
      <c r="B154" s="120">
        <v>46037</v>
      </c>
      <c r="C154" s="5" t="s">
        <v>115</v>
      </c>
      <c r="D154" s="113"/>
      <c r="E154" s="113">
        <v>1617036.62</v>
      </c>
      <c r="F154" s="5" t="s">
        <v>127</v>
      </c>
      <c r="G154" s="5" t="s">
        <v>1682</v>
      </c>
      <c r="H154" s="85"/>
    </row>
    <row r="155" spans="2:8" x14ac:dyDescent="0.35">
      <c r="B155" s="120">
        <v>46037</v>
      </c>
      <c r="C155" s="5" t="s">
        <v>158</v>
      </c>
      <c r="D155" s="113"/>
      <c r="E155" s="113">
        <v>2307872.5699999998</v>
      </c>
      <c r="F155" s="5" t="s">
        <v>1516</v>
      </c>
      <c r="G155" s="5" t="s">
        <v>1737</v>
      </c>
      <c r="H155" s="85"/>
    </row>
    <row r="156" spans="2:8" x14ac:dyDescent="0.35">
      <c r="B156" s="120">
        <v>46037</v>
      </c>
      <c r="C156" s="5" t="s">
        <v>115</v>
      </c>
      <c r="D156" s="113"/>
      <c r="E156" s="113">
        <v>5372013.6799999997</v>
      </c>
      <c r="F156" s="5" t="s">
        <v>119</v>
      </c>
      <c r="G156" s="5" t="s">
        <v>1681</v>
      </c>
      <c r="H156" s="85"/>
    </row>
    <row r="157" spans="2:8" x14ac:dyDescent="0.35">
      <c r="B157" s="120">
        <v>46037</v>
      </c>
      <c r="C157" s="5" t="s">
        <v>128</v>
      </c>
      <c r="D157" s="113"/>
      <c r="E157" s="113">
        <v>13881286.609999999</v>
      </c>
      <c r="F157" s="5" t="s">
        <v>124</v>
      </c>
      <c r="G157" s="5" t="s">
        <v>1487</v>
      </c>
      <c r="H157" s="85"/>
    </row>
    <row r="158" spans="2:8" x14ac:dyDescent="0.35">
      <c r="B158" s="120">
        <v>46038</v>
      </c>
      <c r="C158" s="5" t="s">
        <v>115</v>
      </c>
      <c r="D158" s="113"/>
      <c r="E158" s="113">
        <v>255849.94</v>
      </c>
      <c r="F158" s="5" t="s">
        <v>119</v>
      </c>
      <c r="G158" s="5" t="s">
        <v>1684</v>
      </c>
      <c r="H158" s="85"/>
    </row>
    <row r="159" spans="2:8" x14ac:dyDescent="0.35">
      <c r="B159" s="120">
        <v>46038</v>
      </c>
      <c r="C159" s="5" t="s">
        <v>160</v>
      </c>
      <c r="D159" s="113"/>
      <c r="E159" s="113">
        <v>267749.69</v>
      </c>
      <c r="F159" s="5" t="s">
        <v>124</v>
      </c>
      <c r="G159" s="5" t="s">
        <v>1631</v>
      </c>
      <c r="H159" s="85"/>
    </row>
    <row r="160" spans="2:8" x14ac:dyDescent="0.35">
      <c r="B160" s="120">
        <v>46038</v>
      </c>
      <c r="C160" s="5" t="s">
        <v>115</v>
      </c>
      <c r="D160" s="113"/>
      <c r="E160" s="113">
        <v>436705.96</v>
      </c>
      <c r="F160" s="5" t="s">
        <v>118</v>
      </c>
      <c r="G160" s="5" t="s">
        <v>1685</v>
      </c>
      <c r="H160" s="85"/>
    </row>
    <row r="161" spans="2:8" x14ac:dyDescent="0.35">
      <c r="B161" s="120">
        <v>46038</v>
      </c>
      <c r="C161" s="5" t="s">
        <v>115</v>
      </c>
      <c r="D161" s="113"/>
      <c r="E161" s="113">
        <v>521076.26</v>
      </c>
      <c r="F161" s="5" t="s">
        <v>119</v>
      </c>
      <c r="G161" s="5" t="s">
        <v>1684</v>
      </c>
      <c r="H161" s="85"/>
    </row>
    <row r="162" spans="2:8" x14ac:dyDescent="0.35">
      <c r="B162" s="120">
        <v>46038</v>
      </c>
      <c r="C162" s="5" t="s">
        <v>128</v>
      </c>
      <c r="D162" s="113"/>
      <c r="E162" s="113">
        <v>1133336.21</v>
      </c>
      <c r="F162" s="5" t="s">
        <v>124</v>
      </c>
      <c r="G162" s="5" t="s">
        <v>1685</v>
      </c>
      <c r="H162" s="85"/>
    </row>
    <row r="163" spans="2:8" x14ac:dyDescent="0.35">
      <c r="B163" s="120">
        <v>46038</v>
      </c>
      <c r="C163" s="5" t="s">
        <v>115</v>
      </c>
      <c r="D163" s="113"/>
      <c r="E163" s="113">
        <v>1758877.28</v>
      </c>
      <c r="F163" s="5" t="s">
        <v>127</v>
      </c>
      <c r="G163" s="5" t="s">
        <v>1685</v>
      </c>
      <c r="H163" s="85"/>
    </row>
    <row r="164" spans="2:8" x14ac:dyDescent="0.35">
      <c r="B164" s="120">
        <v>46038</v>
      </c>
      <c r="C164" s="5" t="s">
        <v>115</v>
      </c>
      <c r="D164" s="113"/>
      <c r="E164" s="113">
        <v>3934290.4</v>
      </c>
      <c r="F164" s="5" t="s">
        <v>119</v>
      </c>
      <c r="G164" s="5" t="s">
        <v>1684</v>
      </c>
      <c r="H164" s="85"/>
    </row>
    <row r="165" spans="2:8" x14ac:dyDescent="0.35">
      <c r="B165" s="120">
        <v>46038</v>
      </c>
      <c r="C165" s="5" t="s">
        <v>125</v>
      </c>
      <c r="D165" s="113"/>
      <c r="E165" s="113">
        <v>12691058.960000001</v>
      </c>
      <c r="F165" s="5" t="s">
        <v>124</v>
      </c>
      <c r="G165" s="5" t="s">
        <v>1686</v>
      </c>
      <c r="H165" s="85"/>
    </row>
    <row r="166" spans="2:8" x14ac:dyDescent="0.35">
      <c r="B166" s="120">
        <v>46041</v>
      </c>
      <c r="C166" s="5" t="s">
        <v>121</v>
      </c>
      <c r="D166" s="113"/>
      <c r="E166" s="113">
        <v>77244.960000000006</v>
      </c>
      <c r="F166" s="5" t="s">
        <v>124</v>
      </c>
      <c r="G166" s="5" t="s">
        <v>1488</v>
      </c>
      <c r="H166" s="85"/>
    </row>
    <row r="167" spans="2:8" x14ac:dyDescent="0.35">
      <c r="B167" s="120">
        <v>46041</v>
      </c>
      <c r="C167" s="5" t="s">
        <v>128</v>
      </c>
      <c r="D167" s="113"/>
      <c r="E167" s="113">
        <v>111716.92</v>
      </c>
      <c r="F167" s="5" t="s">
        <v>124</v>
      </c>
      <c r="G167" s="5" t="s">
        <v>1489</v>
      </c>
      <c r="H167" s="85"/>
    </row>
    <row r="168" spans="2:8" x14ac:dyDescent="0.35">
      <c r="B168" s="120">
        <v>46041</v>
      </c>
      <c r="C168" s="5" t="s">
        <v>115</v>
      </c>
      <c r="D168" s="113"/>
      <c r="E168" s="113">
        <v>189548.39</v>
      </c>
      <c r="F168" s="5" t="s">
        <v>144</v>
      </c>
      <c r="G168" s="5" t="s">
        <v>1632</v>
      </c>
      <c r="H168" s="85"/>
    </row>
    <row r="169" spans="2:8" x14ac:dyDescent="0.35">
      <c r="B169" s="120">
        <v>46041</v>
      </c>
      <c r="C169" s="5" t="s">
        <v>115</v>
      </c>
      <c r="D169" s="113"/>
      <c r="E169" s="113">
        <v>359255.83</v>
      </c>
      <c r="F169" s="5" t="s">
        <v>119</v>
      </c>
      <c r="G169" s="5" t="s">
        <v>1688</v>
      </c>
      <c r="H169" s="85"/>
    </row>
    <row r="170" spans="2:8" x14ac:dyDescent="0.35">
      <c r="B170" s="120">
        <v>46041</v>
      </c>
      <c r="C170" s="5" t="s">
        <v>115</v>
      </c>
      <c r="D170" s="113"/>
      <c r="E170" s="113">
        <v>600638.02</v>
      </c>
      <c r="F170" s="5" t="s">
        <v>119</v>
      </c>
      <c r="G170" s="5" t="s">
        <v>1688</v>
      </c>
      <c r="H170" s="85"/>
    </row>
    <row r="171" spans="2:8" x14ac:dyDescent="0.35">
      <c r="B171" s="120">
        <v>46041</v>
      </c>
      <c r="C171" s="5" t="s">
        <v>115</v>
      </c>
      <c r="D171" s="113"/>
      <c r="E171" s="113">
        <v>1791821.56</v>
      </c>
      <c r="F171" s="5" t="s">
        <v>118</v>
      </c>
      <c r="G171" s="5" t="s">
        <v>1689</v>
      </c>
      <c r="H171" s="85"/>
    </row>
    <row r="172" spans="2:8" x14ac:dyDescent="0.35">
      <c r="B172" s="120">
        <v>46041</v>
      </c>
      <c r="C172" s="5" t="s">
        <v>125</v>
      </c>
      <c r="D172" s="113"/>
      <c r="E172" s="113">
        <v>1874667.78</v>
      </c>
      <c r="F172" s="5" t="s">
        <v>124</v>
      </c>
      <c r="G172" s="5" t="s">
        <v>1687</v>
      </c>
      <c r="H172" s="85"/>
    </row>
    <row r="173" spans="2:8" x14ac:dyDescent="0.35">
      <c r="B173" s="120">
        <v>46041</v>
      </c>
      <c r="C173" s="5" t="s">
        <v>115</v>
      </c>
      <c r="D173" s="113"/>
      <c r="E173" s="113">
        <v>3206991</v>
      </c>
      <c r="F173" s="5" t="s">
        <v>119</v>
      </c>
      <c r="G173" s="5" t="s">
        <v>1688</v>
      </c>
      <c r="H173" s="85"/>
    </row>
    <row r="174" spans="2:8" x14ac:dyDescent="0.35">
      <c r="B174" s="120">
        <v>46041</v>
      </c>
      <c r="C174" s="5" t="s">
        <v>128</v>
      </c>
      <c r="D174" s="113"/>
      <c r="E174" s="113">
        <v>4190477.63</v>
      </c>
      <c r="F174" s="5" t="s">
        <v>124</v>
      </c>
      <c r="G174" s="5" t="s">
        <v>1689</v>
      </c>
      <c r="H174" s="85"/>
    </row>
    <row r="175" spans="2:8" x14ac:dyDescent="0.35">
      <c r="B175" s="120">
        <v>46041</v>
      </c>
      <c r="C175" s="5" t="s">
        <v>115</v>
      </c>
      <c r="D175" s="113"/>
      <c r="E175" s="113">
        <v>5064343.25</v>
      </c>
      <c r="F175" s="5" t="s">
        <v>127</v>
      </c>
      <c r="G175" s="5" t="s">
        <v>1689</v>
      </c>
      <c r="H175" s="85"/>
    </row>
    <row r="176" spans="2:8" x14ac:dyDescent="0.35">
      <c r="B176" s="120">
        <v>46041</v>
      </c>
      <c r="C176" s="5" t="s">
        <v>121</v>
      </c>
      <c r="D176" s="113"/>
      <c r="E176" s="113">
        <v>13452587.859999999</v>
      </c>
      <c r="F176" s="5" t="s">
        <v>1690</v>
      </c>
      <c r="G176" s="5" t="s">
        <v>1730</v>
      </c>
      <c r="H176" s="85"/>
    </row>
    <row r="177" spans="2:8" x14ac:dyDescent="0.35">
      <c r="B177" s="120">
        <v>46041</v>
      </c>
      <c r="C177" s="5" t="s">
        <v>115</v>
      </c>
      <c r="D177" s="113">
        <v>357683</v>
      </c>
      <c r="E177" s="113"/>
      <c r="F177" s="5" t="s">
        <v>153</v>
      </c>
      <c r="G177" s="189" t="s">
        <v>1691</v>
      </c>
      <c r="H177" s="85"/>
    </row>
    <row r="178" spans="2:8" x14ac:dyDescent="0.35">
      <c r="B178" s="120">
        <v>46041</v>
      </c>
      <c r="C178" s="5" t="s">
        <v>115</v>
      </c>
      <c r="D178" s="113">
        <v>214391</v>
      </c>
      <c r="E178" s="113"/>
      <c r="F178" s="5" t="s">
        <v>153</v>
      </c>
      <c r="G178" s="189" t="s">
        <v>1691</v>
      </c>
      <c r="H178" s="85"/>
    </row>
    <row r="179" spans="2:8" x14ac:dyDescent="0.35">
      <c r="B179" s="120">
        <v>46041</v>
      </c>
      <c r="C179" s="5" t="s">
        <v>115</v>
      </c>
      <c r="D179" s="113">
        <v>214391</v>
      </c>
      <c r="E179" s="113"/>
      <c r="F179" s="5" t="s">
        <v>153</v>
      </c>
      <c r="G179" s="189" t="s">
        <v>1691</v>
      </c>
      <c r="H179" s="85"/>
    </row>
    <row r="180" spans="2:8" x14ac:dyDescent="0.35">
      <c r="B180" s="120">
        <v>46041</v>
      </c>
      <c r="C180" s="5" t="s">
        <v>115</v>
      </c>
      <c r="D180" s="113">
        <v>35744.769999999997</v>
      </c>
      <c r="E180" s="113"/>
      <c r="F180" s="5" t="s">
        <v>1536</v>
      </c>
      <c r="G180" s="5" t="s">
        <v>1691</v>
      </c>
      <c r="H180" s="85"/>
    </row>
    <row r="181" spans="2:8" x14ac:dyDescent="0.35">
      <c r="B181" s="120">
        <v>46041</v>
      </c>
      <c r="C181" s="5" t="s">
        <v>115</v>
      </c>
      <c r="D181" s="113">
        <v>11361</v>
      </c>
      <c r="E181" s="113"/>
      <c r="F181" s="5" t="s">
        <v>153</v>
      </c>
      <c r="G181" s="189" t="s">
        <v>1691</v>
      </c>
      <c r="H181" s="85"/>
    </row>
    <row r="182" spans="2:8" x14ac:dyDescent="0.35">
      <c r="B182" s="120">
        <v>46041</v>
      </c>
      <c r="C182" s="5" t="s">
        <v>115</v>
      </c>
      <c r="D182" s="113">
        <v>11361</v>
      </c>
      <c r="E182" s="113"/>
      <c r="F182" s="5" t="s">
        <v>153</v>
      </c>
      <c r="G182" s="189" t="s">
        <v>1691</v>
      </c>
      <c r="H182" s="85"/>
    </row>
    <row r="183" spans="2:8" x14ac:dyDescent="0.35">
      <c r="B183" s="120">
        <v>46041</v>
      </c>
      <c r="C183" s="5" t="s">
        <v>115</v>
      </c>
      <c r="D183" s="113">
        <v>6022.98</v>
      </c>
      <c r="E183" s="113"/>
      <c r="F183" s="5" t="s">
        <v>1536</v>
      </c>
      <c r="G183" s="5" t="s">
        <v>1691</v>
      </c>
      <c r="H183" s="85"/>
    </row>
    <row r="184" spans="2:8" x14ac:dyDescent="0.35">
      <c r="B184" s="120">
        <v>46042</v>
      </c>
      <c r="C184" s="5" t="s">
        <v>128</v>
      </c>
      <c r="D184" s="113"/>
      <c r="E184" s="113">
        <v>87334.99</v>
      </c>
      <c r="F184" s="5" t="s">
        <v>124</v>
      </c>
      <c r="G184" s="5" t="s">
        <v>1692</v>
      </c>
      <c r="H184" s="85"/>
    </row>
    <row r="185" spans="2:8" x14ac:dyDescent="0.35">
      <c r="B185" s="120">
        <v>46042</v>
      </c>
      <c r="C185" s="5" t="s">
        <v>115</v>
      </c>
      <c r="D185" s="113"/>
      <c r="E185" s="113">
        <v>313497.43</v>
      </c>
      <c r="F185" s="5" t="s">
        <v>118</v>
      </c>
      <c r="G185" s="5" t="s">
        <v>1692</v>
      </c>
      <c r="H185" s="85"/>
    </row>
    <row r="186" spans="2:8" x14ac:dyDescent="0.35">
      <c r="B186" s="120">
        <v>46042</v>
      </c>
      <c r="C186" s="5" t="s">
        <v>115</v>
      </c>
      <c r="D186" s="113"/>
      <c r="E186" s="113">
        <v>338580.18</v>
      </c>
      <c r="F186" s="5" t="s">
        <v>119</v>
      </c>
      <c r="G186" s="5" t="s">
        <v>1693</v>
      </c>
      <c r="H186" s="85"/>
    </row>
    <row r="187" spans="2:8" x14ac:dyDescent="0.35">
      <c r="B187" s="120">
        <v>46042</v>
      </c>
      <c r="C187" s="5" t="s">
        <v>115</v>
      </c>
      <c r="D187" s="113"/>
      <c r="E187" s="113">
        <v>514796.34</v>
      </c>
      <c r="F187" s="5" t="s">
        <v>127</v>
      </c>
      <c r="G187" s="5" t="s">
        <v>1692</v>
      </c>
      <c r="H187" s="85"/>
    </row>
    <row r="188" spans="2:8" x14ac:dyDescent="0.35">
      <c r="B188" s="120">
        <v>46042</v>
      </c>
      <c r="C188" s="5" t="s">
        <v>115</v>
      </c>
      <c r="D188" s="113"/>
      <c r="E188" s="113">
        <v>894888.18</v>
      </c>
      <c r="F188" s="5" t="s">
        <v>119</v>
      </c>
      <c r="G188" s="5" t="s">
        <v>1693</v>
      </c>
      <c r="H188" s="85"/>
    </row>
    <row r="189" spans="2:8" x14ac:dyDescent="0.35">
      <c r="B189" s="120">
        <v>46042</v>
      </c>
      <c r="C189" s="5" t="s">
        <v>125</v>
      </c>
      <c r="D189" s="113"/>
      <c r="E189" s="113">
        <v>8648295.7300000004</v>
      </c>
      <c r="F189" s="5" t="s">
        <v>124</v>
      </c>
      <c r="G189" s="5" t="s">
        <v>1694</v>
      </c>
      <c r="H189" s="85"/>
    </row>
    <row r="190" spans="2:8" x14ac:dyDescent="0.35">
      <c r="B190" s="120">
        <v>46042</v>
      </c>
      <c r="C190" s="5" t="s">
        <v>160</v>
      </c>
      <c r="D190" s="113"/>
      <c r="E190" s="113">
        <v>8952140</v>
      </c>
      <c r="F190" s="5" t="s">
        <v>124</v>
      </c>
      <c r="G190" s="5" t="s">
        <v>1633</v>
      </c>
      <c r="H190" s="85"/>
    </row>
    <row r="191" spans="2:8" x14ac:dyDescent="0.35">
      <c r="B191" s="120">
        <v>46042</v>
      </c>
      <c r="C191" s="5" t="s">
        <v>115</v>
      </c>
      <c r="D191" s="113"/>
      <c r="E191" s="113">
        <v>9323338.9499999993</v>
      </c>
      <c r="F191" s="5" t="s">
        <v>119</v>
      </c>
      <c r="G191" s="5" t="s">
        <v>1693</v>
      </c>
      <c r="H191" s="85"/>
    </row>
    <row r="192" spans="2:8" x14ac:dyDescent="0.35">
      <c r="B192" s="120">
        <v>46042</v>
      </c>
      <c r="C192" s="5" t="s">
        <v>162</v>
      </c>
      <c r="D192" s="113"/>
      <c r="E192" s="113">
        <v>26536941.649999999</v>
      </c>
      <c r="F192" s="5" t="s">
        <v>124</v>
      </c>
      <c r="G192" s="5" t="s">
        <v>1633</v>
      </c>
      <c r="H192" s="85"/>
    </row>
    <row r="193" spans="2:8" x14ac:dyDescent="0.35">
      <c r="B193" s="120">
        <v>46042</v>
      </c>
      <c r="C193" s="5" t="s">
        <v>164</v>
      </c>
      <c r="D193" s="113">
        <v>6023857</v>
      </c>
      <c r="E193" s="113"/>
      <c r="F193" s="5" t="s">
        <v>153</v>
      </c>
      <c r="G193" s="189" t="s">
        <v>1691</v>
      </c>
      <c r="H193" s="85"/>
    </row>
    <row r="194" spans="2:8" x14ac:dyDescent="0.35">
      <c r="B194" s="120">
        <v>46042</v>
      </c>
      <c r="C194" s="5" t="s">
        <v>115</v>
      </c>
      <c r="D194" s="113">
        <v>32517.5</v>
      </c>
      <c r="E194" s="113"/>
      <c r="F194" s="5" t="s">
        <v>1536</v>
      </c>
      <c r="G194" s="5" t="s">
        <v>1534</v>
      </c>
      <c r="H194" s="85"/>
    </row>
    <row r="195" spans="2:8" x14ac:dyDescent="0.35">
      <c r="B195" s="120">
        <v>46042</v>
      </c>
      <c r="C195" s="5" t="s">
        <v>115</v>
      </c>
      <c r="D195" s="113">
        <v>31836.560000000001</v>
      </c>
      <c r="E195" s="113"/>
      <c r="F195" s="189" t="s">
        <v>1536</v>
      </c>
      <c r="G195" s="5" t="s">
        <v>1534</v>
      </c>
      <c r="H195" s="85"/>
    </row>
    <row r="196" spans="2:8" x14ac:dyDescent="0.35">
      <c r="B196" s="120">
        <v>46042</v>
      </c>
      <c r="C196" s="5" t="s">
        <v>115</v>
      </c>
      <c r="D196" s="113">
        <v>18247.11</v>
      </c>
      <c r="E196" s="113"/>
      <c r="F196" s="5" t="s">
        <v>1696</v>
      </c>
      <c r="G196" s="5" t="s">
        <v>1697</v>
      </c>
      <c r="H196" s="85"/>
    </row>
    <row r="197" spans="2:8" x14ac:dyDescent="0.35">
      <c r="B197" s="120">
        <v>46043</v>
      </c>
      <c r="C197" s="5" t="s">
        <v>128</v>
      </c>
      <c r="D197" s="113"/>
      <c r="E197" s="113">
        <v>39000</v>
      </c>
      <c r="F197" s="5" t="s">
        <v>124</v>
      </c>
      <c r="G197" s="5" t="s">
        <v>1634</v>
      </c>
      <c r="H197" s="85"/>
    </row>
    <row r="198" spans="2:8" x14ac:dyDescent="0.35">
      <c r="B198" s="120">
        <v>46043</v>
      </c>
      <c r="C198" s="5" t="s">
        <v>115</v>
      </c>
      <c r="D198" s="113"/>
      <c r="E198" s="113">
        <v>580731.71</v>
      </c>
      <c r="F198" s="5" t="s">
        <v>118</v>
      </c>
      <c r="G198" s="5" t="s">
        <v>1698</v>
      </c>
      <c r="H198" s="85"/>
    </row>
    <row r="199" spans="2:8" x14ac:dyDescent="0.35">
      <c r="B199" s="120">
        <v>46043</v>
      </c>
      <c r="C199" s="5" t="s">
        <v>115</v>
      </c>
      <c r="D199" s="113"/>
      <c r="E199" s="113">
        <v>665889</v>
      </c>
      <c r="F199" s="5" t="s">
        <v>119</v>
      </c>
      <c r="G199" s="5" t="s">
        <v>1699</v>
      </c>
      <c r="H199" s="85"/>
    </row>
    <row r="200" spans="2:8" x14ac:dyDescent="0.35">
      <c r="B200" s="120">
        <v>46043</v>
      </c>
      <c r="C200" s="5" t="s">
        <v>115</v>
      </c>
      <c r="D200" s="113"/>
      <c r="E200" s="113">
        <v>1371510.96</v>
      </c>
      <c r="F200" s="5" t="s">
        <v>166</v>
      </c>
      <c r="G200" s="5" t="s">
        <v>1635</v>
      </c>
      <c r="H200" s="85"/>
    </row>
    <row r="201" spans="2:8" x14ac:dyDescent="0.35">
      <c r="B201" s="120">
        <v>46043</v>
      </c>
      <c r="C201" s="5" t="s">
        <v>115</v>
      </c>
      <c r="D201" s="113"/>
      <c r="E201" s="113">
        <v>2284295.12</v>
      </c>
      <c r="F201" s="5" t="s">
        <v>119</v>
      </c>
      <c r="G201" s="5" t="s">
        <v>1699</v>
      </c>
      <c r="H201" s="85"/>
    </row>
    <row r="202" spans="2:8" x14ac:dyDescent="0.35">
      <c r="B202" s="120">
        <v>46043</v>
      </c>
      <c r="C202" s="5" t="s">
        <v>128</v>
      </c>
      <c r="D202" s="113"/>
      <c r="E202" s="113">
        <v>4048811.9</v>
      </c>
      <c r="F202" s="5" t="s">
        <v>124</v>
      </c>
      <c r="G202" s="5" t="s">
        <v>1698</v>
      </c>
      <c r="H202" s="85"/>
    </row>
    <row r="203" spans="2:8" x14ac:dyDescent="0.35">
      <c r="B203" s="120">
        <v>46043</v>
      </c>
      <c r="C203" s="5" t="s">
        <v>115</v>
      </c>
      <c r="D203" s="113"/>
      <c r="E203" s="113">
        <v>4166568.21</v>
      </c>
      <c r="F203" s="5" t="s">
        <v>127</v>
      </c>
      <c r="G203" s="5" t="s">
        <v>1698</v>
      </c>
      <c r="H203" s="85"/>
    </row>
    <row r="204" spans="2:8" x14ac:dyDescent="0.35">
      <c r="B204" s="120">
        <v>46043</v>
      </c>
      <c r="C204" s="5" t="s">
        <v>121</v>
      </c>
      <c r="D204" s="113"/>
      <c r="E204" s="113">
        <v>5510995.79</v>
      </c>
      <c r="F204" s="5" t="s">
        <v>124</v>
      </c>
      <c r="G204" s="5" t="s">
        <v>1490</v>
      </c>
      <c r="H204" s="85"/>
    </row>
    <row r="205" spans="2:8" x14ac:dyDescent="0.35">
      <c r="B205" s="120">
        <v>46043</v>
      </c>
      <c r="C205" s="5" t="s">
        <v>125</v>
      </c>
      <c r="D205" s="113"/>
      <c r="E205" s="113">
        <v>7100542.5899999999</v>
      </c>
      <c r="F205" s="5" t="s">
        <v>124</v>
      </c>
      <c r="G205" s="5" t="s">
        <v>1700</v>
      </c>
      <c r="H205" s="85"/>
    </row>
    <row r="206" spans="2:8" x14ac:dyDescent="0.35">
      <c r="B206" s="120">
        <v>46043</v>
      </c>
      <c r="C206" s="5" t="s">
        <v>115</v>
      </c>
      <c r="D206" s="113"/>
      <c r="E206" s="113">
        <v>18234176.289999999</v>
      </c>
      <c r="F206" s="5" t="s">
        <v>119</v>
      </c>
      <c r="G206" s="5" t="s">
        <v>1699</v>
      </c>
      <c r="H206" s="85"/>
    </row>
    <row r="207" spans="2:8" x14ac:dyDescent="0.35">
      <c r="B207" s="120">
        <v>46043</v>
      </c>
      <c r="C207" s="5" t="s">
        <v>115</v>
      </c>
      <c r="D207" s="113">
        <v>63149.69</v>
      </c>
      <c r="E207" s="113"/>
      <c r="F207" s="5" t="s">
        <v>1536</v>
      </c>
      <c r="G207" s="5" t="s">
        <v>1691</v>
      </c>
      <c r="H207" s="85"/>
    </row>
    <row r="208" spans="2:8" x14ac:dyDescent="0.35">
      <c r="B208" s="120">
        <v>46044</v>
      </c>
      <c r="C208" s="5" t="s">
        <v>115</v>
      </c>
      <c r="D208" s="113"/>
      <c r="E208" s="113">
        <v>103242.71</v>
      </c>
      <c r="F208" s="5" t="s">
        <v>119</v>
      </c>
      <c r="G208" s="5" t="s">
        <v>1701</v>
      </c>
      <c r="H208" s="85"/>
    </row>
    <row r="209" spans="2:8" x14ac:dyDescent="0.35">
      <c r="B209" s="120">
        <v>46044</v>
      </c>
      <c r="C209" s="5" t="s">
        <v>115</v>
      </c>
      <c r="D209" s="113"/>
      <c r="E209" s="113">
        <v>147149.51999999999</v>
      </c>
      <c r="F209" s="5" t="s">
        <v>118</v>
      </c>
      <c r="G209" s="5" t="s">
        <v>1702</v>
      </c>
      <c r="H209" s="85"/>
    </row>
    <row r="210" spans="2:8" x14ac:dyDescent="0.35">
      <c r="B210" s="120">
        <v>46044</v>
      </c>
      <c r="C210" s="5" t="s">
        <v>115</v>
      </c>
      <c r="D210" s="113"/>
      <c r="E210" s="113">
        <v>442173.35</v>
      </c>
      <c r="F210" s="5" t="s">
        <v>119</v>
      </c>
      <c r="G210" s="5" t="s">
        <v>1701</v>
      </c>
      <c r="H210" s="85"/>
    </row>
    <row r="211" spans="2:8" x14ac:dyDescent="0.35">
      <c r="B211" s="120">
        <v>46044</v>
      </c>
      <c r="C211" s="5" t="s">
        <v>115</v>
      </c>
      <c r="D211" s="113"/>
      <c r="E211" s="113">
        <v>2750435.73</v>
      </c>
      <c r="F211" s="5" t="s">
        <v>127</v>
      </c>
      <c r="G211" s="5" t="s">
        <v>1702</v>
      </c>
      <c r="H211" s="85"/>
    </row>
    <row r="212" spans="2:8" x14ac:dyDescent="0.35">
      <c r="B212" s="120">
        <v>46044</v>
      </c>
      <c r="C212" s="5" t="s">
        <v>125</v>
      </c>
      <c r="D212" s="113"/>
      <c r="E212" s="113">
        <v>2972276.13</v>
      </c>
      <c r="F212" s="5" t="s">
        <v>124</v>
      </c>
      <c r="G212" s="5" t="s">
        <v>1703</v>
      </c>
      <c r="H212" s="85"/>
    </row>
    <row r="213" spans="2:8" x14ac:dyDescent="0.35">
      <c r="B213" s="120">
        <v>46044</v>
      </c>
      <c r="C213" s="5" t="s">
        <v>128</v>
      </c>
      <c r="D213" s="113"/>
      <c r="E213" s="113">
        <v>3391778.6</v>
      </c>
      <c r="F213" s="5" t="s">
        <v>124</v>
      </c>
      <c r="G213" s="5" t="s">
        <v>1702</v>
      </c>
      <c r="H213" s="85"/>
    </row>
    <row r="214" spans="2:8" x14ac:dyDescent="0.35">
      <c r="B214" s="120">
        <v>46044</v>
      </c>
      <c r="C214" s="5" t="s">
        <v>121</v>
      </c>
      <c r="D214" s="113"/>
      <c r="E214" s="113">
        <v>3700924.58</v>
      </c>
      <c r="F214" s="5" t="s">
        <v>124</v>
      </c>
      <c r="G214" s="5" t="s">
        <v>1491</v>
      </c>
      <c r="H214" s="85"/>
    </row>
    <row r="215" spans="2:8" x14ac:dyDescent="0.35">
      <c r="B215" s="120">
        <v>46044</v>
      </c>
      <c r="C215" s="5" t="s">
        <v>115</v>
      </c>
      <c r="D215" s="113"/>
      <c r="E215" s="113">
        <v>4673806.17</v>
      </c>
      <c r="F215" s="5" t="s">
        <v>119</v>
      </c>
      <c r="G215" s="5" t="s">
        <v>1701</v>
      </c>
      <c r="H215" s="85"/>
    </row>
    <row r="216" spans="2:8" x14ac:dyDescent="0.35">
      <c r="B216" s="120">
        <v>46044</v>
      </c>
      <c r="C216" s="5" t="s">
        <v>115</v>
      </c>
      <c r="D216" s="113">
        <v>142092.5</v>
      </c>
      <c r="E216" s="113"/>
      <c r="F216" s="5" t="s">
        <v>153</v>
      </c>
      <c r="G216" s="189" t="s">
        <v>1534</v>
      </c>
      <c r="H216" s="85"/>
    </row>
    <row r="217" spans="2:8" x14ac:dyDescent="0.35">
      <c r="B217" s="120">
        <v>46044</v>
      </c>
      <c r="C217" s="5" t="s">
        <v>115</v>
      </c>
      <c r="D217" s="113">
        <v>142092.5</v>
      </c>
      <c r="E217" s="113"/>
      <c r="F217" s="5" t="s">
        <v>153</v>
      </c>
      <c r="G217" s="189" t="s">
        <v>1534</v>
      </c>
      <c r="H217" s="85"/>
    </row>
    <row r="218" spans="2:8" x14ac:dyDescent="0.35">
      <c r="B218" s="120">
        <v>46044</v>
      </c>
      <c r="C218" s="5" t="s">
        <v>115</v>
      </c>
      <c r="D218" s="113">
        <v>28731.18</v>
      </c>
      <c r="E218" s="113"/>
      <c r="F218" s="5" t="s">
        <v>1536</v>
      </c>
      <c r="G218" s="189" t="s">
        <v>1691</v>
      </c>
      <c r="H218" s="85"/>
    </row>
    <row r="219" spans="2:8" x14ac:dyDescent="0.35">
      <c r="B219" s="120">
        <v>46044</v>
      </c>
      <c r="C219" s="5" t="s">
        <v>115</v>
      </c>
      <c r="D219" s="113">
        <v>5358.5</v>
      </c>
      <c r="E219" s="113"/>
      <c r="F219" s="189" t="s">
        <v>1536</v>
      </c>
      <c r="G219" s="5" t="s">
        <v>1691</v>
      </c>
      <c r="H219" s="85"/>
    </row>
    <row r="220" spans="2:8" x14ac:dyDescent="0.35">
      <c r="B220" s="120">
        <v>46045</v>
      </c>
      <c r="C220" s="5" t="s">
        <v>128</v>
      </c>
      <c r="D220" s="113"/>
      <c r="E220" s="113">
        <v>89985.74</v>
      </c>
      <c r="F220" s="5" t="s">
        <v>124</v>
      </c>
      <c r="G220" s="5" t="s">
        <v>1492</v>
      </c>
      <c r="H220" s="85"/>
    </row>
    <row r="221" spans="2:8" x14ac:dyDescent="0.35">
      <c r="B221" s="120">
        <v>46045</v>
      </c>
      <c r="C221" s="5" t="s">
        <v>115</v>
      </c>
      <c r="D221" s="113"/>
      <c r="E221" s="113">
        <v>619639.31999999995</v>
      </c>
      <c r="F221" s="5" t="s">
        <v>168</v>
      </c>
      <c r="G221" s="5" t="s">
        <v>1636</v>
      </c>
      <c r="H221" s="85"/>
    </row>
    <row r="222" spans="2:8" x14ac:dyDescent="0.35">
      <c r="B222" s="120">
        <v>46045</v>
      </c>
      <c r="C222" s="5" t="s">
        <v>115</v>
      </c>
      <c r="D222" s="113"/>
      <c r="E222" s="113">
        <v>659563.59</v>
      </c>
      <c r="F222" s="5" t="s">
        <v>119</v>
      </c>
      <c r="G222" s="5" t="s">
        <v>1704</v>
      </c>
      <c r="H222" s="85"/>
    </row>
    <row r="223" spans="2:8" x14ac:dyDescent="0.35">
      <c r="B223" s="120">
        <v>46045</v>
      </c>
      <c r="C223" s="5" t="s">
        <v>115</v>
      </c>
      <c r="D223" s="113"/>
      <c r="E223" s="113">
        <v>1473943.08</v>
      </c>
      <c r="F223" s="5" t="s">
        <v>119</v>
      </c>
      <c r="G223" s="5" t="s">
        <v>1704</v>
      </c>
      <c r="H223" s="85"/>
    </row>
    <row r="224" spans="2:8" x14ac:dyDescent="0.35">
      <c r="B224" s="120">
        <v>46045</v>
      </c>
      <c r="C224" s="5" t="s">
        <v>115</v>
      </c>
      <c r="D224" s="113"/>
      <c r="E224" s="113">
        <v>1973700.11</v>
      </c>
      <c r="F224" s="5" t="s">
        <v>118</v>
      </c>
      <c r="G224" s="5" t="s">
        <v>1705</v>
      </c>
      <c r="H224" s="85"/>
    </row>
    <row r="225" spans="2:8" x14ac:dyDescent="0.35">
      <c r="B225" s="120">
        <v>46045</v>
      </c>
      <c r="C225" s="5" t="s">
        <v>115</v>
      </c>
      <c r="D225" s="113"/>
      <c r="E225" s="113">
        <v>2235214.15</v>
      </c>
      <c r="F225" s="5" t="s">
        <v>127</v>
      </c>
      <c r="G225" s="5" t="s">
        <v>1705</v>
      </c>
      <c r="H225" s="85"/>
    </row>
    <row r="226" spans="2:8" x14ac:dyDescent="0.35">
      <c r="B226" s="120">
        <v>46045</v>
      </c>
      <c r="C226" s="5" t="s">
        <v>121</v>
      </c>
      <c r="D226" s="113"/>
      <c r="E226" s="113">
        <v>3203081.25</v>
      </c>
      <c r="F226" s="5" t="s">
        <v>124</v>
      </c>
      <c r="G226" s="5" t="s">
        <v>1493</v>
      </c>
      <c r="H226" s="85"/>
    </row>
    <row r="227" spans="2:8" x14ac:dyDescent="0.35">
      <c r="B227" s="120">
        <v>46045</v>
      </c>
      <c r="C227" s="5" t="s">
        <v>125</v>
      </c>
      <c r="D227" s="113"/>
      <c r="E227" s="113">
        <v>4049955.35</v>
      </c>
      <c r="F227" s="5" t="s">
        <v>124</v>
      </c>
      <c r="G227" s="5" t="s">
        <v>1695</v>
      </c>
      <c r="H227" s="85"/>
    </row>
    <row r="228" spans="2:8" x14ac:dyDescent="0.35">
      <c r="B228" s="120">
        <v>46045</v>
      </c>
      <c r="C228" s="5" t="s">
        <v>128</v>
      </c>
      <c r="D228" s="113"/>
      <c r="E228" s="113">
        <v>4085023.81</v>
      </c>
      <c r="F228" s="5" t="s">
        <v>124</v>
      </c>
      <c r="G228" s="5" t="s">
        <v>1705</v>
      </c>
      <c r="H228" s="85"/>
    </row>
    <row r="229" spans="2:8" x14ac:dyDescent="0.35">
      <c r="B229" s="120">
        <v>46045</v>
      </c>
      <c r="C229" s="5" t="s">
        <v>115</v>
      </c>
      <c r="D229" s="113"/>
      <c r="E229" s="113">
        <v>17894848.449999999</v>
      </c>
      <c r="F229" s="5" t="s">
        <v>119</v>
      </c>
      <c r="G229" s="5" t="s">
        <v>1704</v>
      </c>
      <c r="H229" s="85"/>
    </row>
    <row r="230" spans="2:8" x14ac:dyDescent="0.35">
      <c r="B230" s="120">
        <v>46045</v>
      </c>
      <c r="C230" s="5" t="s">
        <v>164</v>
      </c>
      <c r="D230" s="113">
        <v>230501.52</v>
      </c>
      <c r="E230" s="113"/>
      <c r="F230" s="189" t="s">
        <v>1706</v>
      </c>
      <c r="G230" s="5" t="s">
        <v>1707</v>
      </c>
      <c r="H230" s="85"/>
    </row>
    <row r="231" spans="2:8" x14ac:dyDescent="0.35">
      <c r="B231" s="120">
        <v>46045</v>
      </c>
      <c r="C231" s="5" t="s">
        <v>164</v>
      </c>
      <c r="D231" s="113">
        <v>230501.52</v>
      </c>
      <c r="E231" s="113"/>
      <c r="F231" s="5" t="s">
        <v>1706</v>
      </c>
      <c r="G231" s="5" t="s">
        <v>1707</v>
      </c>
      <c r="H231" s="85"/>
    </row>
    <row r="232" spans="2:8" x14ac:dyDescent="0.35">
      <c r="B232" s="120">
        <v>46045</v>
      </c>
      <c r="C232" s="5" t="s">
        <v>164</v>
      </c>
      <c r="D232" s="113">
        <v>176843.55</v>
      </c>
      <c r="E232" s="113"/>
      <c r="F232" s="5" t="s">
        <v>1706</v>
      </c>
      <c r="G232" s="5" t="s">
        <v>1707</v>
      </c>
      <c r="H232" s="85"/>
    </row>
    <row r="233" spans="2:8" x14ac:dyDescent="0.35">
      <c r="B233" s="120">
        <v>46045</v>
      </c>
      <c r="C233" s="5" t="s">
        <v>164</v>
      </c>
      <c r="D233" s="113">
        <v>176843.55</v>
      </c>
      <c r="E233" s="113"/>
      <c r="F233" s="5" t="s">
        <v>1706</v>
      </c>
      <c r="G233" s="5" t="s">
        <v>1707</v>
      </c>
      <c r="H233" s="85"/>
    </row>
    <row r="234" spans="2:8" x14ac:dyDescent="0.35">
      <c r="B234" s="120">
        <v>46045</v>
      </c>
      <c r="C234" s="5" t="s">
        <v>115</v>
      </c>
      <c r="D234" s="113">
        <v>32423.33</v>
      </c>
      <c r="E234" s="113"/>
      <c r="F234" s="5" t="s">
        <v>1536</v>
      </c>
      <c r="G234" s="5" t="s">
        <v>1691</v>
      </c>
      <c r="H234" s="85"/>
    </row>
    <row r="235" spans="2:8" x14ac:dyDescent="0.35">
      <c r="B235" s="120">
        <v>46045</v>
      </c>
      <c r="C235" s="5" t="s">
        <v>115</v>
      </c>
      <c r="D235" s="113">
        <v>30928.1</v>
      </c>
      <c r="E235" s="113"/>
      <c r="F235" s="5" t="s">
        <v>1536</v>
      </c>
      <c r="G235" s="5" t="s">
        <v>1691</v>
      </c>
      <c r="H235" s="85"/>
    </row>
    <row r="236" spans="2:8" x14ac:dyDescent="0.35">
      <c r="B236" s="120">
        <v>46048</v>
      </c>
      <c r="C236" s="5" t="s">
        <v>115</v>
      </c>
      <c r="D236" s="113"/>
      <c r="E236" s="113">
        <v>1257737.52</v>
      </c>
      <c r="F236" s="5" t="s">
        <v>118</v>
      </c>
      <c r="G236" s="5" t="s">
        <v>1708</v>
      </c>
      <c r="H236" s="85"/>
    </row>
    <row r="237" spans="2:8" x14ac:dyDescent="0.35">
      <c r="B237" s="120">
        <v>46048</v>
      </c>
      <c r="C237" s="5" t="s">
        <v>115</v>
      </c>
      <c r="D237" s="113"/>
      <c r="E237" s="113">
        <v>1930396.06</v>
      </c>
      <c r="F237" s="5" t="s">
        <v>119</v>
      </c>
      <c r="G237" s="5" t="s">
        <v>1709</v>
      </c>
      <c r="H237" s="85"/>
    </row>
    <row r="238" spans="2:8" x14ac:dyDescent="0.35">
      <c r="B238" s="120">
        <v>46048</v>
      </c>
      <c r="C238" s="5" t="s">
        <v>115</v>
      </c>
      <c r="D238" s="113"/>
      <c r="E238" s="113">
        <v>2392299.1</v>
      </c>
      <c r="F238" s="5" t="s">
        <v>119</v>
      </c>
      <c r="G238" s="5" t="s">
        <v>1709</v>
      </c>
      <c r="H238" s="85"/>
    </row>
    <row r="239" spans="2:8" x14ac:dyDescent="0.35">
      <c r="B239" s="120">
        <v>46048</v>
      </c>
      <c r="C239" s="5" t="s">
        <v>121</v>
      </c>
      <c r="D239" s="113"/>
      <c r="E239" s="113">
        <v>2552015.37</v>
      </c>
      <c r="F239" s="5" t="s">
        <v>1710</v>
      </c>
      <c r="G239" s="5" t="s">
        <v>1730</v>
      </c>
      <c r="H239" s="85"/>
    </row>
    <row r="240" spans="2:8" x14ac:dyDescent="0.35">
      <c r="B240" s="120">
        <v>46048</v>
      </c>
      <c r="C240" s="5" t="s">
        <v>121</v>
      </c>
      <c r="D240" s="113"/>
      <c r="E240" s="113">
        <v>3097964.59</v>
      </c>
      <c r="F240" s="5" t="s">
        <v>124</v>
      </c>
      <c r="G240" s="5" t="s">
        <v>1494</v>
      </c>
      <c r="H240" s="85"/>
    </row>
    <row r="241" spans="2:8" x14ac:dyDescent="0.35">
      <c r="B241" s="120">
        <v>46048</v>
      </c>
      <c r="C241" s="5" t="s">
        <v>128</v>
      </c>
      <c r="D241" s="113"/>
      <c r="E241" s="113">
        <v>3308391.39</v>
      </c>
      <c r="F241" s="5" t="s">
        <v>124</v>
      </c>
      <c r="G241" s="5" t="s">
        <v>1708</v>
      </c>
      <c r="H241" s="85"/>
    </row>
    <row r="242" spans="2:8" x14ac:dyDescent="0.35">
      <c r="B242" s="120">
        <v>46048</v>
      </c>
      <c r="C242" s="5" t="s">
        <v>115</v>
      </c>
      <c r="D242" s="113"/>
      <c r="E242" s="113">
        <v>4237641.17</v>
      </c>
      <c r="F242" s="5" t="s">
        <v>127</v>
      </c>
      <c r="G242" s="5" t="s">
        <v>1708</v>
      </c>
      <c r="H242" s="85"/>
    </row>
    <row r="243" spans="2:8" x14ac:dyDescent="0.35">
      <c r="B243" s="120">
        <v>46048</v>
      </c>
      <c r="C243" s="5" t="s">
        <v>125</v>
      </c>
      <c r="D243" s="113"/>
      <c r="E243" s="113">
        <v>6804461.4800000004</v>
      </c>
      <c r="F243" s="5" t="s">
        <v>124</v>
      </c>
      <c r="G243" s="5" t="s">
        <v>1711</v>
      </c>
      <c r="H243" s="85"/>
    </row>
    <row r="244" spans="2:8" x14ac:dyDescent="0.35">
      <c r="B244" s="120">
        <v>46048</v>
      </c>
      <c r="C244" s="5" t="s">
        <v>115</v>
      </c>
      <c r="D244" s="113"/>
      <c r="E244" s="113">
        <v>14357225.41</v>
      </c>
      <c r="F244" s="5" t="s">
        <v>119</v>
      </c>
      <c r="G244" s="5" t="s">
        <v>1709</v>
      </c>
      <c r="H244" s="85"/>
    </row>
    <row r="245" spans="2:8" x14ac:dyDescent="0.35">
      <c r="B245" s="120">
        <v>46048</v>
      </c>
      <c r="C245" s="5" t="s">
        <v>115</v>
      </c>
      <c r="D245" s="113">
        <v>139436</v>
      </c>
      <c r="E245" s="113"/>
      <c r="F245" s="5" t="s">
        <v>153</v>
      </c>
      <c r="G245" s="5" t="s">
        <v>1707</v>
      </c>
      <c r="H245" s="85"/>
    </row>
    <row r="246" spans="2:8" x14ac:dyDescent="0.35">
      <c r="B246" s="120">
        <v>46048</v>
      </c>
      <c r="C246" s="5" t="s">
        <v>115</v>
      </c>
      <c r="D246" s="113">
        <v>84309.71</v>
      </c>
      <c r="E246" s="113"/>
      <c r="F246" s="5" t="s">
        <v>1536</v>
      </c>
      <c r="G246" s="5" t="s">
        <v>1707</v>
      </c>
      <c r="H246" s="85"/>
    </row>
    <row r="247" spans="2:8" x14ac:dyDescent="0.35">
      <c r="B247" s="120">
        <v>46048</v>
      </c>
      <c r="C247" s="5" t="s">
        <v>115</v>
      </c>
      <c r="D247" s="113">
        <v>60492.14</v>
      </c>
      <c r="E247" s="113"/>
      <c r="F247" s="5" t="s">
        <v>1536</v>
      </c>
      <c r="G247" s="5" t="s">
        <v>1707</v>
      </c>
      <c r="H247" s="85"/>
    </row>
    <row r="248" spans="2:8" x14ac:dyDescent="0.35">
      <c r="B248" s="120">
        <v>46048</v>
      </c>
      <c r="C248" s="5" t="s">
        <v>115</v>
      </c>
      <c r="D248" s="113">
        <v>32466.79</v>
      </c>
      <c r="E248" s="113"/>
      <c r="F248" s="5" t="s">
        <v>1536</v>
      </c>
      <c r="G248" s="5" t="s">
        <v>1707</v>
      </c>
      <c r="H248" s="85"/>
    </row>
    <row r="249" spans="2:8" x14ac:dyDescent="0.35">
      <c r="B249" s="120">
        <v>46049</v>
      </c>
      <c r="C249" s="5" t="s">
        <v>128</v>
      </c>
      <c r="D249" s="113"/>
      <c r="E249" s="113">
        <v>177748.56</v>
      </c>
      <c r="F249" s="5" t="s">
        <v>124</v>
      </c>
      <c r="G249" s="5" t="s">
        <v>1495</v>
      </c>
      <c r="H249" s="85"/>
    </row>
    <row r="250" spans="2:8" x14ac:dyDescent="0.35">
      <c r="B250" s="120">
        <v>46049</v>
      </c>
      <c r="C250" s="5" t="s">
        <v>115</v>
      </c>
      <c r="D250" s="113"/>
      <c r="E250" s="113">
        <v>318038.63</v>
      </c>
      <c r="F250" s="5" t="s">
        <v>119</v>
      </c>
      <c r="G250" s="5" t="s">
        <v>1712</v>
      </c>
      <c r="H250" s="85"/>
    </row>
    <row r="251" spans="2:8" x14ac:dyDescent="0.35">
      <c r="B251" s="120">
        <v>46049</v>
      </c>
      <c r="C251" s="5" t="s">
        <v>115</v>
      </c>
      <c r="D251" s="113"/>
      <c r="E251" s="113">
        <v>553770.28</v>
      </c>
      <c r="F251" s="5" t="s">
        <v>118</v>
      </c>
      <c r="G251" s="5" t="s">
        <v>1713</v>
      </c>
      <c r="H251" s="85"/>
    </row>
    <row r="252" spans="2:8" x14ac:dyDescent="0.35">
      <c r="B252" s="120">
        <v>46049</v>
      </c>
      <c r="C252" s="5" t="s">
        <v>121</v>
      </c>
      <c r="D252" s="113"/>
      <c r="E252" s="113">
        <v>1544761.92</v>
      </c>
      <c r="F252" s="5" t="s">
        <v>124</v>
      </c>
      <c r="G252" s="5" t="s">
        <v>1496</v>
      </c>
      <c r="H252" s="85"/>
    </row>
    <row r="253" spans="2:8" x14ac:dyDescent="0.35">
      <c r="B253" s="120">
        <v>46049</v>
      </c>
      <c r="C253" s="5" t="s">
        <v>115</v>
      </c>
      <c r="D253" s="113"/>
      <c r="E253" s="113">
        <v>1595859.47</v>
      </c>
      <c r="F253" s="5" t="s">
        <v>119</v>
      </c>
      <c r="G253" s="5" t="s">
        <v>1712</v>
      </c>
      <c r="H253" s="85"/>
    </row>
    <row r="254" spans="2:8" x14ac:dyDescent="0.35">
      <c r="B254" s="120">
        <v>46049</v>
      </c>
      <c r="C254" s="5" t="s">
        <v>115</v>
      </c>
      <c r="D254" s="113"/>
      <c r="E254" s="113">
        <v>2280231.09</v>
      </c>
      <c r="F254" s="5" t="s">
        <v>127</v>
      </c>
      <c r="G254" s="5" t="s">
        <v>1713</v>
      </c>
      <c r="H254" s="85"/>
    </row>
    <row r="255" spans="2:8" x14ac:dyDescent="0.35">
      <c r="B255" s="120">
        <v>46049</v>
      </c>
      <c r="C255" s="5" t="s">
        <v>128</v>
      </c>
      <c r="D255" s="113"/>
      <c r="E255" s="113">
        <v>2319396.0499999998</v>
      </c>
      <c r="F255" s="5" t="s">
        <v>124</v>
      </c>
      <c r="G255" s="5" t="s">
        <v>1713</v>
      </c>
      <c r="H255" s="85"/>
    </row>
    <row r="256" spans="2:8" x14ac:dyDescent="0.35">
      <c r="B256" s="120">
        <v>46049</v>
      </c>
      <c r="C256" s="5" t="s">
        <v>125</v>
      </c>
      <c r="D256" s="113"/>
      <c r="E256" s="113">
        <v>5219681.47</v>
      </c>
      <c r="F256" s="5" t="s">
        <v>124</v>
      </c>
      <c r="G256" s="5" t="s">
        <v>1714</v>
      </c>
      <c r="H256" s="85"/>
    </row>
    <row r="257" spans="2:8" x14ac:dyDescent="0.35">
      <c r="B257" s="120">
        <v>46049</v>
      </c>
      <c r="C257" s="5" t="s">
        <v>115</v>
      </c>
      <c r="D257" s="113"/>
      <c r="E257" s="113">
        <v>15070079.310000001</v>
      </c>
      <c r="F257" s="5" t="s">
        <v>119</v>
      </c>
      <c r="G257" s="5" t="s">
        <v>1712</v>
      </c>
      <c r="H257" s="85"/>
    </row>
    <row r="258" spans="2:8" x14ac:dyDescent="0.35">
      <c r="B258" s="120">
        <v>46050</v>
      </c>
      <c r="C258" s="5" t="s">
        <v>128</v>
      </c>
      <c r="D258" s="113"/>
      <c r="E258" s="113">
        <v>38622.480000000003</v>
      </c>
      <c r="F258" s="5" t="s">
        <v>124</v>
      </c>
      <c r="G258" s="5" t="s">
        <v>1497</v>
      </c>
      <c r="H258" s="85"/>
    </row>
    <row r="259" spans="2:8" x14ac:dyDescent="0.35">
      <c r="B259" s="120">
        <v>46050</v>
      </c>
      <c r="C259" s="5" t="s">
        <v>115</v>
      </c>
      <c r="D259" s="113"/>
      <c r="E259" s="113">
        <v>686903.93</v>
      </c>
      <c r="F259" s="5" t="s">
        <v>119</v>
      </c>
      <c r="G259" s="5" t="s">
        <v>1715</v>
      </c>
      <c r="H259" s="85"/>
    </row>
    <row r="260" spans="2:8" x14ac:dyDescent="0.35">
      <c r="B260" s="120">
        <v>46050</v>
      </c>
      <c r="C260" s="5" t="s">
        <v>115</v>
      </c>
      <c r="D260" s="113"/>
      <c r="E260" s="113">
        <v>880858.99</v>
      </c>
      <c r="F260" s="5" t="s">
        <v>119</v>
      </c>
      <c r="G260" s="5" t="s">
        <v>1715</v>
      </c>
      <c r="H260" s="85"/>
    </row>
    <row r="261" spans="2:8" x14ac:dyDescent="0.35">
      <c r="B261" s="120">
        <v>46050</v>
      </c>
      <c r="C261" s="5" t="s">
        <v>115</v>
      </c>
      <c r="D261" s="113"/>
      <c r="E261" s="113">
        <v>1502956.32</v>
      </c>
      <c r="F261" s="5" t="s">
        <v>172</v>
      </c>
      <c r="G261" s="5" t="s">
        <v>1637</v>
      </c>
      <c r="H261" s="85"/>
    </row>
    <row r="262" spans="2:8" x14ac:dyDescent="0.35">
      <c r="B262" s="120">
        <v>46050</v>
      </c>
      <c r="C262" s="5" t="s">
        <v>115</v>
      </c>
      <c r="D262" s="113"/>
      <c r="E262" s="113">
        <v>1510014.48</v>
      </c>
      <c r="F262" s="5" t="s">
        <v>118</v>
      </c>
      <c r="G262" s="5" t="s">
        <v>1716</v>
      </c>
      <c r="H262" s="85"/>
    </row>
    <row r="263" spans="2:8" x14ac:dyDescent="0.35">
      <c r="B263" s="120">
        <v>46050</v>
      </c>
      <c r="C263" s="5" t="s">
        <v>121</v>
      </c>
      <c r="D263" s="113"/>
      <c r="E263" s="113">
        <v>1570291.21</v>
      </c>
      <c r="F263" s="5" t="s">
        <v>124</v>
      </c>
      <c r="G263" s="5" t="s">
        <v>1498</v>
      </c>
      <c r="H263" s="85"/>
    </row>
    <row r="264" spans="2:8" x14ac:dyDescent="0.35">
      <c r="B264" s="120">
        <v>46050</v>
      </c>
      <c r="C264" s="5" t="s">
        <v>128</v>
      </c>
      <c r="D264" s="113"/>
      <c r="E264" s="113">
        <v>2325929.86</v>
      </c>
      <c r="F264" s="5" t="s">
        <v>124</v>
      </c>
      <c r="G264" s="5" t="s">
        <v>1716</v>
      </c>
      <c r="H264" s="85"/>
    </row>
    <row r="265" spans="2:8" x14ac:dyDescent="0.35">
      <c r="B265" s="120">
        <v>46050</v>
      </c>
      <c r="C265" s="5" t="s">
        <v>125</v>
      </c>
      <c r="D265" s="113"/>
      <c r="E265" s="113">
        <v>2800153.9</v>
      </c>
      <c r="F265" s="5" t="s">
        <v>124</v>
      </c>
      <c r="G265" s="5" t="s">
        <v>1679</v>
      </c>
      <c r="H265" s="85"/>
    </row>
    <row r="266" spans="2:8" x14ac:dyDescent="0.35">
      <c r="B266" s="120">
        <v>46050</v>
      </c>
      <c r="C266" s="5" t="s">
        <v>115</v>
      </c>
      <c r="D266" s="113"/>
      <c r="E266" s="113">
        <v>4060847.23</v>
      </c>
      <c r="F266" s="5" t="s">
        <v>127</v>
      </c>
      <c r="G266" s="5" t="s">
        <v>1716</v>
      </c>
      <c r="H266" s="85"/>
    </row>
    <row r="267" spans="2:8" x14ac:dyDescent="0.35">
      <c r="B267" s="120">
        <v>46050</v>
      </c>
      <c r="C267" s="5" t="s">
        <v>115</v>
      </c>
      <c r="D267" s="113"/>
      <c r="E267" s="113">
        <v>16802112.530000001</v>
      </c>
      <c r="F267" s="5" t="s">
        <v>119</v>
      </c>
      <c r="G267" s="5" t="s">
        <v>1715</v>
      </c>
      <c r="H267" s="85"/>
    </row>
    <row r="268" spans="2:8" x14ac:dyDescent="0.35">
      <c r="B268" s="120">
        <v>46050</v>
      </c>
      <c r="C268" s="5" t="s">
        <v>115</v>
      </c>
      <c r="D268" s="113"/>
      <c r="E268" s="113">
        <v>566717000</v>
      </c>
      <c r="F268" s="5" t="s">
        <v>148</v>
      </c>
      <c r="G268" s="5" t="s">
        <v>1732</v>
      </c>
      <c r="H268" s="85"/>
    </row>
    <row r="269" spans="2:8" x14ac:dyDescent="0.35">
      <c r="B269" s="120">
        <v>46050</v>
      </c>
      <c r="C269" s="5" t="s">
        <v>130</v>
      </c>
      <c r="D269" s="113">
        <v>200000000</v>
      </c>
      <c r="E269" s="113"/>
      <c r="F269" s="5" t="s">
        <v>1466</v>
      </c>
      <c r="G269" s="5" t="s">
        <v>1738</v>
      </c>
      <c r="H269" s="85"/>
    </row>
    <row r="270" spans="2:8" x14ac:dyDescent="0.35">
      <c r="B270" s="120">
        <v>46050</v>
      </c>
      <c r="C270" s="5" t="s">
        <v>115</v>
      </c>
      <c r="D270" s="113">
        <v>81732.5</v>
      </c>
      <c r="E270" s="113"/>
      <c r="F270" s="5" t="s">
        <v>153</v>
      </c>
      <c r="G270" s="5" t="s">
        <v>1707</v>
      </c>
      <c r="H270" s="85"/>
    </row>
    <row r="271" spans="2:8" x14ac:dyDescent="0.35">
      <c r="B271" s="120">
        <v>46050</v>
      </c>
      <c r="C271" s="5" t="s">
        <v>115</v>
      </c>
      <c r="D271" s="113">
        <v>81732.5</v>
      </c>
      <c r="E271" s="113"/>
      <c r="F271" s="5" t="s">
        <v>153</v>
      </c>
      <c r="G271" s="5" t="s">
        <v>1707</v>
      </c>
      <c r="H271" s="85"/>
    </row>
    <row r="272" spans="2:8" x14ac:dyDescent="0.35">
      <c r="B272" s="120">
        <v>46050</v>
      </c>
      <c r="C272" s="5" t="s">
        <v>115</v>
      </c>
      <c r="D272" s="113">
        <v>57336.53</v>
      </c>
      <c r="E272" s="113"/>
      <c r="F272" s="5" t="s">
        <v>1536</v>
      </c>
      <c r="G272" s="5" t="s">
        <v>1707</v>
      </c>
      <c r="H272" s="85"/>
    </row>
    <row r="273" spans="2:8" x14ac:dyDescent="0.35">
      <c r="B273" s="120">
        <v>46050</v>
      </c>
      <c r="C273" s="5" t="s">
        <v>115</v>
      </c>
      <c r="D273" s="113">
        <v>47095.27</v>
      </c>
      <c r="E273" s="113"/>
      <c r="F273" s="5" t="s">
        <v>1536</v>
      </c>
      <c r="G273" s="5" t="s">
        <v>1707</v>
      </c>
      <c r="H273" s="85"/>
    </row>
    <row r="274" spans="2:8" x14ac:dyDescent="0.35">
      <c r="B274" s="120">
        <v>46050</v>
      </c>
      <c r="C274" s="5" t="s">
        <v>115</v>
      </c>
      <c r="D274" s="113">
        <v>46003.96</v>
      </c>
      <c r="E274" s="113"/>
      <c r="F274" s="5" t="s">
        <v>1536</v>
      </c>
      <c r="G274" s="5" t="s">
        <v>1707</v>
      </c>
      <c r="H274" s="85"/>
    </row>
    <row r="275" spans="2:8" x14ac:dyDescent="0.35">
      <c r="B275" s="120">
        <v>46050</v>
      </c>
      <c r="C275" s="5" t="s">
        <v>115</v>
      </c>
      <c r="D275" s="113">
        <v>45368.24</v>
      </c>
      <c r="E275" s="113"/>
      <c r="F275" s="5" t="s">
        <v>1536</v>
      </c>
      <c r="G275" s="5" t="s">
        <v>1707</v>
      </c>
      <c r="H275" s="85"/>
    </row>
    <row r="276" spans="2:8" x14ac:dyDescent="0.35">
      <c r="B276" s="120">
        <v>46050</v>
      </c>
      <c r="C276" s="5" t="s">
        <v>115</v>
      </c>
      <c r="D276" s="113">
        <v>42632.95</v>
      </c>
      <c r="E276" s="113"/>
      <c r="F276" s="5" t="s">
        <v>1536</v>
      </c>
      <c r="G276" s="5" t="s">
        <v>1707</v>
      </c>
      <c r="H276" s="85"/>
    </row>
    <row r="277" spans="2:8" x14ac:dyDescent="0.35">
      <c r="B277" s="120">
        <v>46050</v>
      </c>
      <c r="C277" s="5" t="s">
        <v>115</v>
      </c>
      <c r="D277" s="113">
        <v>34304.980000000003</v>
      </c>
      <c r="E277" s="113"/>
      <c r="F277" s="189" t="s">
        <v>1536</v>
      </c>
      <c r="G277" s="189" t="s">
        <v>1707</v>
      </c>
      <c r="H277" s="85"/>
    </row>
    <row r="278" spans="2:8" x14ac:dyDescent="0.35">
      <c r="B278" s="120">
        <v>46050</v>
      </c>
      <c r="C278" s="5" t="s">
        <v>115</v>
      </c>
      <c r="D278" s="113">
        <v>31752.98</v>
      </c>
      <c r="E278" s="113"/>
      <c r="F278" s="189" t="s">
        <v>1536</v>
      </c>
      <c r="G278" s="189" t="s">
        <v>1707</v>
      </c>
      <c r="H278" s="85"/>
    </row>
    <row r="279" spans="2:8" x14ac:dyDescent="0.35">
      <c r="B279" s="120">
        <v>46050</v>
      </c>
      <c r="C279" s="5" t="s">
        <v>115</v>
      </c>
      <c r="D279" s="113">
        <v>31597.13</v>
      </c>
      <c r="E279" s="113"/>
      <c r="F279" s="189" t="s">
        <v>1536</v>
      </c>
      <c r="G279" s="189" t="s">
        <v>1707</v>
      </c>
      <c r="H279" s="85"/>
    </row>
    <row r="280" spans="2:8" x14ac:dyDescent="0.35">
      <c r="B280" s="120">
        <v>46050</v>
      </c>
      <c r="C280" s="5" t="s">
        <v>115</v>
      </c>
      <c r="D280" s="113">
        <v>30648.79</v>
      </c>
      <c r="E280" s="113"/>
      <c r="F280" s="189" t="s">
        <v>1536</v>
      </c>
      <c r="G280" s="189" t="s">
        <v>1707</v>
      </c>
      <c r="H280" s="85"/>
    </row>
    <row r="281" spans="2:8" x14ac:dyDescent="0.35">
      <c r="B281" s="120">
        <v>46051</v>
      </c>
      <c r="C281" s="5" t="s">
        <v>134</v>
      </c>
      <c r="D281" s="113"/>
      <c r="E281" s="113">
        <v>809.52</v>
      </c>
      <c r="F281" s="5" t="s">
        <v>124</v>
      </c>
      <c r="G281" s="5" t="s">
        <v>1743</v>
      </c>
      <c r="H281" s="85"/>
    </row>
    <row r="282" spans="2:8" x14ac:dyDescent="0.35">
      <c r="B282" s="120">
        <v>46051</v>
      </c>
      <c r="C282" s="5" t="s">
        <v>134</v>
      </c>
      <c r="D282" s="113"/>
      <c r="E282" s="113">
        <v>1241.5</v>
      </c>
      <c r="F282" s="5" t="s">
        <v>124</v>
      </c>
      <c r="G282" s="5" t="s">
        <v>1743</v>
      </c>
      <c r="H282" s="85"/>
    </row>
    <row r="283" spans="2:8" x14ac:dyDescent="0.35">
      <c r="B283" s="120">
        <v>46051</v>
      </c>
      <c r="C283" s="5" t="s">
        <v>134</v>
      </c>
      <c r="D283" s="113"/>
      <c r="E283" s="113">
        <v>1311.71</v>
      </c>
      <c r="F283" s="5" t="s">
        <v>124</v>
      </c>
      <c r="G283" s="5" t="s">
        <v>1743</v>
      </c>
      <c r="H283" s="85"/>
    </row>
    <row r="284" spans="2:8" x14ac:dyDescent="0.35">
      <c r="B284" s="120">
        <v>46051</v>
      </c>
      <c r="C284" s="5" t="s">
        <v>134</v>
      </c>
      <c r="D284" s="113"/>
      <c r="E284" s="113">
        <v>1859.51</v>
      </c>
      <c r="F284" s="5" t="s">
        <v>124</v>
      </c>
      <c r="G284" s="5" t="s">
        <v>1743</v>
      </c>
      <c r="H284" s="85"/>
    </row>
    <row r="285" spans="2:8" x14ac:dyDescent="0.35">
      <c r="B285" s="120">
        <v>46051</v>
      </c>
      <c r="C285" s="5" t="s">
        <v>134</v>
      </c>
      <c r="D285" s="113"/>
      <c r="E285" s="113">
        <v>2226.96</v>
      </c>
      <c r="F285" s="5" t="s">
        <v>124</v>
      </c>
      <c r="G285" s="5" t="s">
        <v>1743</v>
      </c>
      <c r="H285" s="85"/>
    </row>
    <row r="286" spans="2:8" x14ac:dyDescent="0.35">
      <c r="B286" s="120">
        <v>46051</v>
      </c>
      <c r="C286" s="5" t="s">
        <v>134</v>
      </c>
      <c r="D286" s="113"/>
      <c r="E286" s="113">
        <v>2515.11</v>
      </c>
      <c r="F286" s="5" t="s">
        <v>124</v>
      </c>
      <c r="G286" s="5" t="s">
        <v>1743</v>
      </c>
      <c r="H286" s="85"/>
    </row>
    <row r="287" spans="2:8" x14ac:dyDescent="0.35">
      <c r="B287" s="120">
        <v>46051</v>
      </c>
      <c r="C287" s="5" t="s">
        <v>134</v>
      </c>
      <c r="D287" s="113"/>
      <c r="E287" s="113">
        <v>3099.17</v>
      </c>
      <c r="F287" s="5" t="s">
        <v>124</v>
      </c>
      <c r="G287" s="5" t="s">
        <v>1743</v>
      </c>
      <c r="H287" s="85"/>
    </row>
    <row r="288" spans="2:8" x14ac:dyDescent="0.35">
      <c r="B288" s="120">
        <v>46051</v>
      </c>
      <c r="C288" s="5" t="s">
        <v>134</v>
      </c>
      <c r="D288" s="113"/>
      <c r="E288" s="113">
        <v>3202.48</v>
      </c>
      <c r="F288" s="5" t="s">
        <v>124</v>
      </c>
      <c r="G288" s="5" t="s">
        <v>1743</v>
      </c>
      <c r="H288" s="85"/>
    </row>
    <row r="289" spans="2:8" x14ac:dyDescent="0.35">
      <c r="B289" s="120">
        <v>46051</v>
      </c>
      <c r="C289" s="5" t="s">
        <v>128</v>
      </c>
      <c r="D289" s="113"/>
      <c r="E289" s="113">
        <v>298335.65999999997</v>
      </c>
      <c r="F289" s="5" t="s">
        <v>124</v>
      </c>
      <c r="G289" s="5" t="s">
        <v>1500</v>
      </c>
      <c r="H289" s="85"/>
    </row>
    <row r="290" spans="2:8" x14ac:dyDescent="0.35">
      <c r="B290" s="120">
        <v>46051</v>
      </c>
      <c r="C290" s="5" t="s">
        <v>115</v>
      </c>
      <c r="D290" s="113"/>
      <c r="E290" s="113">
        <v>499038.45</v>
      </c>
      <c r="F290" s="5" t="s">
        <v>118</v>
      </c>
      <c r="G290" s="5" t="s">
        <v>1717</v>
      </c>
      <c r="H290" s="85"/>
    </row>
    <row r="291" spans="2:8" x14ac:dyDescent="0.35">
      <c r="B291" s="120">
        <v>46051</v>
      </c>
      <c r="C291" s="5" t="s">
        <v>115</v>
      </c>
      <c r="D291" s="113"/>
      <c r="E291" s="113">
        <v>788338.12</v>
      </c>
      <c r="F291" s="5" t="s">
        <v>175</v>
      </c>
      <c r="G291" s="5" t="s">
        <v>1737</v>
      </c>
      <c r="H291" s="85"/>
    </row>
    <row r="292" spans="2:8" x14ac:dyDescent="0.35">
      <c r="B292" s="120">
        <v>46051</v>
      </c>
      <c r="C292" s="5" t="s">
        <v>115</v>
      </c>
      <c r="D292" s="113"/>
      <c r="E292" s="113">
        <v>873123.77</v>
      </c>
      <c r="F292" s="5" t="s">
        <v>119</v>
      </c>
      <c r="G292" s="5" t="s">
        <v>1718</v>
      </c>
      <c r="H292" s="85"/>
    </row>
    <row r="293" spans="2:8" x14ac:dyDescent="0.35">
      <c r="B293" s="120">
        <v>46051</v>
      </c>
      <c r="C293" s="5" t="s">
        <v>121</v>
      </c>
      <c r="D293" s="113"/>
      <c r="E293" s="113">
        <v>1013997.07</v>
      </c>
      <c r="F293" s="5" t="s">
        <v>124</v>
      </c>
      <c r="G293" s="5" t="s">
        <v>1499</v>
      </c>
      <c r="H293" s="85"/>
    </row>
    <row r="294" spans="2:8" x14ac:dyDescent="0.35">
      <c r="B294" s="120">
        <v>46051</v>
      </c>
      <c r="C294" s="5" t="s">
        <v>158</v>
      </c>
      <c r="D294" s="113"/>
      <c r="E294" s="113">
        <v>1307434.8899999999</v>
      </c>
      <c r="F294" s="5" t="s">
        <v>176</v>
      </c>
      <c r="G294" s="5" t="s">
        <v>1638</v>
      </c>
      <c r="H294" s="85"/>
    </row>
    <row r="295" spans="2:8" x14ac:dyDescent="0.35">
      <c r="B295" s="120">
        <v>46051</v>
      </c>
      <c r="C295" s="5" t="s">
        <v>115</v>
      </c>
      <c r="D295" s="113"/>
      <c r="E295" s="113">
        <v>2126584.08</v>
      </c>
      <c r="F295" s="5" t="s">
        <v>119</v>
      </c>
      <c r="G295" s="5" t="s">
        <v>1718</v>
      </c>
      <c r="H295" s="85"/>
    </row>
    <row r="296" spans="2:8" x14ac:dyDescent="0.35">
      <c r="B296" s="120">
        <v>46051</v>
      </c>
      <c r="C296" s="5" t="s">
        <v>128</v>
      </c>
      <c r="D296" s="113"/>
      <c r="E296" s="113">
        <v>2469954.2799999998</v>
      </c>
      <c r="F296" s="5" t="s">
        <v>124</v>
      </c>
      <c r="G296" s="5" t="s">
        <v>1717</v>
      </c>
      <c r="H296" s="85"/>
    </row>
    <row r="297" spans="2:8" x14ac:dyDescent="0.35">
      <c r="B297" s="120">
        <v>46051</v>
      </c>
      <c r="C297" s="5" t="s">
        <v>115</v>
      </c>
      <c r="D297" s="113"/>
      <c r="E297" s="113">
        <v>2965344.68</v>
      </c>
      <c r="F297" s="5" t="s">
        <v>127</v>
      </c>
      <c r="G297" s="5" t="s">
        <v>1717</v>
      </c>
      <c r="H297" s="85"/>
    </row>
    <row r="298" spans="2:8" x14ac:dyDescent="0.35">
      <c r="B298" s="120">
        <v>46051</v>
      </c>
      <c r="C298" s="5" t="s">
        <v>125</v>
      </c>
      <c r="D298" s="113"/>
      <c r="E298" s="113">
        <v>4498899.4800000004</v>
      </c>
      <c r="F298" s="5" t="s">
        <v>124</v>
      </c>
      <c r="G298" s="5" t="s">
        <v>1719</v>
      </c>
      <c r="H298" s="85"/>
    </row>
    <row r="299" spans="2:8" x14ac:dyDescent="0.35">
      <c r="B299" s="120">
        <v>46051</v>
      </c>
      <c r="C299" s="5" t="s">
        <v>115</v>
      </c>
      <c r="D299" s="113"/>
      <c r="E299" s="113">
        <v>10463163.789999999</v>
      </c>
      <c r="F299" s="5" t="s">
        <v>119</v>
      </c>
      <c r="G299" s="5" t="s">
        <v>1718</v>
      </c>
      <c r="H299" s="85"/>
    </row>
    <row r="300" spans="2:8" x14ac:dyDescent="0.35">
      <c r="B300" s="120">
        <v>46051</v>
      </c>
      <c r="C300" s="5" t="s">
        <v>115</v>
      </c>
      <c r="D300" s="113"/>
      <c r="E300" s="113">
        <v>566719807</v>
      </c>
      <c r="F300" s="5" t="s">
        <v>148</v>
      </c>
      <c r="G300" s="5" t="s">
        <v>1732</v>
      </c>
      <c r="H300" s="85"/>
    </row>
    <row r="301" spans="2:8" x14ac:dyDescent="0.35">
      <c r="B301" s="120">
        <v>46051</v>
      </c>
      <c r="C301" s="5" t="s">
        <v>140</v>
      </c>
      <c r="D301" s="113">
        <v>655140502.5</v>
      </c>
      <c r="E301" s="113"/>
      <c r="F301" s="189" t="s">
        <v>1721</v>
      </c>
      <c r="G301" s="5" t="s">
        <v>1720</v>
      </c>
      <c r="H301" s="85"/>
    </row>
    <row r="302" spans="2:8" x14ac:dyDescent="0.35">
      <c r="B302" s="120">
        <v>46051</v>
      </c>
      <c r="C302" s="5" t="s">
        <v>130</v>
      </c>
      <c r="D302" s="113">
        <v>400000000</v>
      </c>
      <c r="E302" s="113"/>
      <c r="F302" s="5" t="s">
        <v>1466</v>
      </c>
      <c r="G302" s="5" t="s">
        <v>1739</v>
      </c>
      <c r="H302" s="85"/>
    </row>
    <row r="303" spans="2:8" x14ac:dyDescent="0.35">
      <c r="B303" s="120">
        <v>46051</v>
      </c>
      <c r="C303" s="5" t="s">
        <v>140</v>
      </c>
      <c r="D303" s="113">
        <v>197650338.80000001</v>
      </c>
      <c r="E303" s="113"/>
      <c r="F303" s="189" t="s">
        <v>1723</v>
      </c>
      <c r="G303" s="5" t="s">
        <v>1722</v>
      </c>
      <c r="H303" s="85"/>
    </row>
    <row r="304" spans="2:8" x14ac:dyDescent="0.35">
      <c r="B304" s="120">
        <v>46051</v>
      </c>
      <c r="C304" s="5" t="s">
        <v>115</v>
      </c>
      <c r="D304" s="113">
        <v>1970941</v>
      </c>
      <c r="E304" s="113"/>
      <c r="F304" s="189" t="s">
        <v>153</v>
      </c>
      <c r="G304" s="189" t="s">
        <v>1707</v>
      </c>
      <c r="H304" s="85"/>
    </row>
    <row r="305" spans="2:8" x14ac:dyDescent="0.35">
      <c r="B305" s="120">
        <v>46051</v>
      </c>
      <c r="C305" s="5" t="s">
        <v>115</v>
      </c>
      <c r="D305" s="113">
        <v>97933</v>
      </c>
      <c r="E305" s="113"/>
      <c r="F305" s="189" t="s">
        <v>153</v>
      </c>
      <c r="G305" s="189" t="s">
        <v>1707</v>
      </c>
      <c r="H305" s="85"/>
    </row>
    <row r="306" spans="2:8" x14ac:dyDescent="0.35">
      <c r="B306" s="120">
        <v>46051</v>
      </c>
      <c r="C306" s="5" t="s">
        <v>115</v>
      </c>
      <c r="D306" s="113">
        <v>97933</v>
      </c>
      <c r="E306" s="113"/>
      <c r="F306" s="189" t="s">
        <v>153</v>
      </c>
      <c r="G306" s="189" t="s">
        <v>1707</v>
      </c>
      <c r="H306" s="85"/>
    </row>
    <row r="307" spans="2:8" x14ac:dyDescent="0.35">
      <c r="B307" s="120">
        <v>46051</v>
      </c>
      <c r="C307" s="5" t="s">
        <v>115</v>
      </c>
      <c r="D307" s="113">
        <v>47196.42</v>
      </c>
      <c r="E307" s="113"/>
      <c r="F307" s="189" t="s">
        <v>1536</v>
      </c>
      <c r="G307" s="189" t="s">
        <v>1707</v>
      </c>
      <c r="H307" s="85"/>
    </row>
    <row r="308" spans="2:8" x14ac:dyDescent="0.35">
      <c r="B308" s="120">
        <v>46051</v>
      </c>
      <c r="C308" s="5" t="s">
        <v>115</v>
      </c>
      <c r="D308" s="113">
        <v>44297.5</v>
      </c>
      <c r="E308" s="113"/>
      <c r="F308" s="189" t="s">
        <v>1536</v>
      </c>
      <c r="G308" s="189" t="s">
        <v>1707</v>
      </c>
      <c r="H308" s="85"/>
    </row>
    <row r="309" spans="2:8" x14ac:dyDescent="0.35">
      <c r="B309" s="120">
        <v>46051</v>
      </c>
      <c r="C309" s="5" t="s">
        <v>115</v>
      </c>
      <c r="D309" s="113">
        <v>40946.69</v>
      </c>
      <c r="E309" s="113"/>
      <c r="F309" s="189" t="s">
        <v>1536</v>
      </c>
      <c r="G309" s="189" t="s">
        <v>1707</v>
      </c>
      <c r="H309" s="85"/>
    </row>
    <row r="310" spans="2:8" x14ac:dyDescent="0.35">
      <c r="B310" s="120">
        <v>46051</v>
      </c>
      <c r="C310" s="5" t="s">
        <v>115</v>
      </c>
      <c r="D310" s="113">
        <v>39794.6</v>
      </c>
      <c r="E310" s="113"/>
      <c r="F310" s="189" t="s">
        <v>1536</v>
      </c>
      <c r="G310" s="189" t="s">
        <v>1707</v>
      </c>
      <c r="H310" s="85"/>
    </row>
    <row r="311" spans="2:8" x14ac:dyDescent="0.35">
      <c r="B311" s="120">
        <v>46051</v>
      </c>
      <c r="C311" s="5" t="s">
        <v>115</v>
      </c>
      <c r="D311" s="113">
        <v>39760.25</v>
      </c>
      <c r="E311" s="113"/>
      <c r="F311" s="189" t="s">
        <v>1536</v>
      </c>
      <c r="G311" s="189" t="s">
        <v>1707</v>
      </c>
      <c r="H311" s="85"/>
    </row>
    <row r="312" spans="2:8" x14ac:dyDescent="0.35">
      <c r="B312" s="120">
        <v>46051</v>
      </c>
      <c r="C312" s="5" t="s">
        <v>115</v>
      </c>
      <c r="D312" s="113">
        <v>36994.85</v>
      </c>
      <c r="E312" s="113"/>
      <c r="F312" s="189" t="s">
        <v>1536</v>
      </c>
      <c r="G312" s="189" t="s">
        <v>1707</v>
      </c>
      <c r="H312" s="85"/>
    </row>
    <row r="313" spans="2:8" x14ac:dyDescent="0.35">
      <c r="B313" s="120">
        <v>46051</v>
      </c>
      <c r="C313" s="5" t="s">
        <v>115</v>
      </c>
      <c r="D313" s="113">
        <v>35976.03</v>
      </c>
      <c r="E313" s="113"/>
      <c r="F313" s="189" t="s">
        <v>1536</v>
      </c>
      <c r="G313" s="189" t="s">
        <v>1707</v>
      </c>
      <c r="H313" s="85"/>
    </row>
    <row r="314" spans="2:8" x14ac:dyDescent="0.35">
      <c r="B314" s="120">
        <v>46051</v>
      </c>
      <c r="C314" s="5" t="s">
        <v>115</v>
      </c>
      <c r="D314" s="113">
        <v>35593.14</v>
      </c>
      <c r="E314" s="113"/>
      <c r="F314" s="189" t="s">
        <v>1536</v>
      </c>
      <c r="G314" s="189" t="s">
        <v>1707</v>
      </c>
      <c r="H314" s="85"/>
    </row>
    <row r="315" spans="2:8" x14ac:dyDescent="0.35">
      <c r="B315" s="120">
        <v>46051</v>
      </c>
      <c r="C315" s="5" t="s">
        <v>115</v>
      </c>
      <c r="D315" s="113">
        <v>34697.15</v>
      </c>
      <c r="E315" s="113"/>
      <c r="F315" s="189" t="s">
        <v>1536</v>
      </c>
      <c r="G315" s="189" t="s">
        <v>1707</v>
      </c>
      <c r="H315" s="85"/>
    </row>
    <row r="316" spans="2:8" x14ac:dyDescent="0.35">
      <c r="B316" s="120">
        <v>46051</v>
      </c>
      <c r="C316" s="5" t="s">
        <v>115</v>
      </c>
      <c r="D316" s="113">
        <v>33057.67</v>
      </c>
      <c r="E316" s="113"/>
      <c r="F316" s="189" t="s">
        <v>1536</v>
      </c>
      <c r="G316" s="189" t="s">
        <v>1707</v>
      </c>
      <c r="H316" s="85"/>
    </row>
    <row r="317" spans="2:8" x14ac:dyDescent="0.35">
      <c r="B317" s="120">
        <v>46051</v>
      </c>
      <c r="C317" s="5" t="s">
        <v>115</v>
      </c>
      <c r="D317" s="113">
        <v>31064.240000000002</v>
      </c>
      <c r="E317" s="113"/>
      <c r="F317" s="189" t="s">
        <v>1536</v>
      </c>
      <c r="G317" s="189" t="s">
        <v>1707</v>
      </c>
      <c r="H317" s="85"/>
    </row>
    <row r="318" spans="2:8" x14ac:dyDescent="0.35">
      <c r="B318" s="120">
        <v>46051</v>
      </c>
      <c r="C318" s="5" t="s">
        <v>115</v>
      </c>
      <c r="D318" s="113">
        <v>30245.85</v>
      </c>
      <c r="E318" s="113"/>
      <c r="F318" s="189" t="s">
        <v>1536</v>
      </c>
      <c r="G318" s="189" t="s">
        <v>1707</v>
      </c>
      <c r="H318" s="85"/>
    </row>
    <row r="319" spans="2:8" x14ac:dyDescent="0.35">
      <c r="B319" s="120">
        <v>46051</v>
      </c>
      <c r="C319" s="5" t="s">
        <v>115</v>
      </c>
      <c r="D319" s="113">
        <v>29654.7</v>
      </c>
      <c r="E319" s="113"/>
      <c r="F319" s="189" t="s">
        <v>1536</v>
      </c>
      <c r="G319" s="189" t="s">
        <v>1707</v>
      </c>
      <c r="H319" s="85"/>
    </row>
    <row r="320" spans="2:8" x14ac:dyDescent="0.35">
      <c r="B320" s="120">
        <v>46051</v>
      </c>
      <c r="C320" s="5" t="s">
        <v>115</v>
      </c>
      <c r="D320" s="113">
        <v>25392.99</v>
      </c>
      <c r="E320" s="113"/>
      <c r="F320" s="189" t="s">
        <v>1536</v>
      </c>
      <c r="G320" s="189" t="s">
        <v>1707</v>
      </c>
      <c r="H320" s="85"/>
    </row>
    <row r="321" spans="2:8" x14ac:dyDescent="0.35">
      <c r="B321" s="120">
        <v>46051</v>
      </c>
      <c r="C321" s="5" t="s">
        <v>115</v>
      </c>
      <c r="D321" s="113">
        <v>9386.81</v>
      </c>
      <c r="E321" s="113"/>
      <c r="F321" s="189" t="s">
        <v>1536</v>
      </c>
      <c r="G321" s="189" t="s">
        <v>1707</v>
      </c>
      <c r="H321" s="85"/>
    </row>
    <row r="322" spans="2:8" x14ac:dyDescent="0.35">
      <c r="B322" s="120">
        <v>46051</v>
      </c>
      <c r="C322" s="5" t="s">
        <v>115</v>
      </c>
      <c r="D322" s="113">
        <v>9341.4699999999993</v>
      </c>
      <c r="E322" s="113"/>
      <c r="F322" s="189" t="s">
        <v>1536</v>
      </c>
      <c r="G322" s="5" t="s">
        <v>1707</v>
      </c>
      <c r="H322" s="85"/>
    </row>
    <row r="323" spans="2:8" x14ac:dyDescent="0.35">
      <c r="B323" s="120">
        <v>46051</v>
      </c>
      <c r="C323" s="5" t="s">
        <v>115</v>
      </c>
      <c r="D323" s="113">
        <v>5559.78</v>
      </c>
      <c r="E323" s="113"/>
      <c r="F323" s="5" t="s">
        <v>1536</v>
      </c>
      <c r="G323" s="5" t="s">
        <v>1707</v>
      </c>
      <c r="H323" s="85"/>
    </row>
    <row r="324" spans="2:8" x14ac:dyDescent="0.35">
      <c r="B324" s="120">
        <v>46051</v>
      </c>
      <c r="C324" s="5" t="s">
        <v>115</v>
      </c>
      <c r="D324" s="113">
        <v>5206.92</v>
      </c>
      <c r="E324" s="113"/>
      <c r="F324" s="5" t="s">
        <v>1536</v>
      </c>
      <c r="G324" s="189" t="s">
        <v>1707</v>
      </c>
      <c r="H324" s="85"/>
    </row>
    <row r="325" spans="2:8" x14ac:dyDescent="0.35">
      <c r="B325" s="120">
        <v>46052</v>
      </c>
      <c r="C325" s="5" t="s">
        <v>128</v>
      </c>
      <c r="D325" s="113"/>
      <c r="E325" s="113">
        <v>3340.65</v>
      </c>
      <c r="F325" s="5" t="s">
        <v>124</v>
      </c>
      <c r="G325" s="5" t="s">
        <v>1502</v>
      </c>
      <c r="H325" s="85"/>
    </row>
    <row r="326" spans="2:8" x14ac:dyDescent="0.35">
      <c r="B326" s="120">
        <v>46052</v>
      </c>
      <c r="C326" s="5" t="s">
        <v>115</v>
      </c>
      <c r="D326" s="113"/>
      <c r="E326" s="113">
        <v>349835.3</v>
      </c>
      <c r="F326" s="5" t="s">
        <v>177</v>
      </c>
      <c r="G326" s="5" t="s">
        <v>1639</v>
      </c>
      <c r="H326" s="85"/>
    </row>
    <row r="327" spans="2:8" x14ac:dyDescent="0.35">
      <c r="B327" s="120">
        <v>46052</v>
      </c>
      <c r="C327" s="5" t="s">
        <v>115</v>
      </c>
      <c r="D327" s="113"/>
      <c r="E327" s="113">
        <v>856681.49</v>
      </c>
      <c r="F327" s="5" t="s">
        <v>118</v>
      </c>
      <c r="G327" s="5" t="s">
        <v>1724</v>
      </c>
      <c r="H327" s="85"/>
    </row>
    <row r="328" spans="2:8" x14ac:dyDescent="0.35">
      <c r="B328" s="120">
        <v>46052</v>
      </c>
      <c r="C328" s="5" t="s">
        <v>121</v>
      </c>
      <c r="D328" s="113"/>
      <c r="E328" s="113">
        <v>858531.78</v>
      </c>
      <c r="F328" s="5" t="s">
        <v>124</v>
      </c>
      <c r="G328" s="5" t="s">
        <v>1501</v>
      </c>
      <c r="H328" s="85"/>
    </row>
    <row r="329" spans="2:8" x14ac:dyDescent="0.35">
      <c r="B329" s="120">
        <v>46052</v>
      </c>
      <c r="C329" s="5" t="s">
        <v>115</v>
      </c>
      <c r="D329" s="113"/>
      <c r="E329" s="113">
        <v>858616.8</v>
      </c>
      <c r="F329" s="5" t="s">
        <v>119</v>
      </c>
      <c r="G329" s="5" t="s">
        <v>1725</v>
      </c>
      <c r="H329" s="85"/>
    </row>
    <row r="330" spans="2:8" x14ac:dyDescent="0.35">
      <c r="B330" s="120">
        <v>46052</v>
      </c>
      <c r="C330" s="5" t="s">
        <v>128</v>
      </c>
      <c r="D330" s="113"/>
      <c r="E330" s="113">
        <v>2237960.2799999998</v>
      </c>
      <c r="F330" s="5" t="s">
        <v>124</v>
      </c>
      <c r="G330" s="5" t="s">
        <v>1724</v>
      </c>
      <c r="H330" s="85"/>
    </row>
    <row r="331" spans="2:8" x14ac:dyDescent="0.35">
      <c r="B331" s="120">
        <v>46052</v>
      </c>
      <c r="C331" s="5" t="s">
        <v>115</v>
      </c>
      <c r="D331" s="113"/>
      <c r="E331" s="113">
        <v>2269244.9700000002</v>
      </c>
      <c r="F331" s="5" t="s">
        <v>119</v>
      </c>
      <c r="G331" s="5" t="s">
        <v>1725</v>
      </c>
      <c r="H331" s="85"/>
    </row>
    <row r="332" spans="2:8" x14ac:dyDescent="0.35">
      <c r="B332" s="120">
        <v>46052</v>
      </c>
      <c r="C332" s="5" t="s">
        <v>125</v>
      </c>
      <c r="D332" s="113"/>
      <c r="E332" s="113">
        <v>3917133.41</v>
      </c>
      <c r="F332" s="5" t="s">
        <v>124</v>
      </c>
      <c r="G332" s="5" t="s">
        <v>1654</v>
      </c>
      <c r="H332" s="85"/>
    </row>
    <row r="333" spans="2:8" x14ac:dyDescent="0.35">
      <c r="B333" s="120">
        <v>46052</v>
      </c>
      <c r="C333" s="5" t="s">
        <v>115</v>
      </c>
      <c r="D333" s="113"/>
      <c r="E333" s="113">
        <v>7586256.9900000002</v>
      </c>
      <c r="F333" s="5" t="s">
        <v>127</v>
      </c>
      <c r="G333" s="5" t="s">
        <v>1724</v>
      </c>
      <c r="H333" s="85"/>
    </row>
    <row r="334" spans="2:8" x14ac:dyDescent="0.35">
      <c r="B334" s="120">
        <v>46052</v>
      </c>
      <c r="C334" s="5" t="s">
        <v>115</v>
      </c>
      <c r="D334" s="113"/>
      <c r="E334" s="113">
        <v>11000000</v>
      </c>
      <c r="F334" s="5" t="s">
        <v>167</v>
      </c>
      <c r="G334" s="5" t="s">
        <v>1741</v>
      </c>
      <c r="H334" s="85"/>
    </row>
    <row r="335" spans="2:8" x14ac:dyDescent="0.35">
      <c r="B335" s="120">
        <v>46052</v>
      </c>
      <c r="C335" s="5" t="s">
        <v>115</v>
      </c>
      <c r="D335" s="113"/>
      <c r="E335" s="113">
        <v>11276629.41</v>
      </c>
      <c r="F335" s="5" t="s">
        <v>148</v>
      </c>
      <c r="G335" s="5" t="s">
        <v>1731</v>
      </c>
      <c r="H335" s="85"/>
    </row>
    <row r="336" spans="2:8" x14ac:dyDescent="0.35">
      <c r="B336" s="120">
        <v>46052</v>
      </c>
      <c r="C336" s="5" t="s">
        <v>115</v>
      </c>
      <c r="D336" s="113"/>
      <c r="E336" s="113">
        <v>11521874.859999999</v>
      </c>
      <c r="F336" s="5" t="s">
        <v>119</v>
      </c>
      <c r="G336" s="5" t="s">
        <v>1725</v>
      </c>
      <c r="H336" s="85"/>
    </row>
    <row r="337" spans="2:8" x14ac:dyDescent="0.35">
      <c r="B337" s="120">
        <v>46052</v>
      </c>
      <c r="C337" s="5" t="s">
        <v>115</v>
      </c>
      <c r="D337" s="113"/>
      <c r="E337" s="113">
        <v>15000000</v>
      </c>
      <c r="F337" s="5" t="s">
        <v>167</v>
      </c>
      <c r="G337" s="5" t="s">
        <v>1742</v>
      </c>
      <c r="H337" s="85"/>
    </row>
    <row r="338" spans="2:8" x14ac:dyDescent="0.35">
      <c r="B338" s="120">
        <v>46052</v>
      </c>
      <c r="C338" s="5" t="s">
        <v>115</v>
      </c>
      <c r="D338" s="113"/>
      <c r="E338" s="113">
        <v>280000000</v>
      </c>
      <c r="F338" s="5" t="s">
        <v>120</v>
      </c>
      <c r="G338" s="5" t="s">
        <v>1740</v>
      </c>
      <c r="H338" s="85"/>
    </row>
    <row r="339" spans="2:8" x14ac:dyDescent="0.35">
      <c r="B339" s="85">
        <v>46053</v>
      </c>
      <c r="C339" s="26" t="s">
        <v>1752</v>
      </c>
      <c r="D339" s="89">
        <v>2234089.2599999998</v>
      </c>
      <c r="E339" s="89"/>
      <c r="F339" s="26"/>
      <c r="G339" s="26" t="s">
        <v>182</v>
      </c>
      <c r="H339" s="85"/>
    </row>
    <row r="340" spans="2:8" x14ac:dyDescent="0.35">
      <c r="B340" s="88"/>
      <c r="C340" s="25"/>
      <c r="D340" s="89">
        <f>SUM(D41:D339)</f>
        <v>1614738431.5800002</v>
      </c>
      <c r="E340" s="89">
        <f>SUM(E41:E339)</f>
        <v>2175544981.8099995</v>
      </c>
      <c r="F340" s="25"/>
      <c r="G340" s="25"/>
      <c r="H340" s="88"/>
    </row>
    <row r="341" spans="2:8" x14ac:dyDescent="0.35">
      <c r="B341" s="25"/>
      <c r="C341" s="25"/>
      <c r="D341" s="25"/>
      <c r="E341" s="25"/>
      <c r="F341" s="25"/>
      <c r="G341" s="25"/>
    </row>
    <row r="342" spans="2:8" x14ac:dyDescent="0.35">
      <c r="B342" s="194" t="s">
        <v>25</v>
      </c>
      <c r="C342" s="194"/>
      <c r="D342" s="194"/>
      <c r="E342" s="194"/>
      <c r="F342" s="194"/>
      <c r="G342" s="194"/>
      <c r="H342" s="43"/>
    </row>
    <row r="344" spans="2:8" x14ac:dyDescent="0.35">
      <c r="B344" s="34" t="s">
        <v>2</v>
      </c>
      <c r="C344" s="34" t="s">
        <v>65</v>
      </c>
      <c r="D344" s="86" t="s">
        <v>4</v>
      </c>
      <c r="E344" s="86" t="s">
        <v>5</v>
      </c>
      <c r="F344" s="34" t="s">
        <v>62</v>
      </c>
      <c r="G344" s="34" t="s">
        <v>6</v>
      </c>
      <c r="H344" s="86" t="s">
        <v>63</v>
      </c>
    </row>
    <row r="345" spans="2:8" x14ac:dyDescent="0.35">
      <c r="B345" s="191">
        <v>46049</v>
      </c>
      <c r="C345" s="5" t="s">
        <v>184</v>
      </c>
      <c r="D345" s="89"/>
      <c r="E345" s="113">
        <v>30723</v>
      </c>
      <c r="F345" s="5" t="s">
        <v>1753</v>
      </c>
      <c r="G345" s="11" t="s">
        <v>805</v>
      </c>
      <c r="H345" s="85" t="s">
        <v>872</v>
      </c>
    </row>
    <row r="346" spans="2:8" x14ac:dyDescent="0.35">
      <c r="D346" s="89">
        <f>SUM(D345:D345)</f>
        <v>0</v>
      </c>
      <c r="E346" s="89">
        <f>SUM(E345:E345)</f>
        <v>30723</v>
      </c>
    </row>
  </sheetData>
  <mergeCells count="13">
    <mergeCell ref="B342:G342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32:G32"/>
    <mergeCell ref="B38:G38"/>
  </mergeCells>
  <pageMargins left="0.7" right="0.7" top="0.75" bottom="0.75" header="0.3" footer="0.3"/>
  <pageSetup paperSize="9" scale="6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3" customWidth="1"/>
    <col min="2" max="2" width="17.28515625" style="13" bestFit="1" customWidth="1"/>
    <col min="3" max="3" width="17.28515625" style="13" customWidth="1"/>
    <col min="4" max="4" width="15.28515625" style="13" bestFit="1" customWidth="1"/>
    <col min="5" max="5" width="9.140625" style="13" bestFit="1" customWidth="1"/>
    <col min="6" max="6" width="8" style="13" bestFit="1" customWidth="1"/>
    <col min="7" max="7" width="41.5703125" style="13" customWidth="1"/>
    <col min="8" max="8" width="33.42578125" style="13" bestFit="1" customWidth="1"/>
    <col min="9" max="10" width="15.28515625" style="13" customWidth="1"/>
    <col min="11" max="11" width="10.85546875" style="14" bestFit="1" customWidth="1"/>
    <col min="12" max="12" width="38.42578125" style="13" bestFit="1" customWidth="1"/>
    <col min="13" max="16384" width="11.42578125" style="13"/>
  </cols>
  <sheetData>
    <row r="2" spans="2:11" x14ac:dyDescent="0.35">
      <c r="B2" s="42" t="s">
        <v>37</v>
      </c>
      <c r="C2" s="22" t="s">
        <v>39</v>
      </c>
    </row>
    <row r="3" spans="2:11" x14ac:dyDescent="0.35">
      <c r="B3" s="42" t="s">
        <v>40</v>
      </c>
      <c r="C3" s="22" t="s">
        <v>39</v>
      </c>
      <c r="F3" s="44"/>
    </row>
    <row r="4" spans="2:11" x14ac:dyDescent="0.35">
      <c r="B4" s="42" t="s">
        <v>38</v>
      </c>
      <c r="C4" s="22" t="s">
        <v>39</v>
      </c>
    </row>
    <row r="6" spans="2:11" x14ac:dyDescent="0.35">
      <c r="B6" s="199" t="s">
        <v>70</v>
      </c>
      <c r="C6" s="199"/>
      <c r="D6" s="45" t="s">
        <v>10</v>
      </c>
    </row>
    <row r="7" spans="2:11" x14ac:dyDescent="0.35">
      <c r="B7" s="200" t="s">
        <v>79</v>
      </c>
      <c r="C7" s="200"/>
      <c r="D7" s="46"/>
      <c r="F7" s="44"/>
    </row>
    <row r="8" spans="2:11" x14ac:dyDescent="0.35">
      <c r="B8" s="200" t="s">
        <v>80</v>
      </c>
      <c r="C8" s="200"/>
      <c r="D8" s="46"/>
    </row>
    <row r="9" spans="2:11" s="25" customFormat="1" x14ac:dyDescent="0.35">
      <c r="B9" s="47"/>
      <c r="C9" s="47"/>
      <c r="D9" s="48"/>
      <c r="K9" s="49"/>
    </row>
    <row r="10" spans="2:11" s="25" customFormat="1" x14ac:dyDescent="0.35">
      <c r="B10" s="199" t="s">
        <v>71</v>
      </c>
      <c r="C10" s="199"/>
      <c r="D10" s="45" t="s">
        <v>10</v>
      </c>
      <c r="K10" s="49"/>
    </row>
    <row r="11" spans="2:11" x14ac:dyDescent="0.35">
      <c r="B11" s="201" t="s">
        <v>72</v>
      </c>
      <c r="C11" s="202"/>
      <c r="D11" s="50">
        <f>+I42</f>
        <v>0</v>
      </c>
    </row>
    <row r="12" spans="2:11" x14ac:dyDescent="0.35">
      <c r="B12" s="197" t="s">
        <v>73</v>
      </c>
      <c r="C12" s="198"/>
      <c r="D12" s="46">
        <f>+J42</f>
        <v>0</v>
      </c>
    </row>
    <row r="13" spans="2:11" x14ac:dyDescent="0.35">
      <c r="B13" s="47"/>
      <c r="C13" s="47"/>
      <c r="D13" s="48"/>
    </row>
    <row r="14" spans="2:11" x14ac:dyDescent="0.35">
      <c r="B14" s="199" t="s">
        <v>74</v>
      </c>
      <c r="C14" s="199"/>
      <c r="D14" s="45" t="s">
        <v>10</v>
      </c>
    </row>
    <row r="15" spans="2:11" x14ac:dyDescent="0.35">
      <c r="B15" s="201" t="s">
        <v>75</v>
      </c>
      <c r="C15" s="202"/>
      <c r="D15" s="50">
        <f>+D7+D11-D12</f>
        <v>0</v>
      </c>
    </row>
    <row r="16" spans="2:11" x14ac:dyDescent="0.35">
      <c r="B16" s="197" t="s">
        <v>76</v>
      </c>
      <c r="C16" s="198"/>
      <c r="D16" s="46">
        <f>+D8</f>
        <v>0</v>
      </c>
    </row>
    <row r="17" spans="2:12" x14ac:dyDescent="0.35">
      <c r="B17" s="197" t="s">
        <v>66</v>
      </c>
      <c r="C17" s="198"/>
      <c r="D17" s="46">
        <f>+D15-D16</f>
        <v>0</v>
      </c>
    </row>
    <row r="19" spans="2:12" x14ac:dyDescent="0.35">
      <c r="B19" s="192" t="s">
        <v>77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</row>
    <row r="20" spans="2:12" x14ac:dyDescent="0.35">
      <c r="B20" s="25"/>
      <c r="C20" s="25"/>
      <c r="D20" s="25"/>
      <c r="E20" s="25"/>
      <c r="F20" s="25"/>
      <c r="G20" s="1"/>
    </row>
    <row r="21" spans="2:12" x14ac:dyDescent="0.35">
      <c r="B21" s="51" t="s">
        <v>78</v>
      </c>
      <c r="C21" s="34" t="s">
        <v>69</v>
      </c>
      <c r="D21" s="52" t="s">
        <v>61</v>
      </c>
      <c r="E21" s="34" t="s">
        <v>28</v>
      </c>
      <c r="F21" s="34" t="s">
        <v>64</v>
      </c>
      <c r="G21" s="34" t="s">
        <v>62</v>
      </c>
      <c r="H21" s="34" t="s">
        <v>6</v>
      </c>
      <c r="I21" s="35" t="s">
        <v>19</v>
      </c>
      <c r="J21" s="35" t="s">
        <v>20</v>
      </c>
      <c r="K21" s="35" t="s">
        <v>63</v>
      </c>
      <c r="L21" s="34" t="s">
        <v>22</v>
      </c>
    </row>
    <row r="22" spans="2:12" x14ac:dyDescent="0.35">
      <c r="B22" s="53" t="str">
        <f>+PROPER(TEXT(C22,"mmmm"))</f>
        <v>Enero</v>
      </c>
      <c r="C22" s="31"/>
      <c r="D22" s="31"/>
      <c r="E22" s="26"/>
      <c r="F22" s="54"/>
      <c r="G22" s="54"/>
      <c r="H22" s="54"/>
      <c r="I22" s="55"/>
      <c r="J22" s="55"/>
      <c r="K22" s="56"/>
      <c r="L22" s="57"/>
    </row>
    <row r="23" spans="2:12" x14ac:dyDescent="0.35">
      <c r="B23" s="53"/>
      <c r="C23" s="31"/>
      <c r="D23" s="31"/>
      <c r="E23" s="26"/>
      <c r="F23" s="54"/>
      <c r="G23" s="54"/>
      <c r="H23" s="54"/>
      <c r="I23" s="55"/>
      <c r="J23" s="55"/>
      <c r="K23" s="56"/>
      <c r="L23" s="57"/>
    </row>
    <row r="24" spans="2:12" x14ac:dyDescent="0.35">
      <c r="B24" s="53"/>
      <c r="C24" s="31"/>
      <c r="D24" s="31"/>
      <c r="E24" s="26"/>
      <c r="F24" s="54"/>
      <c r="G24" s="54"/>
      <c r="H24" s="54"/>
      <c r="I24" s="55"/>
      <c r="J24" s="55"/>
      <c r="K24" s="56"/>
      <c r="L24" s="57"/>
    </row>
    <row r="25" spans="2:12" x14ac:dyDescent="0.35">
      <c r="B25" s="53"/>
      <c r="C25" s="31"/>
      <c r="D25" s="31"/>
      <c r="E25" s="26"/>
      <c r="F25" s="54"/>
      <c r="G25" s="54"/>
      <c r="H25" s="54"/>
      <c r="I25" s="55"/>
      <c r="J25" s="55"/>
      <c r="K25" s="56"/>
      <c r="L25" s="57"/>
    </row>
    <row r="26" spans="2:12" x14ac:dyDescent="0.35">
      <c r="B26" s="53"/>
      <c r="C26" s="31"/>
      <c r="D26" s="31"/>
      <c r="E26" s="26"/>
      <c r="F26" s="54"/>
      <c r="G26" s="54"/>
      <c r="H26" s="54"/>
      <c r="I26" s="55"/>
      <c r="J26" s="55"/>
      <c r="K26" s="56"/>
      <c r="L26" s="57"/>
    </row>
    <row r="27" spans="2:12" x14ac:dyDescent="0.35">
      <c r="B27" s="53"/>
      <c r="C27" s="31"/>
      <c r="D27" s="31"/>
      <c r="E27" s="26"/>
      <c r="F27" s="54"/>
      <c r="G27" s="54"/>
      <c r="H27" s="54"/>
      <c r="I27" s="55"/>
      <c r="J27" s="55"/>
      <c r="K27" s="56"/>
      <c r="L27" s="57"/>
    </row>
    <row r="28" spans="2:12" x14ac:dyDescent="0.35">
      <c r="B28" s="53"/>
      <c r="C28" s="31"/>
      <c r="D28" s="31"/>
      <c r="E28" s="26"/>
      <c r="F28" s="54"/>
      <c r="G28" s="54"/>
      <c r="H28" s="54"/>
      <c r="I28" s="55"/>
      <c r="J28" s="55"/>
      <c r="K28" s="56"/>
      <c r="L28" s="57"/>
    </row>
    <row r="29" spans="2:12" x14ac:dyDescent="0.35">
      <c r="B29" s="53"/>
      <c r="C29" s="31"/>
      <c r="D29" s="31"/>
      <c r="E29" s="26"/>
      <c r="F29" s="54"/>
      <c r="G29" s="54"/>
      <c r="H29" s="54"/>
      <c r="I29" s="55"/>
      <c r="J29" s="55"/>
      <c r="K29" s="56"/>
      <c r="L29" s="57"/>
    </row>
    <row r="30" spans="2:12" x14ac:dyDescent="0.35">
      <c r="B30" s="53"/>
      <c r="C30" s="31"/>
      <c r="D30" s="31"/>
      <c r="E30" s="26"/>
      <c r="F30" s="54"/>
      <c r="G30" s="54"/>
      <c r="H30" s="54"/>
      <c r="I30" s="55"/>
      <c r="J30" s="55"/>
      <c r="K30" s="56"/>
      <c r="L30" s="57"/>
    </row>
    <row r="31" spans="2:12" x14ac:dyDescent="0.35">
      <c r="B31" s="53"/>
      <c r="C31" s="31"/>
      <c r="D31" s="31"/>
      <c r="E31" s="26"/>
      <c r="F31" s="54"/>
      <c r="G31" s="54"/>
      <c r="H31" s="54"/>
      <c r="I31" s="55"/>
      <c r="J31" s="55"/>
      <c r="K31" s="56"/>
      <c r="L31" s="57"/>
    </row>
    <row r="32" spans="2:12" x14ac:dyDescent="0.35">
      <c r="B32" s="53"/>
      <c r="C32" s="31"/>
      <c r="D32" s="31"/>
      <c r="E32" s="26"/>
      <c r="F32" s="54"/>
      <c r="G32" s="54"/>
      <c r="H32" s="54"/>
      <c r="I32" s="55"/>
      <c r="J32" s="55"/>
      <c r="K32" s="56"/>
      <c r="L32" s="57"/>
    </row>
    <row r="33" spans="2:12" x14ac:dyDescent="0.35">
      <c r="B33" s="53"/>
      <c r="C33" s="31"/>
      <c r="D33" s="31"/>
      <c r="E33" s="26"/>
      <c r="F33" s="54"/>
      <c r="G33" s="54"/>
      <c r="H33" s="54"/>
      <c r="I33" s="55"/>
      <c r="J33" s="55"/>
      <c r="K33" s="56"/>
      <c r="L33" s="57"/>
    </row>
    <row r="34" spans="2:12" x14ac:dyDescent="0.35">
      <c r="B34" s="53"/>
      <c r="C34" s="31"/>
      <c r="D34" s="31"/>
      <c r="E34" s="26"/>
      <c r="F34" s="54"/>
      <c r="G34" s="54"/>
      <c r="H34" s="54"/>
      <c r="I34" s="55"/>
      <c r="J34" s="55"/>
      <c r="K34" s="56"/>
      <c r="L34" s="57"/>
    </row>
    <row r="35" spans="2:12" x14ac:dyDescent="0.35">
      <c r="B35" s="53"/>
      <c r="C35" s="31"/>
      <c r="D35" s="31"/>
      <c r="E35" s="26"/>
      <c r="F35" s="54"/>
      <c r="G35" s="54"/>
      <c r="H35" s="54"/>
      <c r="I35" s="55"/>
      <c r="J35" s="55"/>
      <c r="K35" s="56"/>
      <c r="L35" s="57"/>
    </row>
    <row r="36" spans="2:12" x14ac:dyDescent="0.35">
      <c r="B36" s="53"/>
      <c r="C36" s="31"/>
      <c r="D36" s="31"/>
      <c r="E36" s="26"/>
      <c r="F36" s="54"/>
      <c r="G36" s="54"/>
      <c r="H36" s="54"/>
      <c r="I36" s="55"/>
      <c r="J36" s="55"/>
      <c r="K36" s="56"/>
      <c r="L36" s="57"/>
    </row>
    <row r="37" spans="2:12" x14ac:dyDescent="0.35">
      <c r="B37" s="53"/>
      <c r="C37" s="31"/>
      <c r="D37" s="31"/>
      <c r="E37" s="26"/>
      <c r="F37" s="54"/>
      <c r="G37" s="54"/>
      <c r="H37" s="54"/>
      <c r="I37" s="55"/>
      <c r="J37" s="55"/>
      <c r="K37" s="56"/>
      <c r="L37" s="57"/>
    </row>
    <row r="38" spans="2:12" x14ac:dyDescent="0.35">
      <c r="B38" s="53"/>
      <c r="C38" s="31"/>
      <c r="D38" s="31"/>
      <c r="E38" s="26"/>
      <c r="F38" s="54"/>
      <c r="G38" s="54"/>
      <c r="H38" s="54"/>
      <c r="I38" s="55"/>
      <c r="J38" s="55"/>
      <c r="K38" s="56"/>
      <c r="L38" s="57"/>
    </row>
    <row r="39" spans="2:12" x14ac:dyDescent="0.35">
      <c r="B39" s="53"/>
      <c r="C39" s="31"/>
      <c r="D39" s="31"/>
      <c r="E39" s="26"/>
      <c r="F39" s="54"/>
      <c r="G39" s="54"/>
      <c r="H39" s="54"/>
      <c r="I39" s="55"/>
      <c r="J39" s="55"/>
      <c r="K39" s="56"/>
      <c r="L39" s="57"/>
    </row>
    <row r="40" spans="2:12" x14ac:dyDescent="0.35">
      <c r="B40" s="53"/>
      <c r="C40" s="31"/>
      <c r="D40" s="31"/>
      <c r="E40" s="26"/>
      <c r="F40" s="54"/>
      <c r="G40" s="54"/>
      <c r="H40" s="54"/>
      <c r="I40" s="55"/>
      <c r="J40" s="55"/>
      <c r="K40" s="56"/>
      <c r="L40" s="57"/>
    </row>
    <row r="41" spans="2:12" x14ac:dyDescent="0.35">
      <c r="B41" s="53"/>
      <c r="C41" s="31"/>
      <c r="D41" s="31"/>
      <c r="E41" s="26"/>
      <c r="F41" s="54"/>
      <c r="G41" s="54"/>
      <c r="H41" s="54"/>
      <c r="I41" s="55"/>
      <c r="J41" s="55"/>
      <c r="K41" s="56"/>
      <c r="L41" s="57"/>
    </row>
    <row r="42" spans="2:12" x14ac:dyDescent="0.35">
      <c r="I42" s="32">
        <f>SUM(I22:I41)</f>
        <v>0</v>
      </c>
      <c r="J42" s="32">
        <f>SUM(J22:J41)</f>
        <v>0</v>
      </c>
    </row>
    <row r="45" spans="2:12" x14ac:dyDescent="0.35">
      <c r="K45" s="13"/>
    </row>
    <row r="46" spans="2:12" x14ac:dyDescent="0.35">
      <c r="K46" s="13"/>
    </row>
    <row r="47" spans="2:12" x14ac:dyDescent="0.35">
      <c r="K47" s="13"/>
    </row>
    <row r="48" spans="2:12" x14ac:dyDescent="0.35">
      <c r="K48" s="13"/>
    </row>
    <row r="49" spans="11:11" x14ac:dyDescent="0.35">
      <c r="K49" s="13"/>
    </row>
    <row r="50" spans="11:11" x14ac:dyDescent="0.35">
      <c r="K50" s="13"/>
    </row>
    <row r="51" spans="11:11" x14ac:dyDescent="0.35">
      <c r="K51" s="13"/>
    </row>
    <row r="52" spans="11:11" x14ac:dyDescent="0.35">
      <c r="K52" s="13"/>
    </row>
    <row r="53" spans="11:11" x14ac:dyDescent="0.35">
      <c r="K53" s="13"/>
    </row>
    <row r="54" spans="11:11" x14ac:dyDescent="0.35">
      <c r="K54" s="13"/>
    </row>
    <row r="55" spans="11:11" x14ac:dyDescent="0.35">
      <c r="K55" s="13"/>
    </row>
    <row r="56" spans="11:11" x14ac:dyDescent="0.35">
      <c r="K56" s="13"/>
    </row>
    <row r="57" spans="11:11" x14ac:dyDescent="0.35">
      <c r="K57" s="13"/>
    </row>
    <row r="58" spans="11:11" x14ac:dyDescent="0.35">
      <c r="K58" s="13"/>
    </row>
    <row r="59" spans="11:11" x14ac:dyDescent="0.35">
      <c r="K59" s="13"/>
    </row>
    <row r="60" spans="11:11" x14ac:dyDescent="0.35">
      <c r="K60" s="13"/>
    </row>
    <row r="61" spans="11:11" x14ac:dyDescent="0.35">
      <c r="K61" s="13"/>
    </row>
    <row r="62" spans="11:11" x14ac:dyDescent="0.35">
      <c r="K62" s="13"/>
    </row>
    <row r="63" spans="11:11" x14ac:dyDescent="0.35">
      <c r="K63" s="13"/>
    </row>
    <row r="64" spans="11:11" x14ac:dyDescent="0.35">
      <c r="K64" s="13"/>
    </row>
    <row r="65" spans="11:11" x14ac:dyDescent="0.35">
      <c r="K65" s="13"/>
    </row>
    <row r="66" spans="11:11" x14ac:dyDescent="0.35">
      <c r="K66" s="13"/>
    </row>
    <row r="67" spans="11:11" x14ac:dyDescent="0.35">
      <c r="K67" s="13"/>
    </row>
    <row r="68" spans="11:11" x14ac:dyDescent="0.35">
      <c r="K68" s="13"/>
    </row>
    <row r="70" spans="11:11" x14ac:dyDescent="0.35">
      <c r="K70" s="13"/>
    </row>
    <row r="71" spans="11:11" x14ac:dyDescent="0.35">
      <c r="K71" s="13"/>
    </row>
    <row r="72" spans="11:11" x14ac:dyDescent="0.35">
      <c r="K72" s="13"/>
    </row>
    <row r="73" spans="11:11" x14ac:dyDescent="0.35">
      <c r="K73" s="13"/>
    </row>
    <row r="74" spans="11:11" x14ac:dyDescent="0.35">
      <c r="K74" s="13"/>
    </row>
    <row r="75" spans="11:11" x14ac:dyDescent="0.35">
      <c r="K75" s="13"/>
    </row>
    <row r="76" spans="11:11" x14ac:dyDescent="0.35">
      <c r="K76" s="13"/>
    </row>
    <row r="77" spans="11:11" x14ac:dyDescent="0.35">
      <c r="K77" s="13"/>
    </row>
    <row r="78" spans="11:11" x14ac:dyDescent="0.35">
      <c r="K78" s="13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"/>
  <sheetViews>
    <sheetView workbookViewId="0">
      <selection activeCell="I12" sqref="I12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1" t="s">
        <v>41</v>
      </c>
      <c r="H3" t="s">
        <v>88</v>
      </c>
    </row>
    <row r="4" spans="2:8" x14ac:dyDescent="0.25">
      <c r="B4" t="s">
        <v>31</v>
      </c>
      <c r="D4">
        <v>579702001</v>
      </c>
      <c r="F4" s="21" t="s">
        <v>42</v>
      </c>
      <c r="H4" t="s">
        <v>86</v>
      </c>
    </row>
    <row r="5" spans="2:8" x14ac:dyDescent="0.25">
      <c r="B5" t="s">
        <v>33</v>
      </c>
      <c r="D5">
        <v>6290002225</v>
      </c>
      <c r="F5" s="21" t="s">
        <v>43</v>
      </c>
      <c r="H5" t="s">
        <v>81</v>
      </c>
    </row>
    <row r="6" spans="2:8" x14ac:dyDescent="0.25">
      <c r="B6" t="s">
        <v>34</v>
      </c>
      <c r="D6">
        <v>6290002328</v>
      </c>
      <c r="F6" s="21" t="s">
        <v>44</v>
      </c>
      <c r="H6" t="s">
        <v>82</v>
      </c>
    </row>
    <row r="7" spans="2:8" x14ac:dyDescent="0.25">
      <c r="B7" t="s">
        <v>35</v>
      </c>
      <c r="D7">
        <v>6290035153</v>
      </c>
      <c r="F7" s="21" t="s">
        <v>45</v>
      </c>
      <c r="H7" t="s">
        <v>83</v>
      </c>
    </row>
    <row r="8" spans="2:8" x14ac:dyDescent="0.25">
      <c r="B8" t="s">
        <v>36</v>
      </c>
      <c r="D8">
        <v>6290046289</v>
      </c>
      <c r="F8" s="21" t="s">
        <v>46</v>
      </c>
      <c r="H8" t="s">
        <v>93</v>
      </c>
    </row>
    <row r="9" spans="2:8" x14ac:dyDescent="0.25">
      <c r="D9">
        <v>6290064906</v>
      </c>
      <c r="F9" s="21" t="s">
        <v>47</v>
      </c>
      <c r="H9" t="s">
        <v>1505</v>
      </c>
    </row>
    <row r="10" spans="2:8" x14ac:dyDescent="0.25">
      <c r="D10">
        <v>1135970835</v>
      </c>
      <c r="F10" s="21" t="s">
        <v>48</v>
      </c>
      <c r="H10" t="s">
        <v>89</v>
      </c>
    </row>
    <row r="11" spans="2:8" x14ac:dyDescent="0.25">
      <c r="D11">
        <v>9406934115</v>
      </c>
      <c r="F11" s="21" t="s">
        <v>49</v>
      </c>
      <c r="H11" t="s">
        <v>100</v>
      </c>
    </row>
    <row r="12" spans="2:8" x14ac:dyDescent="0.25">
      <c r="D12">
        <v>44100000482</v>
      </c>
      <c r="F12" s="21" t="s">
        <v>50</v>
      </c>
      <c r="H12" t="s">
        <v>84</v>
      </c>
    </row>
    <row r="13" spans="2:8" x14ac:dyDescent="0.25">
      <c r="F13" s="21" t="s">
        <v>51</v>
      </c>
      <c r="H13" t="s">
        <v>85</v>
      </c>
    </row>
    <row r="14" spans="2:8" x14ac:dyDescent="0.25">
      <c r="F14" s="21" t="s">
        <v>52</v>
      </c>
      <c r="H14" t="s">
        <v>90</v>
      </c>
    </row>
    <row r="15" spans="2:8" x14ac:dyDescent="0.25">
      <c r="H15" t="s">
        <v>92</v>
      </c>
    </row>
    <row r="16" spans="2:8" x14ac:dyDescent="0.25">
      <c r="H16" t="s">
        <v>87</v>
      </c>
    </row>
    <row r="17" spans="8:8" x14ac:dyDescent="0.25">
      <c r="H17" t="s">
        <v>91</v>
      </c>
    </row>
    <row r="18" spans="8:8" x14ac:dyDescent="0.25">
      <c r="H18" t="s">
        <v>101</v>
      </c>
    </row>
  </sheetData>
  <sortState ref="H3:H18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2026-04-23T14:55:46Z</cp:lastPrinted>
  <dcterms:created xsi:type="dcterms:W3CDTF">2025-12-17T13:21:20Z</dcterms:created>
  <dcterms:modified xsi:type="dcterms:W3CDTF">2026-04-23T14:55:48Z</dcterms:modified>
</cp:coreProperties>
</file>