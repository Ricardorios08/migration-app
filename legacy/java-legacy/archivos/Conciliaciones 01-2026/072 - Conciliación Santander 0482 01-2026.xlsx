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30" activeTab="3"/>
  </bookViews>
  <sheets>
    <sheet name="PENDIENTES MES ANT" sheetId="4" r:id="rId1"/>
    <sheet name="EXTRACTO" sheetId="2" r:id="rId2"/>
    <sheet name="LIBRO BANCO" sheetId="3" r:id="rId3"/>
    <sheet name="CONCILIACIÓN" sheetId="5" r:id="rId4"/>
    <sheet name="BALANCE" sheetId="7" state="hidden" r:id="rId5"/>
    <sheet name="OPCIONES" sheetId="6" state="hidden" r:id="rId6"/>
  </sheets>
  <definedNames>
    <definedName name="_xlnm._FilterDatabase" localSheetId="3" hidden="1">CONCILIACIÓN!$B$22:$G$22</definedName>
    <definedName name="_xlnm.Print_Area" localSheetId="3">CONCILIACIÓN!$B$2:$H$42</definedName>
  </definedNames>
  <calcPr calcId="145621"/>
</workbook>
</file>

<file path=xl/calcChain.xml><?xml version="1.0" encoding="utf-8"?>
<calcChain xmlns="http://schemas.openxmlformats.org/spreadsheetml/2006/main">
  <c r="J19" i="3" l="1"/>
  <c r="J9" i="3"/>
  <c r="J10" i="3" s="1"/>
  <c r="J11" i="3" s="1"/>
  <c r="J12" i="3" s="1"/>
  <c r="J13" i="3" s="1"/>
  <c r="J14" i="3" s="1"/>
  <c r="J15" i="3" s="1"/>
  <c r="J16" i="3" s="1"/>
  <c r="J17" i="3" s="1"/>
  <c r="J18" i="3" s="1"/>
  <c r="J8" i="3"/>
  <c r="I19" i="3"/>
  <c r="H19" i="3"/>
  <c r="K8" i="2"/>
  <c r="K9" i="2" s="1"/>
  <c r="K10" i="2" s="1"/>
  <c r="K11" i="2" s="1"/>
  <c r="K12" i="2" s="1"/>
  <c r="F16" i="4" l="1"/>
  <c r="E23" i="4" s="1"/>
  <c r="E16" i="4"/>
  <c r="E24" i="4" s="1"/>
  <c r="F10" i="4"/>
  <c r="E22" i="4" s="1"/>
  <c r="E10" i="4"/>
  <c r="E21" i="4" s="1"/>
  <c r="E42" i="5"/>
  <c r="D42" i="5"/>
  <c r="E36" i="5"/>
  <c r="D36" i="5"/>
  <c r="E30" i="5"/>
  <c r="D30" i="5"/>
  <c r="D15" i="5" s="1"/>
  <c r="E24" i="5"/>
  <c r="D24" i="5"/>
  <c r="D12" i="5" l="1"/>
  <c r="D13" i="5"/>
  <c r="D14" i="5"/>
  <c r="E25" i="4"/>
  <c r="E27" i="4" s="1"/>
  <c r="J42" i="7" l="1"/>
  <c r="I42" i="7"/>
  <c r="D12" i="7" l="1"/>
  <c r="D11" i="7"/>
  <c r="D15" i="7" s="1"/>
  <c r="D17" i="7" s="1"/>
  <c r="B22" i="7"/>
  <c r="D16" i="7"/>
  <c r="D17" i="5" l="1"/>
  <c r="D11" i="5"/>
  <c r="D16" i="5" l="1"/>
  <c r="D18" i="5" s="1"/>
</calcChain>
</file>

<file path=xl/sharedStrings.xml><?xml version="1.0" encoding="utf-8"?>
<sst xmlns="http://schemas.openxmlformats.org/spreadsheetml/2006/main" count="290" uniqueCount="133">
  <si>
    <t>DETALLE DE DÉBITOS Y/O CRÉDITOS NO CONCILIADOS</t>
  </si>
  <si>
    <t>DETALLE DE DÉBITOS Y/O CRÉDITOS NO REGISTRADOS</t>
  </si>
  <si>
    <t>FECHA</t>
  </si>
  <si>
    <t>COMPROBANTE</t>
  </si>
  <si>
    <t>DÉBITOS</t>
  </si>
  <si>
    <t>CRÉDITOS</t>
  </si>
  <si>
    <t>DETALLE</t>
  </si>
  <si>
    <t>TIPO DE MOVIMIENTO</t>
  </si>
  <si>
    <t>REFERENCIAS</t>
  </si>
  <si>
    <t>DATOS</t>
  </si>
  <si>
    <t>MONTOS</t>
  </si>
  <si>
    <t>CONCEPTO</t>
  </si>
  <si>
    <t>SUCURSAL</t>
  </si>
  <si>
    <t>IMPORTE</t>
  </si>
  <si>
    <t>DESCRIPCIÓN</t>
  </si>
  <si>
    <t>COD BANCO</t>
  </si>
  <si>
    <t>CUIT</t>
  </si>
  <si>
    <t>DENOMINACIÓN</t>
  </si>
  <si>
    <t>SALDO</t>
  </si>
  <si>
    <t>DEBE</t>
  </si>
  <si>
    <t>HABER</t>
  </si>
  <si>
    <t>TOTAL</t>
  </si>
  <si>
    <t>OBSERVACIÓN</t>
  </si>
  <si>
    <t>CONCILIACIÓN</t>
  </si>
  <si>
    <t>PENDIENTES EXTRACTO</t>
  </si>
  <si>
    <t>PENDIENTES LIBRO BANCO</t>
  </si>
  <si>
    <t>Saldo Extracto</t>
  </si>
  <si>
    <t>Saldo Libro Banco</t>
  </si>
  <si>
    <t>CÓDIGO</t>
  </si>
  <si>
    <t>TIPO</t>
  </si>
  <si>
    <t>SALDO INICIAL</t>
  </si>
  <si>
    <t>11 - NACIÓN</t>
  </si>
  <si>
    <t>7 - GALICIA</t>
  </si>
  <si>
    <t>27 - SUPERVIELLE</t>
  </si>
  <si>
    <t>72 - SANTANDER</t>
  </si>
  <si>
    <t>191 - CREDICOOP</t>
  </si>
  <si>
    <t>285 - MACRO</t>
  </si>
  <si>
    <t>BANCO - CONCEPTO:</t>
  </si>
  <si>
    <t>MES - AÑO:</t>
  </si>
  <si>
    <t>OPCIONES</t>
  </si>
  <si>
    <t>CUENTA BANCARIA: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</si>
  <si>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</si>
  <si>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</si>
  <si>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</si>
  <si>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</si>
  <si>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</si>
  <si>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</si>
  <si>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</si>
  <si>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</si>
  <si>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</si>
  <si>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</si>
  <si>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</si>
  <si>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</si>
  <si>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Menos Débitos No Conciliados</t>
  </si>
  <si>
    <t>Más Créditos No Conciliados</t>
  </si>
  <si>
    <t>Menos Créditos No Registrados</t>
  </si>
  <si>
    <t>Más Débitos No Registrados</t>
  </si>
  <si>
    <t>Resultado</t>
  </si>
  <si>
    <t>FECHA DE CONC</t>
  </si>
  <si>
    <t>EXTRACTO BANCARIO:</t>
  </si>
  <si>
    <t>LIBRO BANCO:</t>
  </si>
  <si>
    <t>FECHA CONTABLE</t>
  </si>
  <si>
    <t>PROVEEDOR / DEPOSITANTE</t>
  </si>
  <si>
    <t>ESTADO</t>
  </si>
  <si>
    <t>Nº COMP</t>
  </si>
  <si>
    <t>MOVIMIENTO</t>
  </si>
  <si>
    <t>Diferencia</t>
  </si>
  <si>
    <t>Saldo según Libro Banco</t>
  </si>
  <si>
    <t>Saldo según Extracto Bancario</t>
  </si>
  <si>
    <t>FECHA SISTEMA</t>
  </si>
  <si>
    <t>SALDOS FINALES</t>
  </si>
  <si>
    <t>AJUSTES</t>
  </si>
  <si>
    <t>Débitos No Considerados en Balance</t>
  </si>
  <si>
    <t>Créditos No Considerados en Balance</t>
  </si>
  <si>
    <t>VERIFICACIÓN</t>
  </si>
  <si>
    <t>Saldo Balance + Ajustes No Considerados</t>
  </si>
  <si>
    <t>Saldo Real Libro Banco</t>
  </si>
  <si>
    <t>DETALLE DE DÉBITOS Y/O CRÉDITOS NO CONSIDERADOS POR FECHA SISTEMA POSTERIOR</t>
  </si>
  <si>
    <t>MES DE PROCESO</t>
  </si>
  <si>
    <t>Saldo según Balance XX/2026</t>
  </si>
  <si>
    <t>Saldo según Libro Banco XX/2026</t>
  </si>
  <si>
    <t>Epagos - Debin</t>
  </si>
  <si>
    <t>Epagos - TC</t>
  </si>
  <si>
    <t>Fondo Común de Inversión</t>
  </si>
  <si>
    <t>Plazo Fijo</t>
  </si>
  <si>
    <t>Recaudación por Caja</t>
  </si>
  <si>
    <t>Declaración Jurada</t>
  </si>
  <si>
    <t>Subsidio</t>
  </si>
  <si>
    <t>Cheque</t>
  </si>
  <si>
    <t>Participación Municipal</t>
  </si>
  <si>
    <t>Reintegro</t>
  </si>
  <si>
    <t>Sueldos</t>
  </si>
  <si>
    <t>Servicios Públicos</t>
  </si>
  <si>
    <t>Gastos Bancarios</t>
  </si>
  <si>
    <t xml:space="preserve"> Anulado</t>
  </si>
  <si>
    <t xml:space="preserve"> Mes anterior</t>
  </si>
  <si>
    <t xml:space="preserve"> Mes actual</t>
  </si>
  <si>
    <t xml:space="preserve"> Epagos</t>
  </si>
  <si>
    <t xml:space="preserve"> DDJJ</t>
  </si>
  <si>
    <t xml:space="preserve"> Gastos Bancarios</t>
  </si>
  <si>
    <t>Pendiente</t>
  </si>
  <si>
    <t>Transferencia</t>
  </si>
  <si>
    <t>PAGO PF LD</t>
  </si>
  <si>
    <t xml:space="preserve">LIQUIDACION/VTO PZO FIJO </t>
  </si>
  <si>
    <t xml:space="preserve">           </t>
  </si>
  <si>
    <t>PZO.FIJO</t>
  </si>
  <si>
    <t>CONSTITUCION DE PLAZO FIJ</t>
  </si>
  <si>
    <t>A/MANT.C.A</t>
  </si>
  <si>
    <t xml:space="preserve"> </t>
  </si>
  <si>
    <t xml:space="preserve">COMISION POR SERVICIO DE </t>
  </si>
  <si>
    <t>IVA</t>
  </si>
  <si>
    <t xml:space="preserve">IVA 21% REG DE TRANSFISC </t>
  </si>
  <si>
    <t>SALDO FINAL</t>
  </si>
  <si>
    <t>Comisiones e IVA 01/2026</t>
  </si>
  <si>
    <t>23 Trans.A</t>
  </si>
  <si>
    <t>6 Transf.</t>
  </si>
  <si>
    <t>8 Recauda</t>
  </si>
  <si>
    <t xml:space="preserve">Santander 0482                                                        </t>
  </si>
  <si>
    <t xml:space="preserve">Constitucion Plazo Fijo Santander </t>
  </si>
  <si>
    <t xml:space="preserve">PF Santander                                                          </t>
  </si>
  <si>
    <t>Cancelacion Plazo Fijo Santander</t>
  </si>
  <si>
    <t xml:space="preserve">PLAZO FIJO BANCO SANTANDER                                            </t>
  </si>
  <si>
    <t>NÂº 1420044</t>
  </si>
  <si>
    <t xml:space="preserve">RENTA PLAZO FIJO BCO SANTANDER                                        </t>
  </si>
  <si>
    <t>VTO 16-01-26</t>
  </si>
  <si>
    <t xml:space="preserve">Nro. 1132--2026-1000          </t>
  </si>
  <si>
    <t xml:space="preserve">                              </t>
  </si>
  <si>
    <t>Anulado</t>
  </si>
  <si>
    <t>Definitivo</t>
  </si>
  <si>
    <t xml:space="preserve">Nro. 33713-2025-1000       </t>
  </si>
  <si>
    <t xml:space="preserve">Nro. 33713-2025-1000         </t>
  </si>
  <si>
    <t xml:space="preserve">Nro. 1132-2026-1000          </t>
  </si>
  <si>
    <t>GASTOS BANCARIOS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</si>
</sst>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15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5" fillId="0" borderId="1" xfId="0" applyFont="1" applyBorder="1"/>
    <xf numFmtId="0" fontId="5" fillId="0" borderId="3" xfId="0" applyFont="1" applyBorder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Fill="1" applyAlignment="1">
      <alignment horizontal="left"/>
    </xf>
    <xf numFmtId="0" fontId="3" fillId="0" borderId="2" xfId="0" applyFont="1" applyBorder="1" applyAlignment="1">
      <alignment horizontal="left"/>
    </xf>
    <xf numFmtId="43" fontId="3" fillId="0" borderId="0" xfId="1" applyFont="1"/>
    <xf numFmtId="0" fontId="3" fillId="0" borderId="0" xfId="0" applyFont="1" applyAlignment="1">
      <alignment horizontal="left"/>
    </xf>
    <xf numFmtId="49" fontId="0" fillId="0" borderId="0" xfId="0" applyNumberFormat="1"/>
    <xf numFmtId="0" fontId="3" fillId="0" borderId="0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  <xf numFmtId="43" fontId="4" fillId="0" borderId="0" xfId="1" applyFont="1" applyAlignment="1"/>
    <xf numFmtId="0" fontId="3" fillId="0" borderId="0" xfId="0" applyFont="1" applyFill="1" applyBorder="1"/>
    <xf numFmtId="0" fontId="3" fillId="0" borderId="1" xfId="0" applyFont="1" applyFill="1" applyBorder="1"/>
    <xf numFmtId="164" fontId="6" fillId="3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43" fontId="6" fillId="3" borderId="3" xfId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43" fontId="3" fillId="0" borderId="1" xfId="1" applyFont="1" applyFill="1" applyBorder="1"/>
    <xf numFmtId="16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43" fontId="6" fillId="3" borderId="4" xfId="1" applyFont="1" applyFill="1" applyBorder="1" applyAlignment="1">
      <alignment horizontal="center"/>
    </xf>
    <xf numFmtId="43" fontId="6" fillId="3" borderId="10" xfId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/>
    <xf numFmtId="43" fontId="3" fillId="0" borderId="0" xfId="0" applyNumberFormat="1" applyFont="1" applyFill="1"/>
    <xf numFmtId="0" fontId="6" fillId="3" borderId="1" xfId="0" applyNumberFormat="1" applyFont="1" applyFill="1" applyBorder="1" applyAlignment="1">
      <alignment horizontal="center"/>
    </xf>
    <xf numFmtId="4" fontId="3" fillId="0" borderId="1" xfId="1" applyNumberFormat="1" applyFont="1" applyFill="1" applyBorder="1"/>
    <xf numFmtId="0" fontId="3" fillId="0" borderId="0" xfId="0" applyFont="1" applyFill="1" applyBorder="1" applyAlignment="1">
      <alignment horizontal="left"/>
    </xf>
    <xf numFmtId="4" fontId="3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4" fontId="3" fillId="0" borderId="3" xfId="1" applyNumberFormat="1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8" fillId="0" borderId="3" xfId="0" applyFont="1" applyBorder="1"/>
    <xf numFmtId="0" fontId="9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7" fillId="0" borderId="3" xfId="0" applyFont="1" applyBorder="1"/>
    <xf numFmtId="0" fontId="9" fillId="3" borderId="3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3" fontId="3" fillId="0" borderId="0" xfId="1" applyFont="1" applyAlignment="1">
      <alignment horizontal="center"/>
    </xf>
    <xf numFmtId="43" fontId="5" fillId="0" borderId="3" xfId="1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right"/>
    </xf>
    <xf numFmtId="4" fontId="3" fillId="0" borderId="1" xfId="1" applyNumberFormat="1" applyFont="1" applyFill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" fontId="2" fillId="0" borderId="1" xfId="1" applyNumberFormat="1" applyFont="1" applyFill="1" applyBorder="1" applyAlignment="1">
      <alignment horizontal="right"/>
    </xf>
    <xf numFmtId="4" fontId="3" fillId="0" borderId="6" xfId="0" applyNumberFormat="1" applyFont="1" applyBorder="1"/>
    <xf numFmtId="4" fontId="3" fillId="0" borderId="9" xfId="0" applyNumberFormat="1" applyFont="1" applyBorder="1"/>
    <xf numFmtId="0" fontId="2" fillId="0" borderId="0" xfId="0" applyFont="1" applyFill="1"/>
    <xf numFmtId="164" fontId="3" fillId="0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" fontId="3" fillId="0" borderId="1" xfId="0" applyNumberFormat="1" applyFont="1" applyFill="1" applyBorder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4" fontId="3" fillId="0" borderId="3" xfId="1" applyNumberFormat="1" applyFont="1" applyBorder="1"/>
    <xf numFmtId="4" fontId="3" fillId="0" borderId="8" xfId="1" applyNumberFormat="1" applyFont="1" applyBorder="1"/>
    <xf numFmtId="4" fontId="3" fillId="0" borderId="4" xfId="1" applyNumberFormat="1" applyFont="1" applyBorder="1"/>
    <xf numFmtId="4" fontId="3" fillId="0" borderId="9" xfId="1" applyNumberFormat="1" applyFont="1" applyBorder="1"/>
    <xf numFmtId="0" fontId="10" fillId="0" borderId="0" xfId="0" applyFont="1" applyFill="1" applyBorder="1" applyAlignment="1">
      <alignment vertical="center"/>
    </xf>
    <xf numFmtId="2" fontId="3" fillId="0" borderId="1" xfId="1" applyNumberFormat="1" applyFont="1" applyBorder="1"/>
    <xf numFmtId="2" fontId="3" fillId="0" borderId="1" xfId="1" applyNumberFormat="1" applyFont="1" applyFill="1" applyBorder="1"/>
    <xf numFmtId="2" fontId="3" fillId="0" borderId="1" xfId="0" applyNumberFormat="1" applyFont="1" applyBorder="1"/>
    <xf numFmtId="0" fontId="3" fillId="6" borderId="7" xfId="0" applyFont="1" applyFill="1" applyBorder="1"/>
    <xf numFmtId="0" fontId="4" fillId="0" borderId="0" xfId="0" applyFont="1" applyAlignment="1">
      <alignment horizontal="center"/>
    </xf>
    <xf numFmtId="0" fontId="3" fillId="0" borderId="8" xfId="0" applyFont="1" applyBorder="1"/>
    <xf numFmtId="4" fontId="3" fillId="0" borderId="1" xfId="0" applyNumberFormat="1" applyFont="1" applyFill="1" applyBorder="1"/>
    <xf numFmtId="164" fontId="3" fillId="6" borderId="8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4" fontId="3" fillId="6" borderId="8" xfId="1" applyNumberFormat="1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7" fillId="6" borderId="3" xfId="0" applyFont="1" applyFill="1" applyBorder="1"/>
    <xf numFmtId="0" fontId="3" fillId="6" borderId="3" xfId="0" applyFont="1" applyFill="1" applyBorder="1"/>
    <xf numFmtId="164" fontId="3" fillId="5" borderId="7" xfId="0" applyNumberFormat="1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8" xfId="0" applyFont="1" applyFill="1" applyBorder="1"/>
    <xf numFmtId="0" fontId="3" fillId="5" borderId="8" xfId="0" applyFont="1" applyFill="1" applyBorder="1" applyAlignment="1">
      <alignment horizontal="center"/>
    </xf>
    <xf numFmtId="4" fontId="3" fillId="5" borderId="8" xfId="1" applyNumberFormat="1" applyFont="1" applyFill="1" applyBorder="1"/>
    <xf numFmtId="4" fontId="3" fillId="5" borderId="9" xfId="1" applyNumberFormat="1" applyFont="1" applyFill="1" applyBorder="1"/>
    <xf numFmtId="0" fontId="5" fillId="5" borderId="1" xfId="1" applyNumberFormat="1" applyFont="1" applyFill="1" applyBorder="1" applyAlignment="1">
      <alignment horizontal="center"/>
    </xf>
    <xf numFmtId="0" fontId="5" fillId="5" borderId="1" xfId="0" applyFont="1" applyFill="1" applyBorder="1"/>
    <xf numFmtId="0" fontId="8" fillId="5" borderId="3" xfId="0" applyFont="1" applyFill="1" applyBorder="1"/>
    <xf numFmtId="0" fontId="3" fillId="7" borderId="7" xfId="0" applyFont="1" applyFill="1" applyBorder="1"/>
    <xf numFmtId="164" fontId="3" fillId="7" borderId="8" xfId="0" applyNumberFormat="1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4" fontId="3" fillId="7" borderId="8" xfId="1" applyNumberFormat="1" applyFont="1" applyFill="1" applyBorder="1"/>
    <xf numFmtId="0" fontId="3" fillId="7" borderId="8" xfId="0" applyFont="1" applyFill="1" applyBorder="1"/>
    <xf numFmtId="0" fontId="7" fillId="7" borderId="3" xfId="0" applyFont="1" applyFill="1" applyBorder="1"/>
    <xf numFmtId="164" fontId="3" fillId="7" borderId="7" xfId="0" applyNumberFormat="1" applyFont="1" applyFill="1" applyBorder="1" applyAlignment="1">
      <alignment horizontal="center"/>
    </xf>
    <xf numFmtId="4" fontId="3" fillId="7" borderId="9" xfId="1" applyNumberFormat="1" applyFont="1" applyFill="1" applyBorder="1"/>
    <xf numFmtId="0" fontId="5" fillId="7" borderId="1" xfId="1" applyNumberFormat="1" applyFont="1" applyFill="1" applyBorder="1" applyAlignment="1">
      <alignment horizontal="center"/>
    </xf>
    <xf numFmtId="0" fontId="5" fillId="7" borderId="1" xfId="0" applyFont="1" applyFill="1" applyBorder="1"/>
    <xf numFmtId="0" fontId="8" fillId="7" borderId="3" xfId="0" applyFont="1" applyFill="1" applyBorder="1"/>
    <xf numFmtId="0" fontId="5" fillId="7" borderId="3" xfId="0" applyFont="1" applyFill="1" applyBorder="1"/>
    <xf numFmtId="0" fontId="3" fillId="7" borderId="3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</cellXfs>
  <cellStyles count="3">
    <cellStyle name="Millares" xfId="1" builtinId="3"/>
    <cellStyle name="Normal" xfId="0" builtinId="0"/>
    <cellStyle name="Normal 2" xfId="2"/>
  </cellStyles>
  <dxfs count="65"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A7895"/>
      <color rgb="FFDC88A6"/>
      <color rgb="FFD16189"/>
      <color rgb="FFD098A8"/>
      <color rgb="FFE890B2"/>
      <color rgb="FFFFBDDE"/>
      <color rgb="FFFFB3D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8:H9" totalsRowShown="0" headerRowDxfId="64" dataDxfId="62" headerRowBorderDxfId="63" tableBorderDxfId="61" totalsRowBorderDxfId="60">
  <autoFilter ref="B8:H9"/>
  <tableColumns count="7">
    <tableColumn id="1" name="FECHA" dataDxfId="59"/>
    <tableColumn id="2" name="COMPROBANTE" dataDxfId="58"/>
    <tableColumn id="3" name="TIPO DE MOVIMIENTO" dataDxfId="57"/>
    <tableColumn id="4" name="DÉBITOS" dataDxfId="56" dataCellStyle="Millares"/>
    <tableColumn id="5" name="CRÉDITOS" dataDxfId="55" dataCellStyle="Millares"/>
    <tableColumn id="6" name="FECHA DE CONC" dataDxfId="54"/>
    <tableColumn id="7" name="DETALLE" dataDxfId="5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a14" displayName="Tabla14" ref="B14:H15" totalsRowShown="0" headerRowDxfId="52" dataDxfId="50" headerRowBorderDxfId="51" tableBorderDxfId="49" totalsRowBorderDxfId="48">
  <autoFilter ref="B14:H15"/>
  <tableColumns count="7">
    <tableColumn id="1" name="FECHA" dataDxfId="47"/>
    <tableColumn id="2" name="COMPROBANTE" dataDxfId="46"/>
    <tableColumn id="3" name="TIPO DE MOVIMIENTO" dataDxfId="45"/>
    <tableColumn id="4" name="DÉBITOS" dataDxfId="44" dataCellStyle="Millares"/>
    <tableColumn id="5" name="CRÉDITOS" dataDxfId="43" dataCellStyle="Millares"/>
    <tableColumn id="6" name="FECHA DE CONC" dataDxfId="42"/>
    <tableColumn id="7" name="DETALLE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D19:E27" totalsRowShown="0" headerRowDxfId="40" dataDxfId="38" headerRowBorderDxfId="39" tableBorderDxfId="37" totalsRowBorderDxfId="36">
  <autoFilter ref="D19:E27"/>
  <tableColumns count="2">
    <tableColumn id="1" name="DATOS" dataDxfId="35"/>
    <tableColumn id="2" name="MONTOS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B6:M12" totalsRowShown="0" headerRowDxfId="33" dataDxfId="31" headerRowBorderDxfId="32" tableBorderDxfId="30" totalsRowBorderDxfId="29">
  <autoFilter ref="B6:M12"/>
  <tableColumns count="12">
    <tableColumn id="1" name="CONCEPTO" dataDxfId="28"/>
    <tableColumn id="2" name="FECHA" dataDxfId="27"/>
    <tableColumn id="3" name="COMPROBANTE" dataDxfId="26"/>
    <tableColumn id="4" name="SUCURSAL" dataDxfId="25"/>
    <tableColumn id="5" name="IMPORTE" dataDxfId="24" dataCellStyle="Millares"/>
    <tableColumn id="6" name="DESCRIPCIÓN" dataDxfId="23"/>
    <tableColumn id="7" name="COD BANCO" dataDxfId="22"/>
    <tableColumn id="8" name="CUIT" dataDxfId="21"/>
    <tableColumn id="9" name="DENOMINACIÓN" dataDxfId="20"/>
    <tableColumn id="10" name="SALDO" dataDxfId="19" dataCellStyle="Millares"/>
    <tableColumn id="11" name="DETALLE" dataDxfId="18"/>
    <tableColumn id="12" name="TIPO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8" name="Tabla69" displayName="Tabla69" ref="B6:M19" totalsRowShown="0" headerRowDxfId="16" dataDxfId="14" headerRowBorderDxfId="15" tableBorderDxfId="13" totalsRowBorderDxfId="12">
  <autoFilter ref="B6:M19"/>
  <tableColumns count="12">
    <tableColumn id="1" name="FECHA SISTEMA" dataDxfId="11"/>
    <tableColumn id="2" name="FECHA CONTABLE" dataDxfId="10"/>
    <tableColumn id="3" name="CÓDIGO" dataDxfId="9"/>
    <tableColumn id="4" name="Nº COMP" dataDxfId="8"/>
    <tableColumn id="5" name="PROVEEDOR / DEPOSITANTE" dataDxfId="7"/>
    <tableColumn id="6" name="DETALLE" dataDxfId="6"/>
    <tableColumn id="7" name="DEBE" dataDxfId="5" dataCellStyle="Millares"/>
    <tableColumn id="8" name="HABER" dataDxfId="4" dataCellStyle="Millares"/>
    <tableColumn id="11" name="TOTAL" dataDxfId="3" dataCellStyle="Millares"/>
    <tableColumn id="12" name="ESTADO" dataDxfId="2" dataCellStyle="Millares"/>
    <tableColumn id="13" name="OBSERVACIÓN" dataDxfId="1"/>
    <tableColumn id="10" name="TI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F0000"/>
      </a:accent1>
      <a:accent2>
        <a:srgbClr val="FF6600"/>
      </a:accent2>
      <a:accent3>
        <a:srgbClr val="FFCC00"/>
      </a:accent3>
      <a:accent4>
        <a:srgbClr val="33CC33"/>
      </a:accent4>
      <a:accent5>
        <a:srgbClr val="33CCFF"/>
      </a:accent5>
      <a:accent6>
        <a:srgbClr val="CC66FF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workbookViewId="0">
      <selection activeCell="E35" sqref="E35"/>
    </sheetView>
  </sheetViews>
  <sheetFormatPr baseColWidth="10" defaultRowHeight="15" x14ac:dyDescent="0.35"/>
  <cols>
    <col min="1" max="1" width="4.7109375" style="1" customWidth="1"/>
    <col min="2" max="2" width="17.28515625" style="2" bestFit="1" customWidth="1"/>
    <col min="3" max="3" width="19.5703125" style="1" bestFit="1" customWidth="1"/>
    <col min="4" max="4" width="25.85546875" style="1" bestFit="1" customWidth="1"/>
    <col min="5" max="8" width="18.5703125" style="1" customWidth="1"/>
    <col min="9" max="9" width="11.42578125" style="1" customWidth="1"/>
    <col min="10" max="10" width="3.140625" style="1" customWidth="1"/>
    <col min="11" max="11" width="11.42578125" style="1" customWidth="1"/>
    <col min="12" max="16384" width="11.42578125" style="1"/>
  </cols>
  <sheetData>
    <row r="2" spans="2:11" x14ac:dyDescent="0.35">
      <c r="B2" s="17" t="s">
        <v>37</v>
      </c>
      <c r="C2" s="24" t="s">
        <v>34</v>
      </c>
      <c r="D2" s="18"/>
      <c r="E2" s="18"/>
      <c r="F2" s="18"/>
      <c r="G2" s="18"/>
      <c r="H2" s="18"/>
    </row>
    <row r="3" spans="2:11" x14ac:dyDescent="0.35">
      <c r="B3" s="17" t="s">
        <v>40</v>
      </c>
      <c r="C3" s="24">
        <v>44100000482</v>
      </c>
      <c r="D3" s="18"/>
      <c r="E3" s="18"/>
      <c r="F3" s="18"/>
      <c r="G3" s="18"/>
      <c r="H3" s="18"/>
    </row>
    <row r="4" spans="2:11" x14ac:dyDescent="0.35">
      <c r="B4" s="17" t="s">
        <v>38</v>
      </c>
      <c r="C4" s="24" t="s">
        <v>41</v>
      </c>
      <c r="D4" s="18"/>
      <c r="E4" s="18"/>
      <c r="F4" s="18"/>
      <c r="G4" s="18"/>
      <c r="H4" s="18"/>
    </row>
    <row r="6" spans="2:11" x14ac:dyDescent="0.35">
      <c r="B6" s="140" t="s">
        <v>0</v>
      </c>
      <c r="C6" s="140"/>
      <c r="D6" s="140"/>
      <c r="E6" s="140"/>
      <c r="F6" s="140"/>
      <c r="G6" s="140"/>
      <c r="H6" s="140"/>
    </row>
    <row r="8" spans="2:11" s="2" customFormat="1" x14ac:dyDescent="0.35">
      <c r="B8" s="29" t="s">
        <v>2</v>
      </c>
      <c r="C8" s="30" t="s">
        <v>3</v>
      </c>
      <c r="D8" s="30" t="s">
        <v>7</v>
      </c>
      <c r="E8" s="31" t="s">
        <v>4</v>
      </c>
      <c r="F8" s="31" t="s">
        <v>5</v>
      </c>
      <c r="G8" s="30" t="s">
        <v>58</v>
      </c>
      <c r="H8" s="32" t="s">
        <v>6</v>
      </c>
      <c r="J8" s="141" t="s">
        <v>8</v>
      </c>
      <c r="K8" s="141"/>
    </row>
    <row r="9" spans="2:11" x14ac:dyDescent="0.35">
      <c r="B9" s="25"/>
      <c r="C9" s="76"/>
      <c r="D9" s="5"/>
      <c r="E9" s="104"/>
      <c r="F9" s="104"/>
      <c r="G9" s="5"/>
      <c r="H9" s="6"/>
    </row>
    <row r="10" spans="2:11" x14ac:dyDescent="0.35">
      <c r="B10" s="96"/>
      <c r="C10" s="97"/>
      <c r="D10" s="98"/>
      <c r="E10" s="104">
        <f>SUBTOTAL(109,Tabla1[DÉBITOS])</f>
        <v>0</v>
      </c>
      <c r="F10" s="104">
        <f>SUBTOTAL(109,Tabla1[CRÉDITOS])</f>
        <v>0</v>
      </c>
      <c r="G10" s="98"/>
      <c r="H10" s="98"/>
      <c r="J10" s="67"/>
      <c r="K10" s="74" t="s">
        <v>94</v>
      </c>
    </row>
    <row r="11" spans="2:11" x14ac:dyDescent="0.35">
      <c r="J11" s="68"/>
      <c r="K11" s="74"/>
    </row>
    <row r="12" spans="2:11" x14ac:dyDescent="0.35">
      <c r="B12" s="140" t="s">
        <v>1</v>
      </c>
      <c r="C12" s="140"/>
      <c r="D12" s="140"/>
      <c r="E12" s="140"/>
      <c r="F12" s="140"/>
      <c r="G12" s="140"/>
      <c r="H12" s="140"/>
      <c r="J12" s="69"/>
      <c r="K12" s="74" t="s">
        <v>99</v>
      </c>
    </row>
    <row r="13" spans="2:11" x14ac:dyDescent="0.35">
      <c r="J13" s="68"/>
      <c r="K13" s="74"/>
    </row>
    <row r="14" spans="2:11" x14ac:dyDescent="0.35">
      <c r="B14" s="35" t="s">
        <v>2</v>
      </c>
      <c r="C14" s="66" t="s">
        <v>3</v>
      </c>
      <c r="D14" s="36" t="s">
        <v>7</v>
      </c>
      <c r="E14" s="37" t="s">
        <v>4</v>
      </c>
      <c r="F14" s="37" t="s">
        <v>5</v>
      </c>
      <c r="G14" s="30" t="s">
        <v>58</v>
      </c>
      <c r="H14" s="36" t="s">
        <v>6</v>
      </c>
      <c r="J14" s="70"/>
      <c r="K14" s="74" t="s">
        <v>95</v>
      </c>
    </row>
    <row r="15" spans="2:11" x14ac:dyDescent="0.35">
      <c r="B15" s="33"/>
      <c r="C15" s="58"/>
      <c r="D15" s="28"/>
      <c r="E15" s="105"/>
      <c r="F15" s="105"/>
      <c r="G15" s="28"/>
      <c r="H15" s="28"/>
      <c r="J15" s="68"/>
      <c r="K15" s="74"/>
    </row>
    <row r="16" spans="2:11" x14ac:dyDescent="0.35">
      <c r="E16" s="106">
        <f>SUBTOTAL(109,Tabla14[DÉBITOS])</f>
        <v>0</v>
      </c>
      <c r="F16" s="106">
        <f>SUBTOTAL(109,Tabla14[CRÉDITOS])</f>
        <v>0</v>
      </c>
      <c r="J16" s="71"/>
      <c r="K16" s="74" t="s">
        <v>96</v>
      </c>
    </row>
    <row r="17" spans="4:11" x14ac:dyDescent="0.35">
      <c r="J17" s="68"/>
      <c r="K17" s="74"/>
    </row>
    <row r="18" spans="4:11" x14ac:dyDescent="0.35">
      <c r="J18" s="72"/>
      <c r="K18" s="74" t="s">
        <v>97</v>
      </c>
    </row>
    <row r="19" spans="4:11" x14ac:dyDescent="0.35">
      <c r="D19" s="38" t="s">
        <v>9</v>
      </c>
      <c r="E19" s="39" t="s">
        <v>10</v>
      </c>
      <c r="J19" s="68"/>
      <c r="K19" s="74"/>
    </row>
    <row r="20" spans="4:11" x14ac:dyDescent="0.35">
      <c r="D20" s="4" t="s">
        <v>67</v>
      </c>
      <c r="E20" s="89">
        <v>354050.54</v>
      </c>
      <c r="J20" s="73"/>
      <c r="K20" s="75" t="s">
        <v>98</v>
      </c>
    </row>
    <row r="21" spans="4:11" x14ac:dyDescent="0.35">
      <c r="D21" s="4" t="s">
        <v>53</v>
      </c>
      <c r="E21" s="89">
        <f>+E10</f>
        <v>0</v>
      </c>
      <c r="J21" s="103"/>
      <c r="K21" s="75"/>
    </row>
    <row r="22" spans="4:11" x14ac:dyDescent="0.35">
      <c r="D22" s="4" t="s">
        <v>54</v>
      </c>
      <c r="E22" s="89">
        <f>+F10</f>
        <v>0</v>
      </c>
      <c r="J22" s="68"/>
      <c r="K22" s="74"/>
    </row>
    <row r="23" spans="4:11" x14ac:dyDescent="0.35">
      <c r="D23" s="4" t="s">
        <v>55</v>
      </c>
      <c r="E23" s="89">
        <f>+F16</f>
        <v>0</v>
      </c>
    </row>
    <row r="24" spans="4:11" x14ac:dyDescent="0.35">
      <c r="D24" s="4" t="s">
        <v>56</v>
      </c>
      <c r="E24" s="89">
        <f>+E16</f>
        <v>0</v>
      </c>
    </row>
    <row r="25" spans="4:11" x14ac:dyDescent="0.35">
      <c r="D25" s="4" t="s">
        <v>57</v>
      </c>
      <c r="E25" s="89">
        <f>+E20-E21+E22-E23+E24</f>
        <v>354050.54</v>
      </c>
    </row>
    <row r="26" spans="4:11" x14ac:dyDescent="0.35">
      <c r="D26" s="4" t="s">
        <v>68</v>
      </c>
      <c r="E26" s="89">
        <v>354050.54</v>
      </c>
    </row>
    <row r="27" spans="4:11" x14ac:dyDescent="0.35">
      <c r="D27" s="7" t="s">
        <v>66</v>
      </c>
      <c r="E27" s="90">
        <f>+E25-E26</f>
        <v>0</v>
      </c>
    </row>
  </sheetData>
  <mergeCells count="3">
    <mergeCell ref="B6:H6"/>
    <mergeCell ref="B12:H12"/>
    <mergeCell ref="J8:K8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workbookViewId="0">
      <selection activeCell="E41" sqref="E41"/>
    </sheetView>
  </sheetViews>
  <sheetFormatPr baseColWidth="10" defaultRowHeight="15" x14ac:dyDescent="0.35"/>
  <cols>
    <col min="1" max="1" width="4.7109375" style="1" customWidth="1"/>
    <col min="2" max="2" width="18.5703125" style="1" bestFit="1" customWidth="1"/>
    <col min="3" max="3" width="14.140625" style="3" bestFit="1" customWidth="1"/>
    <col min="4" max="4" width="17.5703125" style="2" bestFit="1" customWidth="1"/>
    <col min="5" max="5" width="13.7109375" style="2" bestFit="1" customWidth="1"/>
    <col min="6" max="6" width="12.5703125" style="21" bestFit="1" customWidth="1"/>
    <col min="7" max="7" width="23.85546875" style="1" bestFit="1" customWidth="1"/>
    <col min="8" max="8" width="14.85546875" style="2" bestFit="1" customWidth="1"/>
    <col min="9" max="9" width="9.140625" style="2" bestFit="1" customWidth="1"/>
    <col min="10" max="10" width="17.85546875" style="1" bestFit="1" customWidth="1"/>
    <col min="11" max="11" width="12" style="21" bestFit="1" customWidth="1"/>
    <col min="12" max="12" width="25.5703125" style="1" customWidth="1"/>
    <col min="13" max="13" width="14.28515625" style="1" customWidth="1"/>
    <col min="14" max="14" width="11.42578125" style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18" t="s">
        <v>59</v>
      </c>
      <c r="C2" s="22" t="s">
        <v>34</v>
      </c>
      <c r="D2" s="3"/>
      <c r="E2" s="3"/>
      <c r="F2" s="26"/>
      <c r="G2" s="18"/>
      <c r="H2" s="3"/>
      <c r="I2" s="3"/>
      <c r="J2" s="18"/>
      <c r="K2" s="26"/>
      <c r="L2" s="18"/>
    </row>
    <row r="3" spans="2:16" x14ac:dyDescent="0.35">
      <c r="B3" s="17" t="s">
        <v>40</v>
      </c>
      <c r="C3" s="22">
        <v>44100000482</v>
      </c>
      <c r="D3" s="3"/>
      <c r="E3" s="3"/>
      <c r="F3" s="26"/>
      <c r="G3" s="18"/>
      <c r="H3" s="3"/>
      <c r="I3" s="3"/>
      <c r="J3" s="18"/>
      <c r="K3" s="26"/>
      <c r="L3" s="18"/>
    </row>
    <row r="4" spans="2:16" x14ac:dyDescent="0.35">
      <c r="B4" s="17" t="s">
        <v>38</v>
      </c>
      <c r="C4" s="22" t="s">
        <v>41</v>
      </c>
    </row>
    <row r="6" spans="2:16" s="2" customFormat="1" x14ac:dyDescent="0.35">
      <c r="B6" s="40" t="s">
        <v>11</v>
      </c>
      <c r="C6" s="30" t="s">
        <v>2</v>
      </c>
      <c r="D6" s="30" t="s">
        <v>3</v>
      </c>
      <c r="E6" s="30" t="s">
        <v>12</v>
      </c>
      <c r="F6" s="31" t="s">
        <v>13</v>
      </c>
      <c r="G6" s="30" t="s">
        <v>14</v>
      </c>
      <c r="H6" s="30" t="s">
        <v>15</v>
      </c>
      <c r="I6" s="30" t="s">
        <v>16</v>
      </c>
      <c r="J6" s="30" t="s">
        <v>17</v>
      </c>
      <c r="K6" s="31" t="s">
        <v>18</v>
      </c>
      <c r="L6" s="32" t="s">
        <v>6</v>
      </c>
      <c r="M6" s="64" t="s">
        <v>29</v>
      </c>
      <c r="O6" s="141" t="s">
        <v>8</v>
      </c>
      <c r="P6" s="141"/>
    </row>
    <row r="7" spans="2:16" x14ac:dyDescent="0.35">
      <c r="B7" s="10" t="s">
        <v>30</v>
      </c>
      <c r="C7" s="78"/>
      <c r="D7" s="80"/>
      <c r="E7" s="80"/>
      <c r="F7" s="99"/>
      <c r="G7" s="12"/>
      <c r="H7" s="80"/>
      <c r="I7" s="80"/>
      <c r="J7" s="12"/>
      <c r="K7" s="99">
        <v>354050.54</v>
      </c>
      <c r="L7" s="11"/>
      <c r="M7" s="63"/>
    </row>
    <row r="8" spans="2:16" x14ac:dyDescent="0.35">
      <c r="B8" s="127" t="s">
        <v>102</v>
      </c>
      <c r="C8" s="128">
        <v>46038</v>
      </c>
      <c r="D8" s="129">
        <v>142004</v>
      </c>
      <c r="E8" s="129">
        <v>441</v>
      </c>
      <c r="F8" s="130">
        <v>449875906.30000001</v>
      </c>
      <c r="G8" s="131" t="s">
        <v>103</v>
      </c>
      <c r="H8" s="129">
        <v>8212</v>
      </c>
      <c r="I8" s="129" t="s">
        <v>104</v>
      </c>
      <c r="J8" s="131"/>
      <c r="K8" s="130">
        <f>+K7+Tabla6[[#This Row],[IMPORTE]]</f>
        <v>450229956.84000003</v>
      </c>
      <c r="L8" s="136" t="s">
        <v>130</v>
      </c>
      <c r="M8" s="139" t="s">
        <v>84</v>
      </c>
      <c r="O8" s="67"/>
      <c r="P8" s="74" t="s">
        <v>94</v>
      </c>
    </row>
    <row r="9" spans="2:16" x14ac:dyDescent="0.35">
      <c r="B9" s="127" t="s">
        <v>105</v>
      </c>
      <c r="C9" s="128">
        <v>46038</v>
      </c>
      <c r="D9" s="129">
        <v>16421500</v>
      </c>
      <c r="E9" s="129">
        <v>0</v>
      </c>
      <c r="F9" s="130">
        <v>-449875906.30000001</v>
      </c>
      <c r="G9" s="131" t="s">
        <v>106</v>
      </c>
      <c r="H9" s="129">
        <v>4208</v>
      </c>
      <c r="I9" s="129" t="s">
        <v>104</v>
      </c>
      <c r="J9" s="131"/>
      <c r="K9" s="130">
        <f>+K8+Tabla6[[#This Row],[IMPORTE]]</f>
        <v>354050.54000002146</v>
      </c>
      <c r="L9" s="136" t="s">
        <v>131</v>
      </c>
      <c r="M9" s="132" t="s">
        <v>84</v>
      </c>
      <c r="O9" s="68"/>
      <c r="P9" s="74"/>
    </row>
    <row r="10" spans="2:16" x14ac:dyDescent="0.35">
      <c r="B10" s="107" t="s">
        <v>107</v>
      </c>
      <c r="C10" s="111">
        <v>46051</v>
      </c>
      <c r="D10" s="112" t="s">
        <v>108</v>
      </c>
      <c r="E10" s="112">
        <v>441</v>
      </c>
      <c r="F10" s="113">
        <v>-72000</v>
      </c>
      <c r="G10" s="114" t="s">
        <v>109</v>
      </c>
      <c r="H10" s="112">
        <v>2501</v>
      </c>
      <c r="I10" s="112" t="s">
        <v>104</v>
      </c>
      <c r="J10" s="114"/>
      <c r="K10" s="113">
        <f>+K9+Tabla6[[#This Row],[IMPORTE]]</f>
        <v>282050.54000002146</v>
      </c>
      <c r="L10" s="115" t="s">
        <v>113</v>
      </c>
      <c r="M10" s="116" t="s">
        <v>93</v>
      </c>
      <c r="O10" s="69"/>
      <c r="P10" s="74" t="s">
        <v>99</v>
      </c>
    </row>
    <row r="11" spans="2:16" x14ac:dyDescent="0.35">
      <c r="B11" s="107" t="s">
        <v>110</v>
      </c>
      <c r="C11" s="111">
        <v>46051</v>
      </c>
      <c r="D11" s="112" t="s">
        <v>108</v>
      </c>
      <c r="E11" s="112">
        <v>441</v>
      </c>
      <c r="F11" s="113">
        <v>-15120</v>
      </c>
      <c r="G11" s="114" t="s">
        <v>111</v>
      </c>
      <c r="H11" s="112">
        <v>2591</v>
      </c>
      <c r="I11" s="112" t="s">
        <v>104</v>
      </c>
      <c r="J11" s="114"/>
      <c r="K11" s="113">
        <f>+K10+Tabla6[[#This Row],[IMPORTE]]</f>
        <v>266930.54000002146</v>
      </c>
      <c r="L11" s="115" t="s">
        <v>113</v>
      </c>
      <c r="M11" s="117" t="s">
        <v>93</v>
      </c>
      <c r="O11" s="68"/>
      <c r="P11" s="74"/>
    </row>
    <row r="12" spans="2:16" x14ac:dyDescent="0.35">
      <c r="B12" s="7" t="s">
        <v>112</v>
      </c>
      <c r="C12" s="79"/>
      <c r="D12" s="77"/>
      <c r="E12" s="77"/>
      <c r="F12" s="100"/>
      <c r="G12" s="8"/>
      <c r="H12" s="77"/>
      <c r="I12" s="77"/>
      <c r="J12" s="109"/>
      <c r="K12" s="100">
        <f>+K11</f>
        <v>266930.54000002146</v>
      </c>
      <c r="L12" s="9"/>
      <c r="M12" s="63"/>
      <c r="O12" s="70"/>
      <c r="P12" s="74" t="s">
        <v>95</v>
      </c>
    </row>
    <row r="13" spans="2:16" x14ac:dyDescent="0.35">
      <c r="O13" s="68"/>
      <c r="P13" s="74"/>
    </row>
    <row r="14" spans="2:16" x14ac:dyDescent="0.35">
      <c r="O14" s="71"/>
      <c r="P14" s="74" t="s">
        <v>96</v>
      </c>
    </row>
    <row r="15" spans="2:16" x14ac:dyDescent="0.35">
      <c r="O15" s="68"/>
      <c r="P15" s="74"/>
    </row>
    <row r="16" spans="2:16" x14ac:dyDescent="0.35">
      <c r="O16" s="72"/>
      <c r="P16" s="74" t="s">
        <v>97</v>
      </c>
    </row>
    <row r="17" spans="15:16" x14ac:dyDescent="0.35">
      <c r="O17" s="68"/>
      <c r="P17" s="74"/>
    </row>
    <row r="18" spans="15:16" x14ac:dyDescent="0.35">
      <c r="O18" s="73"/>
      <c r="P18" s="75" t="s">
        <v>98</v>
      </c>
    </row>
    <row r="19" spans="15:16" x14ac:dyDescent="0.35">
      <c r="O19" s="68"/>
      <c r="P19" s="74"/>
    </row>
  </sheetData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OPCIONES!$H$3:$H$17</xm:f>
          </x14:formula1>
          <xm:sqref>M7:M12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workbookViewId="0">
      <selection activeCell="E11" sqref="E11"/>
    </sheetView>
  </sheetViews>
  <sheetFormatPr baseColWidth="10" defaultRowHeight="15" x14ac:dyDescent="0.35"/>
  <cols>
    <col min="1" max="1" width="4.7109375" style="1" customWidth="1"/>
    <col min="2" max="2" width="18.5703125" style="2" bestFit="1" customWidth="1"/>
    <col min="3" max="3" width="19.85546875" style="2" bestFit="1" customWidth="1"/>
    <col min="4" max="4" width="11.5703125" style="1" bestFit="1" customWidth="1"/>
    <col min="5" max="5" width="12.5703125" style="2" bestFit="1" customWidth="1"/>
    <col min="6" max="6" width="29.85546875" style="1" customWidth="1"/>
    <col min="7" max="7" width="28.5703125" style="1" bestFit="1" customWidth="1"/>
    <col min="8" max="9" width="14.7109375" style="21" bestFit="1" customWidth="1"/>
    <col min="10" max="10" width="15.28515625" style="21" bestFit="1" customWidth="1"/>
    <col min="11" max="11" width="12.5703125" style="81" bestFit="1" customWidth="1"/>
    <col min="12" max="12" width="24" style="1" bestFit="1" customWidth="1"/>
    <col min="13" max="13" width="13.42578125" style="1" bestFit="1" customWidth="1"/>
    <col min="14" max="14" width="11.5703125" style="1" bestFit="1" customWidth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65" t="s">
        <v>60</v>
      </c>
      <c r="C2" s="22" t="s">
        <v>34</v>
      </c>
      <c r="D2" s="18"/>
      <c r="E2" s="3"/>
      <c r="F2" s="18"/>
      <c r="G2" s="18"/>
      <c r="H2" s="18"/>
      <c r="I2" s="18"/>
      <c r="J2" s="18"/>
      <c r="K2" s="108"/>
      <c r="L2" s="18"/>
    </row>
    <row r="3" spans="2:16" x14ac:dyDescent="0.35">
      <c r="B3" s="65" t="s">
        <v>40</v>
      </c>
      <c r="C3" s="22">
        <v>44100000482</v>
      </c>
      <c r="D3" s="18"/>
      <c r="E3" s="3"/>
      <c r="F3" s="18"/>
      <c r="G3" s="18"/>
      <c r="H3" s="18"/>
      <c r="I3" s="18"/>
      <c r="J3" s="18"/>
      <c r="K3" s="108"/>
      <c r="L3" s="18"/>
    </row>
    <row r="4" spans="2:16" x14ac:dyDescent="0.35">
      <c r="B4" s="65" t="s">
        <v>38</v>
      </c>
      <c r="C4" s="22" t="s">
        <v>41</v>
      </c>
    </row>
    <row r="6" spans="2:16" s="2" customFormat="1" x14ac:dyDescent="0.35">
      <c r="B6" s="40" t="s">
        <v>69</v>
      </c>
      <c r="C6" s="30" t="s">
        <v>61</v>
      </c>
      <c r="D6" s="30" t="s">
        <v>28</v>
      </c>
      <c r="E6" s="30" t="s">
        <v>64</v>
      </c>
      <c r="F6" s="30" t="s">
        <v>62</v>
      </c>
      <c r="G6" s="30" t="s">
        <v>6</v>
      </c>
      <c r="H6" s="31" t="s">
        <v>19</v>
      </c>
      <c r="I6" s="31" t="s">
        <v>20</v>
      </c>
      <c r="J6" s="41" t="s">
        <v>21</v>
      </c>
      <c r="K6" s="42" t="s">
        <v>63</v>
      </c>
      <c r="L6" s="43" t="s">
        <v>22</v>
      </c>
      <c r="M6" s="61" t="s">
        <v>29</v>
      </c>
      <c r="O6" s="141" t="s">
        <v>8</v>
      </c>
      <c r="P6" s="141"/>
    </row>
    <row r="7" spans="2:16" x14ac:dyDescent="0.35">
      <c r="B7" s="20" t="s">
        <v>30</v>
      </c>
      <c r="C7" s="80"/>
      <c r="D7" s="12"/>
      <c r="E7" s="80"/>
      <c r="F7" s="12"/>
      <c r="G7" s="12"/>
      <c r="H7" s="99"/>
      <c r="I7" s="99"/>
      <c r="J7" s="101">
        <v>354050.54</v>
      </c>
      <c r="K7" s="82"/>
      <c r="L7" s="14"/>
      <c r="M7" s="60"/>
    </row>
    <row r="8" spans="2:16" x14ac:dyDescent="0.35">
      <c r="B8" s="118">
        <v>46041</v>
      </c>
      <c r="C8" s="119">
        <v>46038</v>
      </c>
      <c r="D8" s="120" t="s">
        <v>114</v>
      </c>
      <c r="E8" s="121">
        <v>11</v>
      </c>
      <c r="F8" s="120" t="s">
        <v>117</v>
      </c>
      <c r="G8" s="120" t="s">
        <v>118</v>
      </c>
      <c r="H8" s="122">
        <v>0</v>
      </c>
      <c r="I8" s="122">
        <v>-449875906.32999998</v>
      </c>
      <c r="J8" s="123">
        <f>+J7+Tabla69[[#This Row],[DEBE]]-Tabla69[[#This Row],[HABER]]</f>
        <v>450229956.87</v>
      </c>
      <c r="K8" s="124" t="s">
        <v>127</v>
      </c>
      <c r="L8" s="125" t="s">
        <v>125</v>
      </c>
      <c r="M8" s="126"/>
      <c r="O8" s="67"/>
      <c r="P8" s="74" t="s">
        <v>94</v>
      </c>
    </row>
    <row r="9" spans="2:16" x14ac:dyDescent="0.35">
      <c r="B9" s="118">
        <v>46041</v>
      </c>
      <c r="C9" s="119">
        <v>46038</v>
      </c>
      <c r="D9" s="120" t="s">
        <v>114</v>
      </c>
      <c r="E9" s="121">
        <v>11</v>
      </c>
      <c r="F9" s="120" t="s">
        <v>117</v>
      </c>
      <c r="G9" s="120" t="s">
        <v>118</v>
      </c>
      <c r="H9" s="122">
        <v>0</v>
      </c>
      <c r="I9" s="122">
        <v>-449875906.32999998</v>
      </c>
      <c r="J9" s="123">
        <f>+J8+Tabla69[[#This Row],[DEBE]]-Tabla69[[#This Row],[HABER]]</f>
        <v>900105863.20000005</v>
      </c>
      <c r="K9" s="124" t="s">
        <v>127</v>
      </c>
      <c r="L9" s="125" t="s">
        <v>125</v>
      </c>
      <c r="M9" s="126"/>
      <c r="O9" s="68"/>
      <c r="P9" s="74"/>
    </row>
    <row r="10" spans="2:16" x14ac:dyDescent="0.35">
      <c r="B10" s="118">
        <v>46041</v>
      </c>
      <c r="C10" s="119">
        <v>46038</v>
      </c>
      <c r="D10" s="120" t="s">
        <v>114</v>
      </c>
      <c r="E10" s="121">
        <v>11</v>
      </c>
      <c r="F10" s="120" t="s">
        <v>117</v>
      </c>
      <c r="G10" s="120" t="s">
        <v>118</v>
      </c>
      <c r="H10" s="122">
        <v>0</v>
      </c>
      <c r="I10" s="122">
        <v>449875906.32999998</v>
      </c>
      <c r="J10" s="123">
        <f>+J9+Tabla69[[#This Row],[DEBE]]-Tabla69[[#This Row],[HABER]]</f>
        <v>450229956.87000006</v>
      </c>
      <c r="K10" s="124" t="s">
        <v>127</v>
      </c>
      <c r="L10" s="125" t="s">
        <v>125</v>
      </c>
      <c r="M10" s="126"/>
      <c r="O10" s="69"/>
      <c r="P10" s="74" t="s">
        <v>99</v>
      </c>
    </row>
    <row r="11" spans="2:16" x14ac:dyDescent="0.35">
      <c r="B11" s="118">
        <v>46041</v>
      </c>
      <c r="C11" s="119">
        <v>46041</v>
      </c>
      <c r="D11" s="120" t="s">
        <v>114</v>
      </c>
      <c r="E11" s="121">
        <v>11</v>
      </c>
      <c r="F11" s="120" t="s">
        <v>117</v>
      </c>
      <c r="G11" s="120" t="s">
        <v>118</v>
      </c>
      <c r="H11" s="122">
        <v>0</v>
      </c>
      <c r="I11" s="122">
        <v>449875906.32999998</v>
      </c>
      <c r="J11" s="123">
        <f>+J10+Tabla69[[#This Row],[DEBE]]-Tabla69[[#This Row],[HABER]]</f>
        <v>354050.54000008106</v>
      </c>
      <c r="K11" s="124" t="s">
        <v>127</v>
      </c>
      <c r="L11" s="125" t="s">
        <v>125</v>
      </c>
      <c r="M11" s="126"/>
      <c r="O11" s="68"/>
      <c r="P11" s="74"/>
    </row>
    <row r="12" spans="2:16" x14ac:dyDescent="0.35">
      <c r="B12" s="133">
        <v>46041</v>
      </c>
      <c r="C12" s="128">
        <v>46038</v>
      </c>
      <c r="D12" s="131" t="s">
        <v>115</v>
      </c>
      <c r="E12" s="129">
        <v>12</v>
      </c>
      <c r="F12" s="131" t="s">
        <v>119</v>
      </c>
      <c r="G12" s="131" t="s">
        <v>120</v>
      </c>
      <c r="H12" s="130">
        <v>439755505.64999998</v>
      </c>
      <c r="I12" s="130">
        <v>0</v>
      </c>
      <c r="J12" s="134">
        <f>+J11+Tabla69[[#This Row],[DEBE]]-Tabla69[[#This Row],[HABER]]</f>
        <v>440109556.19000006</v>
      </c>
      <c r="K12" s="135" t="s">
        <v>128</v>
      </c>
      <c r="L12" s="136" t="s">
        <v>130</v>
      </c>
      <c r="M12" s="137" t="s">
        <v>84</v>
      </c>
      <c r="O12" s="70"/>
      <c r="P12" s="74" t="s">
        <v>95</v>
      </c>
    </row>
    <row r="13" spans="2:16" x14ac:dyDescent="0.35">
      <c r="B13" s="133">
        <v>46041</v>
      </c>
      <c r="C13" s="128">
        <v>46038</v>
      </c>
      <c r="D13" s="131" t="s">
        <v>114</v>
      </c>
      <c r="E13" s="129">
        <v>14</v>
      </c>
      <c r="F13" s="131" t="s">
        <v>117</v>
      </c>
      <c r="G13" s="131" t="s">
        <v>118</v>
      </c>
      <c r="H13" s="130">
        <v>0</v>
      </c>
      <c r="I13" s="130">
        <v>449875906.32999998</v>
      </c>
      <c r="J13" s="134">
        <f>+J12+Tabla69[[#This Row],[DEBE]]-Tabla69[[#This Row],[HABER]]</f>
        <v>-9766350.1399999261</v>
      </c>
      <c r="K13" s="135" t="s">
        <v>128</v>
      </c>
      <c r="L13" s="136" t="s">
        <v>131</v>
      </c>
      <c r="M13" s="138" t="s">
        <v>84</v>
      </c>
      <c r="O13" s="68"/>
      <c r="P13" s="74"/>
    </row>
    <row r="14" spans="2:16" x14ac:dyDescent="0.35">
      <c r="B14" s="118">
        <v>46041</v>
      </c>
      <c r="C14" s="119">
        <v>46038</v>
      </c>
      <c r="D14" s="120" t="s">
        <v>116</v>
      </c>
      <c r="E14" s="121">
        <v>39</v>
      </c>
      <c r="F14" s="120" t="s">
        <v>121</v>
      </c>
      <c r="G14" s="120" t="s">
        <v>122</v>
      </c>
      <c r="H14" s="122">
        <v>10120400.68</v>
      </c>
      <c r="I14" s="122">
        <v>0</v>
      </c>
      <c r="J14" s="123">
        <f>+J13+Tabla69[[#This Row],[DEBE]]-Tabla69[[#This Row],[HABER]]</f>
        <v>354050.54000007361</v>
      </c>
      <c r="K14" s="124" t="s">
        <v>127</v>
      </c>
      <c r="L14" s="125" t="s">
        <v>129</v>
      </c>
      <c r="M14" s="126"/>
      <c r="O14" s="71"/>
      <c r="P14" s="74" t="s">
        <v>96</v>
      </c>
    </row>
    <row r="15" spans="2:16" x14ac:dyDescent="0.35">
      <c r="B15" s="118">
        <v>46041</v>
      </c>
      <c r="C15" s="119">
        <v>46038</v>
      </c>
      <c r="D15" s="120" t="s">
        <v>116</v>
      </c>
      <c r="E15" s="121">
        <v>39</v>
      </c>
      <c r="F15" s="120" t="s">
        <v>121</v>
      </c>
      <c r="G15" s="120" t="s">
        <v>122</v>
      </c>
      <c r="H15" s="122">
        <v>10120400.68</v>
      </c>
      <c r="I15" s="122">
        <v>0</v>
      </c>
      <c r="J15" s="123">
        <f>+J14+Tabla69[[#This Row],[DEBE]]-Tabla69[[#This Row],[HABER]]</f>
        <v>10474451.220000073</v>
      </c>
      <c r="K15" s="124" t="s">
        <v>127</v>
      </c>
      <c r="L15" s="125" t="s">
        <v>126</v>
      </c>
      <c r="M15" s="126"/>
      <c r="O15" s="68"/>
      <c r="P15" s="74"/>
    </row>
    <row r="16" spans="2:16" x14ac:dyDescent="0.35">
      <c r="B16" s="118">
        <v>46041</v>
      </c>
      <c r="C16" s="119">
        <v>46038</v>
      </c>
      <c r="D16" s="120" t="s">
        <v>116</v>
      </c>
      <c r="E16" s="121">
        <v>39</v>
      </c>
      <c r="F16" s="120" t="s">
        <v>121</v>
      </c>
      <c r="G16" s="120" t="s">
        <v>122</v>
      </c>
      <c r="H16" s="122">
        <v>-10120400.68</v>
      </c>
      <c r="I16" s="122">
        <v>0</v>
      </c>
      <c r="J16" s="123">
        <f>+J15+Tabla69[[#This Row],[DEBE]]-Tabla69[[#This Row],[HABER]]</f>
        <v>354050.54000007361</v>
      </c>
      <c r="K16" s="124" t="s">
        <v>127</v>
      </c>
      <c r="L16" s="125" t="s">
        <v>129</v>
      </c>
      <c r="M16" s="126"/>
      <c r="O16" s="72"/>
      <c r="P16" s="74" t="s">
        <v>97</v>
      </c>
    </row>
    <row r="17" spans="2:16" x14ac:dyDescent="0.35">
      <c r="B17" s="118">
        <v>46041</v>
      </c>
      <c r="C17" s="119">
        <v>46038</v>
      </c>
      <c r="D17" s="120" t="s">
        <v>116</v>
      </c>
      <c r="E17" s="121">
        <v>39</v>
      </c>
      <c r="F17" s="120" t="s">
        <v>121</v>
      </c>
      <c r="G17" s="120" t="s">
        <v>122</v>
      </c>
      <c r="H17" s="122">
        <v>-10120400.68</v>
      </c>
      <c r="I17" s="122">
        <v>0</v>
      </c>
      <c r="J17" s="123">
        <f>+J16+Tabla69[[#This Row],[DEBE]]-Tabla69[[#This Row],[HABER]]</f>
        <v>-9766350.1399999261</v>
      </c>
      <c r="K17" s="124" t="s">
        <v>127</v>
      </c>
      <c r="L17" s="125" t="s">
        <v>126</v>
      </c>
      <c r="M17" s="126"/>
      <c r="O17" s="68"/>
      <c r="P17" s="74"/>
    </row>
    <row r="18" spans="2:16" x14ac:dyDescent="0.35">
      <c r="B18" s="133">
        <v>46041</v>
      </c>
      <c r="C18" s="128">
        <v>46038</v>
      </c>
      <c r="D18" s="131" t="s">
        <v>116</v>
      </c>
      <c r="E18" s="129">
        <v>45</v>
      </c>
      <c r="F18" s="131" t="s">
        <v>123</v>
      </c>
      <c r="G18" s="131" t="s">
        <v>124</v>
      </c>
      <c r="H18" s="130">
        <v>10120400.68</v>
      </c>
      <c r="I18" s="130">
        <v>0</v>
      </c>
      <c r="J18" s="134">
        <f>+J17+Tabla69[[#This Row],[DEBE]]-Tabla69[[#This Row],[HABER]]</f>
        <v>354050.54000007361</v>
      </c>
      <c r="K18" s="135" t="s">
        <v>128</v>
      </c>
      <c r="L18" s="136" t="s">
        <v>130</v>
      </c>
      <c r="M18" s="138" t="s">
        <v>84</v>
      </c>
      <c r="O18" s="73"/>
      <c r="P18" s="75" t="s">
        <v>98</v>
      </c>
    </row>
    <row r="19" spans="2:16" x14ac:dyDescent="0.35">
      <c r="B19" s="84"/>
      <c r="C19" s="77"/>
      <c r="D19" s="8"/>
      <c r="E19" s="77"/>
      <c r="F19" s="8"/>
      <c r="G19" s="8"/>
      <c r="H19" s="100">
        <f>SUBTOTAL(109,H7:H18)</f>
        <v>449875906.32999998</v>
      </c>
      <c r="I19" s="100">
        <f>SUBTOTAL(109,I7:I18)</f>
        <v>449875906.32999998</v>
      </c>
      <c r="J19" s="102">
        <f>+J18</f>
        <v>354050.54000007361</v>
      </c>
      <c r="K19" s="83"/>
      <c r="L19" s="13"/>
      <c r="M19" s="60"/>
      <c r="O19" s="68"/>
      <c r="P19" s="74"/>
    </row>
  </sheetData>
  <dataConsolidate/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OPCIONES!$H$3:$H$17</xm:f>
          </x14:formula1>
          <xm:sqref>M7:M19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42"/>
  <sheetViews>
    <sheetView showGridLines="0" tabSelected="1" zoomScaleNormal="100" workbookViewId="0">
      <selection activeCell="E11" sqref="E11"/>
    </sheetView>
  </sheetViews>
  <sheetFormatPr baseColWidth="10" defaultRowHeight="15" x14ac:dyDescent="0.35"/>
  <cols>
    <col min="1" max="1" width="4.7109375" style="15" customWidth="1"/>
    <col min="2" max="2" width="17.28515625" style="15" bestFit="1" customWidth="1"/>
    <col min="3" max="3" width="17.5703125" style="15" bestFit="1" customWidth="1"/>
    <col min="4" max="5" width="18.85546875" style="15" customWidth="1"/>
    <col min="6" max="7" width="28.28515625" style="15" customWidth="1"/>
    <col min="8" max="8" width="15.7109375" style="15" bestFit="1" customWidth="1"/>
    <col min="9" max="9" width="10.85546875" style="15" bestFit="1" customWidth="1"/>
    <col min="10" max="10" width="17.85546875" style="15" bestFit="1" customWidth="1"/>
    <col min="11" max="11" width="10.85546875" style="15" bestFit="1" customWidth="1"/>
    <col min="12" max="16384" width="11.42578125" style="15"/>
  </cols>
  <sheetData>
    <row r="2" spans="2:5" x14ac:dyDescent="0.35">
      <c r="B2" s="17" t="s">
        <v>37</v>
      </c>
      <c r="C2" s="24" t="s">
        <v>34</v>
      </c>
    </row>
    <row r="3" spans="2:5" x14ac:dyDescent="0.35">
      <c r="B3" s="17" t="s">
        <v>40</v>
      </c>
      <c r="C3" s="24">
        <v>44100000482</v>
      </c>
    </row>
    <row r="4" spans="2:5" x14ac:dyDescent="0.35">
      <c r="B4" s="17" t="s">
        <v>38</v>
      </c>
      <c r="C4" s="24" t="s">
        <v>41</v>
      </c>
    </row>
    <row r="6" spans="2:5" x14ac:dyDescent="0.35">
      <c r="B6" s="36" t="s">
        <v>9</v>
      </c>
      <c r="C6" s="36" t="s">
        <v>10</v>
      </c>
    </row>
    <row r="7" spans="2:5" x14ac:dyDescent="0.35">
      <c r="B7" s="28" t="s">
        <v>26</v>
      </c>
      <c r="C7" s="85">
        <v>266930.54000002146</v>
      </c>
    </row>
    <row r="8" spans="2:5" x14ac:dyDescent="0.35">
      <c r="B8" s="28" t="s">
        <v>27</v>
      </c>
      <c r="C8" s="85">
        <v>354050.54000007361</v>
      </c>
    </row>
    <row r="10" spans="2:5" x14ac:dyDescent="0.35">
      <c r="B10" s="143" t="s">
        <v>23</v>
      </c>
      <c r="C10" s="144"/>
      <c r="D10" s="36" t="s">
        <v>10</v>
      </c>
      <c r="E10" s="16"/>
    </row>
    <row r="11" spans="2:5" x14ac:dyDescent="0.35">
      <c r="B11" s="145" t="s">
        <v>67</v>
      </c>
      <c r="C11" s="146"/>
      <c r="D11" s="86">
        <f>+C8</f>
        <v>354050.54000007361</v>
      </c>
    </row>
    <row r="12" spans="2:5" x14ac:dyDescent="0.35">
      <c r="B12" s="145" t="s">
        <v>53</v>
      </c>
      <c r="C12" s="146"/>
      <c r="D12" s="86">
        <f>+D24+D42</f>
        <v>0</v>
      </c>
      <c r="E12" s="91"/>
    </row>
    <row r="13" spans="2:5" x14ac:dyDescent="0.35">
      <c r="B13" s="145" t="s">
        <v>54</v>
      </c>
      <c r="C13" s="146"/>
      <c r="D13" s="86">
        <f>+E24+E42</f>
        <v>0</v>
      </c>
      <c r="E13" s="91"/>
    </row>
    <row r="14" spans="2:5" x14ac:dyDescent="0.35">
      <c r="B14" s="145" t="s">
        <v>55</v>
      </c>
      <c r="C14" s="146"/>
      <c r="D14" s="86">
        <f>+E30+D36</f>
        <v>87120</v>
      </c>
      <c r="E14" s="91"/>
    </row>
    <row r="15" spans="2:5" x14ac:dyDescent="0.35">
      <c r="B15" s="145" t="s">
        <v>56</v>
      </c>
      <c r="C15" s="146"/>
      <c r="D15" s="86">
        <f>+D30+E36</f>
        <v>0</v>
      </c>
      <c r="E15" s="91"/>
    </row>
    <row r="16" spans="2:5" x14ac:dyDescent="0.35">
      <c r="B16" s="145" t="s">
        <v>57</v>
      </c>
      <c r="C16" s="146"/>
      <c r="D16" s="87">
        <f>+D11-D12+D13-D14+D15</f>
        <v>266930.54000007361</v>
      </c>
    </row>
    <row r="17" spans="2:8" x14ac:dyDescent="0.35">
      <c r="B17" s="145" t="s">
        <v>68</v>
      </c>
      <c r="C17" s="146"/>
      <c r="D17" s="88">
        <f>+C7</f>
        <v>266930.54000002146</v>
      </c>
    </row>
    <row r="18" spans="2:8" x14ac:dyDescent="0.35">
      <c r="B18" s="145" t="s">
        <v>66</v>
      </c>
      <c r="C18" s="146"/>
      <c r="D18" s="86">
        <f>+D16-D17</f>
        <v>5.2154064178466797E-8</v>
      </c>
    </row>
    <row r="20" spans="2:8" x14ac:dyDescent="0.35">
      <c r="B20" s="140" t="s">
        <v>0</v>
      </c>
      <c r="C20" s="140"/>
      <c r="D20" s="140"/>
      <c r="E20" s="140"/>
      <c r="F20" s="140"/>
      <c r="G20" s="140"/>
      <c r="H20" s="18"/>
    </row>
    <row r="21" spans="2:8" x14ac:dyDescent="0.35">
      <c r="B21" s="17"/>
      <c r="C21" s="17"/>
      <c r="D21" s="17"/>
      <c r="E21" s="17"/>
      <c r="F21" s="17"/>
      <c r="G21" s="17"/>
      <c r="H21" s="17"/>
    </row>
    <row r="22" spans="2:8" x14ac:dyDescent="0.35">
      <c r="B22" s="36" t="s">
        <v>2</v>
      </c>
      <c r="C22" s="36" t="s">
        <v>65</v>
      </c>
      <c r="D22" s="36" t="s">
        <v>4</v>
      </c>
      <c r="E22" s="36" t="s">
        <v>5</v>
      </c>
      <c r="F22" s="62" t="s">
        <v>62</v>
      </c>
      <c r="G22" s="36" t="s">
        <v>6</v>
      </c>
      <c r="H22" s="93" t="s">
        <v>63</v>
      </c>
    </row>
    <row r="23" spans="2:8" x14ac:dyDescent="0.35">
      <c r="B23" s="92"/>
      <c r="C23" s="28"/>
      <c r="D23" s="95"/>
      <c r="E23" s="95"/>
      <c r="F23" s="28"/>
      <c r="G23" s="28"/>
      <c r="H23" s="92"/>
    </row>
    <row r="24" spans="2:8" x14ac:dyDescent="0.35">
      <c r="B24" s="94"/>
      <c r="C24" s="27"/>
      <c r="D24" s="95">
        <f>SUM(D23:D23)</f>
        <v>0</v>
      </c>
      <c r="E24" s="95">
        <f>SUM(E23:E23)</f>
        <v>0</v>
      </c>
      <c r="F24" s="27"/>
      <c r="G24" s="27"/>
      <c r="H24" s="1"/>
    </row>
    <row r="25" spans="2:8" x14ac:dyDescent="0.35">
      <c r="B25" s="27"/>
      <c r="C25" s="27"/>
      <c r="D25" s="27"/>
      <c r="E25" s="27"/>
      <c r="F25" s="27"/>
      <c r="G25" s="27"/>
      <c r="H25" s="1"/>
    </row>
    <row r="26" spans="2:8" x14ac:dyDescent="0.35">
      <c r="B26" s="140" t="s">
        <v>1</v>
      </c>
      <c r="C26" s="140"/>
      <c r="D26" s="140"/>
      <c r="E26" s="140"/>
      <c r="F26" s="140"/>
      <c r="G26" s="140"/>
      <c r="H26" s="18"/>
    </row>
    <row r="27" spans="2:8" x14ac:dyDescent="0.35">
      <c r="B27" s="17"/>
      <c r="C27" s="17"/>
      <c r="D27" s="17"/>
      <c r="E27" s="17"/>
      <c r="F27" s="17"/>
      <c r="G27" s="17"/>
      <c r="H27" s="17"/>
    </row>
    <row r="28" spans="2:8" x14ac:dyDescent="0.35">
      <c r="B28" s="36" t="s">
        <v>2</v>
      </c>
      <c r="C28" s="36" t="s">
        <v>65</v>
      </c>
      <c r="D28" s="93" t="s">
        <v>4</v>
      </c>
      <c r="E28" s="93" t="s">
        <v>5</v>
      </c>
      <c r="F28" s="36" t="s">
        <v>62</v>
      </c>
      <c r="G28" s="36" t="s">
        <v>6</v>
      </c>
      <c r="H28" s="93" t="s">
        <v>63</v>
      </c>
    </row>
    <row r="29" spans="2:8" x14ac:dyDescent="0.35">
      <c r="B29" s="92"/>
      <c r="C29" s="28"/>
      <c r="D29" s="95"/>
      <c r="E29" s="95"/>
      <c r="F29" s="28"/>
      <c r="G29" s="28"/>
      <c r="H29" s="92"/>
    </row>
    <row r="30" spans="2:8" x14ac:dyDescent="0.35">
      <c r="B30" s="94"/>
      <c r="C30" s="27"/>
      <c r="D30" s="95">
        <f>SUM(D29:D29)</f>
        <v>0</v>
      </c>
      <c r="E30" s="95">
        <f>SUM(E29:E29)</f>
        <v>0</v>
      </c>
      <c r="F30" s="27"/>
      <c r="G30" s="27"/>
      <c r="H30" s="94"/>
    </row>
    <row r="31" spans="2:8" x14ac:dyDescent="0.35">
      <c r="B31" s="17"/>
      <c r="C31" s="17"/>
      <c r="D31" s="17"/>
      <c r="E31" s="17"/>
      <c r="F31" s="17"/>
      <c r="G31" s="17"/>
      <c r="H31" s="17"/>
    </row>
    <row r="32" spans="2:8" x14ac:dyDescent="0.35">
      <c r="B32" s="142" t="s">
        <v>24</v>
      </c>
      <c r="C32" s="142"/>
      <c r="D32" s="142"/>
      <c r="E32" s="142"/>
      <c r="F32" s="142"/>
      <c r="G32" s="142"/>
      <c r="H32" s="45"/>
    </row>
    <row r="33" spans="2:8" x14ac:dyDescent="0.35">
      <c r="B33" s="19"/>
      <c r="C33" s="19"/>
      <c r="D33" s="19"/>
      <c r="E33" s="19"/>
      <c r="F33" s="19"/>
      <c r="G33" s="19"/>
      <c r="H33" s="19"/>
    </row>
    <row r="34" spans="2:8" x14ac:dyDescent="0.35">
      <c r="B34" s="36" t="s">
        <v>2</v>
      </c>
      <c r="C34" s="36" t="s">
        <v>65</v>
      </c>
      <c r="D34" s="93" t="s">
        <v>4</v>
      </c>
      <c r="E34" s="93" t="s">
        <v>5</v>
      </c>
      <c r="F34" s="36" t="s">
        <v>62</v>
      </c>
      <c r="G34" s="36" t="s">
        <v>6</v>
      </c>
      <c r="H34" s="93" t="s">
        <v>63</v>
      </c>
    </row>
    <row r="35" spans="2:8" x14ac:dyDescent="0.35">
      <c r="B35" s="92">
        <v>46053</v>
      </c>
      <c r="C35" s="28" t="s">
        <v>132</v>
      </c>
      <c r="D35" s="110">
        <v>87120</v>
      </c>
      <c r="E35" s="95"/>
      <c r="F35" s="28"/>
      <c r="G35" s="28" t="s">
        <v>113</v>
      </c>
      <c r="H35" s="92"/>
    </row>
    <row r="36" spans="2:8" x14ac:dyDescent="0.35">
      <c r="B36" s="94"/>
      <c r="C36" s="27"/>
      <c r="D36" s="95">
        <f>SUM(D35:D35)</f>
        <v>87120</v>
      </c>
      <c r="E36" s="95">
        <f>SUM(E35:E35)</f>
        <v>0</v>
      </c>
      <c r="F36" s="27"/>
      <c r="G36" s="27"/>
      <c r="H36" s="94"/>
    </row>
    <row r="37" spans="2:8" x14ac:dyDescent="0.35">
      <c r="B37" s="27"/>
      <c r="C37" s="27"/>
      <c r="D37" s="27"/>
      <c r="E37" s="27"/>
      <c r="F37" s="27"/>
      <c r="G37" s="27"/>
    </row>
    <row r="38" spans="2:8" x14ac:dyDescent="0.35">
      <c r="B38" s="142" t="s">
        <v>25</v>
      </c>
      <c r="C38" s="142"/>
      <c r="D38" s="142"/>
      <c r="E38" s="142"/>
      <c r="F38" s="142"/>
      <c r="G38" s="142"/>
      <c r="H38" s="45"/>
    </row>
    <row r="40" spans="2:8" x14ac:dyDescent="0.35">
      <c r="B40" s="36" t="s">
        <v>2</v>
      </c>
      <c r="C40" s="36" t="s">
        <v>65</v>
      </c>
      <c r="D40" s="93" t="s">
        <v>4</v>
      </c>
      <c r="E40" s="93" t="s">
        <v>5</v>
      </c>
      <c r="F40" s="36" t="s">
        <v>62</v>
      </c>
      <c r="G40" s="36" t="s">
        <v>6</v>
      </c>
      <c r="H40" s="93" t="s">
        <v>63</v>
      </c>
    </row>
    <row r="41" spans="2:8" x14ac:dyDescent="0.35">
      <c r="B41" s="92"/>
      <c r="C41" s="28"/>
      <c r="D41" s="95"/>
      <c r="E41" s="95"/>
      <c r="F41" s="28"/>
      <c r="G41" s="28"/>
      <c r="H41" s="92"/>
    </row>
    <row r="42" spans="2:8" x14ac:dyDescent="0.35">
      <c r="D42" s="95">
        <f>SUM(D41:D41)</f>
        <v>0</v>
      </c>
      <c r="E42" s="95">
        <f>SUM(E41:E41)</f>
        <v>0</v>
      </c>
    </row>
  </sheetData>
  <mergeCells count="13">
    <mergeCell ref="B38:G3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G20"/>
    <mergeCell ref="B26:G26"/>
    <mergeCell ref="B32:G32"/>
  </mergeCells>
  <pageMargins left="0.7" right="0.7" top="0.75" bottom="0.75" header="0.3" footer="0.3"/>
  <pageSetup paperSize="9" scale="9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8"/>
  <sheetViews>
    <sheetView showGridLines="0" topLeftCell="A13" workbookViewId="0">
      <selection activeCell="F33" sqref="F33"/>
    </sheetView>
  </sheetViews>
  <sheetFormatPr baseColWidth="10" defaultRowHeight="15" x14ac:dyDescent="0.35"/>
  <cols>
    <col min="1" max="1" width="4.7109375" style="15" customWidth="1"/>
    <col min="2" max="2" width="17.28515625" style="15" bestFit="1" customWidth="1"/>
    <col min="3" max="3" width="17.28515625" style="15" customWidth="1"/>
    <col min="4" max="4" width="15.28515625" style="15" bestFit="1" customWidth="1"/>
    <col min="5" max="5" width="9.140625" style="15" bestFit="1" customWidth="1"/>
    <col min="6" max="6" width="8" style="15" bestFit="1" customWidth="1"/>
    <col min="7" max="7" width="41.5703125" style="15" customWidth="1"/>
    <col min="8" max="8" width="33.42578125" style="15" bestFit="1" customWidth="1"/>
    <col min="9" max="10" width="15.28515625" style="15" customWidth="1"/>
    <col min="11" max="11" width="10.85546875" style="16" bestFit="1" customWidth="1"/>
    <col min="12" max="12" width="38.42578125" style="15" bestFit="1" customWidth="1"/>
    <col min="13" max="16384" width="11.42578125" style="15"/>
  </cols>
  <sheetData>
    <row r="2" spans="2:11" x14ac:dyDescent="0.35">
      <c r="B2" s="44" t="s">
        <v>37</v>
      </c>
      <c r="C2" s="24" t="s">
        <v>39</v>
      </c>
    </row>
    <row r="3" spans="2:11" x14ac:dyDescent="0.35">
      <c r="B3" s="44" t="s">
        <v>40</v>
      </c>
      <c r="C3" s="24" t="s">
        <v>39</v>
      </c>
      <c r="F3" s="46"/>
    </row>
    <row r="4" spans="2:11" x14ac:dyDescent="0.35">
      <c r="B4" s="44" t="s">
        <v>38</v>
      </c>
      <c r="C4" s="24" t="s">
        <v>39</v>
      </c>
    </row>
    <row r="6" spans="2:11" x14ac:dyDescent="0.35">
      <c r="B6" s="147" t="s">
        <v>70</v>
      </c>
      <c r="C6" s="147"/>
      <c r="D6" s="47" t="s">
        <v>10</v>
      </c>
    </row>
    <row r="7" spans="2:11" x14ac:dyDescent="0.35">
      <c r="B7" s="150" t="s">
        <v>79</v>
      </c>
      <c r="C7" s="150"/>
      <c r="D7" s="48"/>
      <c r="F7" s="46"/>
    </row>
    <row r="8" spans="2:11" x14ac:dyDescent="0.35">
      <c r="B8" s="150" t="s">
        <v>80</v>
      </c>
      <c r="C8" s="150"/>
      <c r="D8" s="48"/>
    </row>
    <row r="9" spans="2:11" s="27" customFormat="1" x14ac:dyDescent="0.35">
      <c r="B9" s="49"/>
      <c r="C9" s="49"/>
      <c r="D9" s="50"/>
      <c r="K9" s="51"/>
    </row>
    <row r="10" spans="2:11" s="27" customFormat="1" x14ac:dyDescent="0.35">
      <c r="B10" s="147" t="s">
        <v>71</v>
      </c>
      <c r="C10" s="147"/>
      <c r="D10" s="47" t="s">
        <v>10</v>
      </c>
      <c r="K10" s="51"/>
    </row>
    <row r="11" spans="2:11" x14ac:dyDescent="0.35">
      <c r="B11" s="148" t="s">
        <v>72</v>
      </c>
      <c r="C11" s="149"/>
      <c r="D11" s="52">
        <f>+I42</f>
        <v>0</v>
      </c>
    </row>
    <row r="12" spans="2:11" x14ac:dyDescent="0.35">
      <c r="B12" s="145" t="s">
        <v>73</v>
      </c>
      <c r="C12" s="146"/>
      <c r="D12" s="48">
        <f>+J42</f>
        <v>0</v>
      </c>
    </row>
    <row r="13" spans="2:11" x14ac:dyDescent="0.35">
      <c r="B13" s="49"/>
      <c r="C13" s="49"/>
      <c r="D13" s="50"/>
    </row>
    <row r="14" spans="2:11" x14ac:dyDescent="0.35">
      <c r="B14" s="147" t="s">
        <v>74</v>
      </c>
      <c r="C14" s="147"/>
      <c r="D14" s="47" t="s">
        <v>10</v>
      </c>
    </row>
    <row r="15" spans="2:11" x14ac:dyDescent="0.35">
      <c r="B15" s="148" t="s">
        <v>75</v>
      </c>
      <c r="C15" s="149"/>
      <c r="D15" s="52">
        <f>+D7+D11-D12</f>
        <v>0</v>
      </c>
    </row>
    <row r="16" spans="2:11" x14ac:dyDescent="0.35">
      <c r="B16" s="145" t="s">
        <v>76</v>
      </c>
      <c r="C16" s="146"/>
      <c r="D16" s="48">
        <f>+D8</f>
        <v>0</v>
      </c>
    </row>
    <row r="17" spans="2:12" x14ac:dyDescent="0.35">
      <c r="B17" s="145" t="s">
        <v>66</v>
      </c>
      <c r="C17" s="146"/>
      <c r="D17" s="48">
        <f>+D15-D16</f>
        <v>0</v>
      </c>
    </row>
    <row r="19" spans="2:12" x14ac:dyDescent="0.35">
      <c r="B19" s="140" t="s">
        <v>77</v>
      </c>
      <c r="C19" s="140"/>
      <c r="D19" s="140"/>
      <c r="E19" s="140"/>
      <c r="F19" s="140"/>
      <c r="G19" s="140"/>
      <c r="H19" s="140"/>
      <c r="I19" s="140"/>
      <c r="J19" s="140"/>
      <c r="K19" s="140"/>
      <c r="L19" s="140"/>
    </row>
    <row r="20" spans="2:12" x14ac:dyDescent="0.35">
      <c r="B20" s="27"/>
      <c r="C20" s="27"/>
      <c r="D20" s="27"/>
      <c r="E20" s="27"/>
      <c r="F20" s="27"/>
      <c r="G20" s="1"/>
    </row>
    <row r="21" spans="2:12" x14ac:dyDescent="0.35">
      <c r="B21" s="53" t="s">
        <v>78</v>
      </c>
      <c r="C21" s="36" t="s">
        <v>69</v>
      </c>
      <c r="D21" s="54" t="s">
        <v>61</v>
      </c>
      <c r="E21" s="36" t="s">
        <v>28</v>
      </c>
      <c r="F21" s="36" t="s">
        <v>64</v>
      </c>
      <c r="G21" s="36" t="s">
        <v>62</v>
      </c>
      <c r="H21" s="36" t="s">
        <v>6</v>
      </c>
      <c r="I21" s="37" t="s">
        <v>19</v>
      </c>
      <c r="J21" s="37" t="s">
        <v>20</v>
      </c>
      <c r="K21" s="37" t="s">
        <v>63</v>
      </c>
      <c r="L21" s="36" t="s">
        <v>22</v>
      </c>
    </row>
    <row r="22" spans="2:12" x14ac:dyDescent="0.35">
      <c r="B22" s="55" t="str">
        <f>+PROPER(TEXT(C22,"mmmm"))</f>
        <v>Enero</v>
      </c>
      <c r="C22" s="33"/>
      <c r="D22" s="33"/>
      <c r="E22" s="28"/>
      <c r="F22" s="56"/>
      <c r="G22" s="56"/>
      <c r="H22" s="56"/>
      <c r="I22" s="57"/>
      <c r="J22" s="57"/>
      <c r="K22" s="58"/>
      <c r="L22" s="59"/>
    </row>
    <row r="23" spans="2:12" x14ac:dyDescent="0.35">
      <c r="B23" s="55"/>
      <c r="C23" s="33"/>
      <c r="D23" s="33"/>
      <c r="E23" s="28"/>
      <c r="F23" s="56"/>
      <c r="G23" s="56"/>
      <c r="H23" s="56"/>
      <c r="I23" s="57"/>
      <c r="J23" s="57"/>
      <c r="K23" s="58"/>
      <c r="L23" s="59"/>
    </row>
    <row r="24" spans="2:12" x14ac:dyDescent="0.35">
      <c r="B24" s="55"/>
      <c r="C24" s="33"/>
      <c r="D24" s="33"/>
      <c r="E24" s="28"/>
      <c r="F24" s="56"/>
      <c r="G24" s="56"/>
      <c r="H24" s="56"/>
      <c r="I24" s="57"/>
      <c r="J24" s="57"/>
      <c r="K24" s="58"/>
      <c r="L24" s="59"/>
    </row>
    <row r="25" spans="2:12" x14ac:dyDescent="0.35">
      <c r="B25" s="55"/>
      <c r="C25" s="33"/>
      <c r="D25" s="33"/>
      <c r="E25" s="28"/>
      <c r="F25" s="56"/>
      <c r="G25" s="56"/>
      <c r="H25" s="56"/>
      <c r="I25" s="57"/>
      <c r="J25" s="57"/>
      <c r="K25" s="58"/>
      <c r="L25" s="59"/>
    </row>
    <row r="26" spans="2:12" x14ac:dyDescent="0.35">
      <c r="B26" s="55"/>
      <c r="C26" s="33"/>
      <c r="D26" s="33"/>
      <c r="E26" s="28"/>
      <c r="F26" s="56"/>
      <c r="G26" s="56"/>
      <c r="H26" s="56"/>
      <c r="I26" s="57"/>
      <c r="J26" s="57"/>
      <c r="K26" s="58"/>
      <c r="L26" s="59"/>
    </row>
    <row r="27" spans="2:12" x14ac:dyDescent="0.35">
      <c r="B27" s="55"/>
      <c r="C27" s="33"/>
      <c r="D27" s="33"/>
      <c r="E27" s="28"/>
      <c r="F27" s="56"/>
      <c r="G27" s="56"/>
      <c r="H27" s="56"/>
      <c r="I27" s="57"/>
      <c r="J27" s="57"/>
      <c r="K27" s="58"/>
      <c r="L27" s="59"/>
    </row>
    <row r="28" spans="2:12" x14ac:dyDescent="0.35">
      <c r="B28" s="55"/>
      <c r="C28" s="33"/>
      <c r="D28" s="33"/>
      <c r="E28" s="28"/>
      <c r="F28" s="56"/>
      <c r="G28" s="56"/>
      <c r="H28" s="56"/>
      <c r="I28" s="57"/>
      <c r="J28" s="57"/>
      <c r="K28" s="58"/>
      <c r="L28" s="59"/>
    </row>
    <row r="29" spans="2:12" x14ac:dyDescent="0.35">
      <c r="B29" s="55"/>
      <c r="C29" s="33"/>
      <c r="D29" s="33"/>
      <c r="E29" s="28"/>
      <c r="F29" s="56"/>
      <c r="G29" s="56"/>
      <c r="H29" s="56"/>
      <c r="I29" s="57"/>
      <c r="J29" s="57"/>
      <c r="K29" s="58"/>
      <c r="L29" s="59"/>
    </row>
    <row r="30" spans="2:12" x14ac:dyDescent="0.35">
      <c r="B30" s="55"/>
      <c r="C30" s="33"/>
      <c r="D30" s="33"/>
      <c r="E30" s="28"/>
      <c r="F30" s="56"/>
      <c r="G30" s="56"/>
      <c r="H30" s="56"/>
      <c r="I30" s="57"/>
      <c r="J30" s="57"/>
      <c r="K30" s="58"/>
      <c r="L30" s="59"/>
    </row>
    <row r="31" spans="2:12" x14ac:dyDescent="0.35">
      <c r="B31" s="55"/>
      <c r="C31" s="33"/>
      <c r="D31" s="33"/>
      <c r="E31" s="28"/>
      <c r="F31" s="56"/>
      <c r="G31" s="56"/>
      <c r="H31" s="56"/>
      <c r="I31" s="57"/>
      <c r="J31" s="57"/>
      <c r="K31" s="58"/>
      <c r="L31" s="59"/>
    </row>
    <row r="32" spans="2:12" x14ac:dyDescent="0.35">
      <c r="B32" s="55"/>
      <c r="C32" s="33"/>
      <c r="D32" s="33"/>
      <c r="E32" s="28"/>
      <c r="F32" s="56"/>
      <c r="G32" s="56"/>
      <c r="H32" s="56"/>
      <c r="I32" s="57"/>
      <c r="J32" s="57"/>
      <c r="K32" s="58"/>
      <c r="L32" s="59"/>
    </row>
    <row r="33" spans="2:12" x14ac:dyDescent="0.35">
      <c r="B33" s="55"/>
      <c r="C33" s="33"/>
      <c r="D33" s="33"/>
      <c r="E33" s="28"/>
      <c r="F33" s="56"/>
      <c r="G33" s="56"/>
      <c r="H33" s="56"/>
      <c r="I33" s="57"/>
      <c r="J33" s="57"/>
      <c r="K33" s="58"/>
      <c r="L33" s="59"/>
    </row>
    <row r="34" spans="2:12" x14ac:dyDescent="0.35">
      <c r="B34" s="55"/>
      <c r="C34" s="33"/>
      <c r="D34" s="33"/>
      <c r="E34" s="28"/>
      <c r="F34" s="56"/>
      <c r="G34" s="56"/>
      <c r="H34" s="56"/>
      <c r="I34" s="57"/>
      <c r="J34" s="57"/>
      <c r="K34" s="58"/>
      <c r="L34" s="59"/>
    </row>
    <row r="35" spans="2:12" x14ac:dyDescent="0.35">
      <c r="B35" s="55"/>
      <c r="C35" s="33"/>
      <c r="D35" s="33"/>
      <c r="E35" s="28"/>
      <c r="F35" s="56"/>
      <c r="G35" s="56"/>
      <c r="H35" s="56"/>
      <c r="I35" s="57"/>
      <c r="J35" s="57"/>
      <c r="K35" s="58"/>
      <c r="L35" s="59"/>
    </row>
    <row r="36" spans="2:12" x14ac:dyDescent="0.35">
      <c r="B36" s="55"/>
      <c r="C36" s="33"/>
      <c r="D36" s="33"/>
      <c r="E36" s="28"/>
      <c r="F36" s="56"/>
      <c r="G36" s="56"/>
      <c r="H36" s="56"/>
      <c r="I36" s="57"/>
      <c r="J36" s="57"/>
      <c r="K36" s="58"/>
      <c r="L36" s="59"/>
    </row>
    <row r="37" spans="2:12" x14ac:dyDescent="0.35">
      <c r="B37" s="55"/>
      <c r="C37" s="33"/>
      <c r="D37" s="33"/>
      <c r="E37" s="28"/>
      <c r="F37" s="56"/>
      <c r="G37" s="56"/>
      <c r="H37" s="56"/>
      <c r="I37" s="57"/>
      <c r="J37" s="57"/>
      <c r="K37" s="58"/>
      <c r="L37" s="59"/>
    </row>
    <row r="38" spans="2:12" x14ac:dyDescent="0.35">
      <c r="B38" s="55"/>
      <c r="C38" s="33"/>
      <c r="D38" s="33"/>
      <c r="E38" s="28"/>
      <c r="F38" s="56"/>
      <c r="G38" s="56"/>
      <c r="H38" s="56"/>
      <c r="I38" s="57"/>
      <c r="J38" s="57"/>
      <c r="K38" s="58"/>
      <c r="L38" s="59"/>
    </row>
    <row r="39" spans="2:12" x14ac:dyDescent="0.35">
      <c r="B39" s="55"/>
      <c r="C39" s="33"/>
      <c r="D39" s="33"/>
      <c r="E39" s="28"/>
      <c r="F39" s="56"/>
      <c r="G39" s="56"/>
      <c r="H39" s="56"/>
      <c r="I39" s="57"/>
      <c r="J39" s="57"/>
      <c r="K39" s="58"/>
      <c r="L39" s="59"/>
    </row>
    <row r="40" spans="2:12" x14ac:dyDescent="0.35">
      <c r="B40" s="55"/>
      <c r="C40" s="33"/>
      <c r="D40" s="33"/>
      <c r="E40" s="28"/>
      <c r="F40" s="56"/>
      <c r="G40" s="56"/>
      <c r="H40" s="56"/>
      <c r="I40" s="57"/>
      <c r="J40" s="57"/>
      <c r="K40" s="58"/>
      <c r="L40" s="59"/>
    </row>
    <row r="41" spans="2:12" x14ac:dyDescent="0.35">
      <c r="B41" s="55"/>
      <c r="C41" s="33"/>
      <c r="D41" s="33"/>
      <c r="E41" s="28"/>
      <c r="F41" s="56"/>
      <c r="G41" s="56"/>
      <c r="H41" s="56"/>
      <c r="I41" s="57"/>
      <c r="J41" s="57"/>
      <c r="K41" s="58"/>
      <c r="L41" s="59"/>
    </row>
    <row r="42" spans="2:12" x14ac:dyDescent="0.35">
      <c r="I42" s="34">
        <f>SUM(I22:I41)</f>
        <v>0</v>
      </c>
      <c r="J42" s="34">
        <f>SUM(J22:J41)</f>
        <v>0</v>
      </c>
    </row>
    <row r="45" spans="2:12" x14ac:dyDescent="0.35">
      <c r="K45" s="15"/>
    </row>
    <row r="46" spans="2:12" x14ac:dyDescent="0.35">
      <c r="K46" s="15"/>
    </row>
    <row r="47" spans="2:12" x14ac:dyDescent="0.35">
      <c r="K47" s="15"/>
    </row>
    <row r="48" spans="2:12" x14ac:dyDescent="0.35">
      <c r="K48" s="15"/>
    </row>
    <row r="49" spans="11:11" x14ac:dyDescent="0.35">
      <c r="K49" s="15"/>
    </row>
    <row r="50" spans="11:11" x14ac:dyDescent="0.35">
      <c r="K50" s="15"/>
    </row>
    <row r="51" spans="11:11" x14ac:dyDescent="0.35">
      <c r="K51" s="15"/>
    </row>
    <row r="52" spans="11:11" x14ac:dyDescent="0.35">
      <c r="K52" s="15"/>
    </row>
    <row r="53" spans="11:11" x14ac:dyDescent="0.35">
      <c r="K53" s="15"/>
    </row>
    <row r="54" spans="11:11" x14ac:dyDescent="0.35">
      <c r="K54" s="15"/>
    </row>
    <row r="55" spans="11:11" x14ac:dyDescent="0.35">
      <c r="K55" s="15"/>
    </row>
    <row r="56" spans="11:11" x14ac:dyDescent="0.35">
      <c r="K56" s="15"/>
    </row>
    <row r="57" spans="11:11" x14ac:dyDescent="0.35">
      <c r="K57" s="15"/>
    </row>
    <row r="58" spans="11:11" x14ac:dyDescent="0.35">
      <c r="K58" s="15"/>
    </row>
    <row r="59" spans="11:11" x14ac:dyDescent="0.35">
      <c r="K59" s="15"/>
    </row>
    <row r="60" spans="11:11" x14ac:dyDescent="0.35">
      <c r="K60" s="15"/>
    </row>
    <row r="61" spans="11:11" x14ac:dyDescent="0.35">
      <c r="K61" s="15"/>
    </row>
    <row r="62" spans="11:11" x14ac:dyDescent="0.35">
      <c r="K62" s="15"/>
    </row>
    <row r="63" spans="11:11" x14ac:dyDescent="0.35">
      <c r="K63" s="15"/>
    </row>
    <row r="64" spans="11:11" x14ac:dyDescent="0.35">
      <c r="K64" s="15"/>
    </row>
    <row r="65" spans="11:11" x14ac:dyDescent="0.35">
      <c r="K65" s="15"/>
    </row>
    <row r="66" spans="11:11" x14ac:dyDescent="0.35">
      <c r="K66" s="15"/>
    </row>
    <row r="67" spans="11:11" x14ac:dyDescent="0.35">
      <c r="K67" s="15"/>
    </row>
    <row r="68" spans="11:11" x14ac:dyDescent="0.35">
      <c r="K68" s="15"/>
    </row>
    <row r="70" spans="11:11" x14ac:dyDescent="0.35">
      <c r="K70" s="15"/>
    </row>
    <row r="71" spans="11:11" x14ac:dyDescent="0.35">
      <c r="K71" s="15"/>
    </row>
    <row r="72" spans="11:11" x14ac:dyDescent="0.35">
      <c r="K72" s="15"/>
    </row>
    <row r="73" spans="11:11" x14ac:dyDescent="0.35">
      <c r="K73" s="15"/>
    </row>
    <row r="74" spans="11:11" x14ac:dyDescent="0.35">
      <c r="K74" s="15"/>
    </row>
    <row r="75" spans="11:11" x14ac:dyDescent="0.35">
      <c r="K75" s="15"/>
    </row>
    <row r="76" spans="11:11" x14ac:dyDescent="0.35">
      <c r="K76" s="15"/>
    </row>
    <row r="77" spans="11:11" x14ac:dyDescent="0.35">
      <c r="K77" s="15"/>
    </row>
    <row r="78" spans="11:11" x14ac:dyDescent="0.35">
      <c r="K78" s="15"/>
    </row>
  </sheetData>
  <mergeCells count="11">
    <mergeCell ref="B12:C12"/>
    <mergeCell ref="B6:C6"/>
    <mergeCell ref="B7:C7"/>
    <mergeCell ref="B8:C8"/>
    <mergeCell ref="B10:C10"/>
    <mergeCell ref="B11:C11"/>
    <mergeCell ref="B14:C14"/>
    <mergeCell ref="B15:C15"/>
    <mergeCell ref="B16:C16"/>
    <mergeCell ref="B17:C17"/>
    <mergeCell ref="B19:L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F41" sqref="F41"/>
    </sheetView>
  </sheetViews>
  <sheetFormatPr baseColWidth="10" defaultRowHeight="15" x14ac:dyDescent="0.25"/>
  <cols>
    <col min="2" max="2" width="15.7109375" bestFit="1" customWidth="1"/>
    <col min="4" max="5" width="12" bestFit="1" customWidth="1"/>
    <col min="8" max="8" width="25" bestFit="1" customWidth="1"/>
  </cols>
  <sheetData>
    <row r="2" spans="2:8" x14ac:dyDescent="0.25">
      <c r="B2" t="s">
        <v>39</v>
      </c>
      <c r="D2" t="s">
        <v>39</v>
      </c>
      <c r="F2" t="s">
        <v>39</v>
      </c>
      <c r="H2" t="s">
        <v>39</v>
      </c>
    </row>
    <row r="3" spans="2:8" x14ac:dyDescent="0.25">
      <c r="B3" t="s">
        <v>32</v>
      </c>
      <c r="D3">
        <v>2212471</v>
      </c>
      <c r="F3" s="23" t="s">
        <v>41</v>
      </c>
      <c r="H3" t="s">
        <v>88</v>
      </c>
    </row>
    <row r="4" spans="2:8" x14ac:dyDescent="0.25">
      <c r="B4" t="s">
        <v>31</v>
      </c>
      <c r="D4">
        <v>579702001</v>
      </c>
      <c r="F4" s="23" t="s">
        <v>42</v>
      </c>
      <c r="H4" t="s">
        <v>86</v>
      </c>
    </row>
    <row r="5" spans="2:8" x14ac:dyDescent="0.25">
      <c r="B5" t="s">
        <v>33</v>
      </c>
      <c r="D5">
        <v>6290002225</v>
      </c>
      <c r="F5" s="23" t="s">
        <v>43</v>
      </c>
      <c r="H5" t="s">
        <v>81</v>
      </c>
    </row>
    <row r="6" spans="2:8" x14ac:dyDescent="0.25">
      <c r="B6" t="s">
        <v>34</v>
      </c>
      <c r="D6">
        <v>6290002328</v>
      </c>
      <c r="F6" s="23" t="s">
        <v>44</v>
      </c>
      <c r="H6" t="s">
        <v>82</v>
      </c>
    </row>
    <row r="7" spans="2:8" x14ac:dyDescent="0.25">
      <c r="B7" t="s">
        <v>35</v>
      </c>
      <c r="D7">
        <v>6290035153</v>
      </c>
      <c r="F7" s="23" t="s">
        <v>45</v>
      </c>
      <c r="H7" t="s">
        <v>83</v>
      </c>
    </row>
    <row r="8" spans="2:8" x14ac:dyDescent="0.25">
      <c r="B8" t="s">
        <v>36</v>
      </c>
      <c r="D8">
        <v>6290046289</v>
      </c>
      <c r="F8" s="23" t="s">
        <v>46</v>
      </c>
      <c r="H8" t="s">
        <v>93</v>
      </c>
    </row>
    <row r="9" spans="2:8" x14ac:dyDescent="0.25">
      <c r="D9">
        <v>6290064906</v>
      </c>
      <c r="F9" s="23" t="s">
        <v>47</v>
      </c>
      <c r="H9" t="s">
        <v>89</v>
      </c>
    </row>
    <row r="10" spans="2:8" x14ac:dyDescent="0.25">
      <c r="D10">
        <v>1135970835</v>
      </c>
      <c r="F10" s="23" t="s">
        <v>48</v>
      </c>
      <c r="H10" t="s">
        <v>100</v>
      </c>
    </row>
    <row r="11" spans="2:8" x14ac:dyDescent="0.25">
      <c r="D11">
        <v>9406934115</v>
      </c>
      <c r="F11" s="23" t="s">
        <v>49</v>
      </c>
      <c r="H11" t="s">
        <v>84</v>
      </c>
    </row>
    <row r="12" spans="2:8" x14ac:dyDescent="0.25">
      <c r="D12">
        <v>44100000482</v>
      </c>
      <c r="F12" s="23" t="s">
        <v>50</v>
      </c>
      <c r="H12" t="s">
        <v>85</v>
      </c>
    </row>
    <row r="13" spans="2:8" x14ac:dyDescent="0.25">
      <c r="F13" s="23" t="s">
        <v>51</v>
      </c>
      <c r="H13" t="s">
        <v>90</v>
      </c>
    </row>
    <row r="14" spans="2:8" x14ac:dyDescent="0.25">
      <c r="F14" s="23" t="s">
        <v>52</v>
      </c>
      <c r="H14" t="s">
        <v>92</v>
      </c>
    </row>
    <row r="15" spans="2:8" x14ac:dyDescent="0.25">
      <c r="H15" t="s">
        <v>87</v>
      </c>
    </row>
    <row r="16" spans="2:8" x14ac:dyDescent="0.25">
      <c r="H16" t="s">
        <v>91</v>
      </c>
    </row>
    <row r="17" spans="8:8" x14ac:dyDescent="0.25">
      <c r="H17" t="s">
        <v>101</v>
      </c>
    </row>
  </sheetData>
  <sortState ref="H3:H17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PENDIENTES MES ANT</vt:lpstr>
      <vt:lpstr>EXTRACTO</vt:lpstr>
      <vt:lpstr>LIBRO BANCO</vt:lpstr>
      <vt:lpstr>CONCILIACIÓN</vt:lpstr>
      <vt:lpstr>BALANCE</vt:lpstr>
      <vt:lpstr>OPCIONES</vt:lpstr>
      <vt:lpstr>CONCILIACIÓN!Área_de_impresión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guaymallen</dc:creator>
  <cp:lastModifiedBy>Pilar Flores</cp:lastModifiedBy>
  <cp:lastPrinted>2026-04-23T14:59:42Z</cp:lastPrinted>
  <dcterms:created xsi:type="dcterms:W3CDTF">2025-12-17T13:21:20Z</dcterms:created>
  <dcterms:modified xsi:type="dcterms:W3CDTF">2026-04-23T14:59:49Z</dcterms:modified>
</cp:coreProperties>
</file>