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CONCILIACIÓN!$B$22:$G$22</definedName>
    <definedName name="_xlnm.Print_Area" localSheetId="3">CONCILIACIÓN!$B$2:$H$47</definedName>
  </definedNames>
  <calcPr calcId="145621"/>
</workbook>
</file>

<file path=xl/calcChain.xml><?xml version="1.0" encoding="utf-8"?>
<calcChain xmlns="http://schemas.openxmlformats.org/spreadsheetml/2006/main">
  <c r="I19" i="3" l="1"/>
  <c r="H19" i="3"/>
  <c r="D15" i="5" l="1"/>
  <c r="D14" i="5"/>
  <c r="D13" i="5"/>
  <c r="D12" i="5"/>
  <c r="E47" i="5"/>
  <c r="D47" i="5"/>
  <c r="E38" i="5"/>
  <c r="D38" i="5"/>
  <c r="D30" i="5"/>
  <c r="E30" i="5"/>
  <c r="E24" i="5"/>
  <c r="D24" i="5"/>
  <c r="J8" i="3" l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K8" i="2" l="1"/>
  <c r="K9" i="2" s="1"/>
  <c r="K10" i="2" s="1"/>
  <c r="K11" i="2" s="1"/>
  <c r="K12" i="2" s="1"/>
  <c r="K13" i="2" s="1"/>
  <c r="K14" i="2" s="1"/>
  <c r="K15" i="2" s="1"/>
  <c r="E23" i="4" l="1"/>
  <c r="E25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<sst xmlns="http://schemas.openxmlformats.org/spreadsheetml/2006/main" count="333" uniqueCount="152">
  <si>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</si>
  <si>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</si>
  <si>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</si>
  <si>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</si>
  <si>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</si>
  <si>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</si>
  <si>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</si>
  <si>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</si>
  <si>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</si>
  <si>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</si>
  <si>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</si>
  <si>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</si>
  <si>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</si>
  <si>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</si>
  <si>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</si>
  <si>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</si>
  <si>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</si>
  <si>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</si>
  <si>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</si>
  <si>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</si>
  <si>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</si>
  <si>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</si>
  <si>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</si>
  <si>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</si>
  <si>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</si>
  <si>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</si>
  <si>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</si>
  <si>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</si>
  <si>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</si>
  <si>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</si>
  <si>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</si>
  <si>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</si>
  <si>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</si>
  <si>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</si>
  <si>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</si>
  <si>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</si>
  <si>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</si>
  <si>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</si>
  <si>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</si>
  <si>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</si>
  <si>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</si>
  <si>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</si>
  <si>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</si>
  <si>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</si>
  <si>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</si>
  <si>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</si>
  <si>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</si>
  <si>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</si>
  <si>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</si>
  <si>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</si>
  <si>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</si>
  <si>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</si>
  <si>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</si>
  <si>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</si>
  <si>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</si>
  <si>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</si>
  <si>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</si>
  <si>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</si>
  <si>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</si>
  <si>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</si>
  <si>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</si>
  <si>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</si>
  <si>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</si>
  <si>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</si>
  <si>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</si>
  <si>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</si>
  <si>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</si>
  <si>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</si>
  <si>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</si>
  <si>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</si>
  <si>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</si>
  <si>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</si>
  <si>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</si>
  <si>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</si>
  <si>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</si>
  <si>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</si>
  <si>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</si>
  <si>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</si>
  <si>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</si>
  <si>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</si>
  <si>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</si>
  <si>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</si>
  <si>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</si>
  <si>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</si>
  <si>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</si>
  <si>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</si>
  <si>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</si>
  <si>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</si>
  <si>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</si>
  <si>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</si>
  <si>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</si>
  <si>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</si>
  <si>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</si>
  <si>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</si>
  <si>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</si>
  <si>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</si>
  <si>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</si>
  <si>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</si>
  <si>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</si>
  <si>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>C.MANT.CTA</t>
  </si>
  <si>
    <t>05/01/2026</t>
  </si>
  <si>
    <t xml:space="preserve"> </t>
  </si>
  <si>
    <t xml:space="preserve">Diciembre 2026           </t>
  </si>
  <si>
    <t>IVA</t>
  </si>
  <si>
    <t xml:space="preserve">IVA-AUTOMATICO           </t>
  </si>
  <si>
    <t>PZO.FIJO</t>
  </si>
  <si>
    <t>26/01/2026</t>
  </si>
  <si>
    <t>DEBITOS</t>
  </si>
  <si>
    <t xml:space="preserve">FIMA PREMIUM CLASE B     </t>
  </si>
  <si>
    <t>CRED.INT</t>
  </si>
  <si>
    <t>28/01/2026</t>
  </si>
  <si>
    <t>TRF.DATA</t>
  </si>
  <si>
    <t>MUNICIPALIDAD DE GUAYMALL</t>
  </si>
  <si>
    <t>809345693642</t>
  </si>
  <si>
    <t>SALDO FINAL</t>
  </si>
  <si>
    <t xml:space="preserve"> Gastos Bancarios</t>
  </si>
  <si>
    <t>Comisiones e IVA 01/2026</t>
  </si>
  <si>
    <t>23 Trans.A</t>
  </si>
  <si>
    <t xml:space="preserve">RENTA PLAZO FIJO BCO GALICIA                                          </t>
  </si>
  <si>
    <t>VTO 26-01-26</t>
  </si>
  <si>
    <t xml:space="preserve">Galicia 2471                                                          </t>
  </si>
  <si>
    <t xml:space="preserve">Suscripcion FCI Galicia </t>
  </si>
  <si>
    <t xml:space="preserve">Transferencia del Galicia al Macro </t>
  </si>
  <si>
    <t xml:space="preserve">Transferencia del Galicia al Nacion 2328 </t>
  </si>
  <si>
    <t xml:space="preserve">PF Galicia                                                            </t>
  </si>
  <si>
    <t xml:space="preserve">Cancelacion Plazo Fijo Galicia </t>
  </si>
  <si>
    <t xml:space="preserve">FCI Galicia                                                           </t>
  </si>
  <si>
    <t xml:space="preserve">Rescate FCI Galicia </t>
  </si>
  <si>
    <t xml:space="preserve">Fondo Comun de Inv  Supervielle - BCO GALICIA                         </t>
  </si>
  <si>
    <t>RESCATE 28/01/2026</t>
  </si>
  <si>
    <t xml:space="preserve">Nro. 34362-EX-2025-1000       </t>
  </si>
  <si>
    <t xml:space="preserve">Nro. 34362-EX-2026-1000       </t>
  </si>
  <si>
    <t xml:space="preserve">Nro. 1894--2026-1000          </t>
  </si>
  <si>
    <t xml:space="preserve">Nro. 2007--2026-1000          </t>
  </si>
  <si>
    <t xml:space="preserve">Nro. 2005--2026-1000          </t>
  </si>
  <si>
    <t xml:space="preserve">Nro. 2161--2026-1000          </t>
  </si>
  <si>
    <t>Anulado</t>
  </si>
  <si>
    <t>Definitivo</t>
  </si>
  <si>
    <t>Nro. 34362--2026-1000  Error en Año 2026</t>
  </si>
  <si>
    <t>VTO 26-01-26 Nº 45693642</t>
  </si>
  <si>
    <t>Pendiente</t>
  </si>
  <si>
    <t>Transferencia</t>
  </si>
  <si>
    <t>Nro. 34362-2025-1000</t>
  </si>
  <si>
    <t>Nro. 34362-2025-1000 Error en Fecha Contable</t>
  </si>
  <si>
    <t>Nro. 2161-2026-1000 Error FCI Supervielle</t>
  </si>
  <si>
    <t>GASTOS BANCARIOS</t>
  </si>
  <si>
    <t>6 Transf.</t>
  </si>
  <si>
    <t>8 Recauda</t>
  </si>
  <si>
    <t>PF Galicia</t>
  </si>
  <si>
    <t>FCI Galicia</t>
  </si>
  <si>
    <t>RENTA PLAZO FIJO BCO GALICIA</t>
  </si>
  <si>
    <t>Fondo Comun de Inv  Supervielle - BCO GALICIA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</si>
</sst>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5" fillId="0" borderId="1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43" fontId="3" fillId="0" borderId="0" xfId="1" applyFont="1"/>
    <xf numFmtId="43" fontId="3" fillId="0" borderId="3" xfId="1" applyFont="1" applyBorder="1"/>
    <xf numFmtId="43" fontId="3" fillId="0" borderId="8" xfId="1" applyFont="1" applyBorder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43" fontId="3" fillId="0" borderId="1" xfId="1" applyFont="1" applyBorder="1"/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top"/>
    </xf>
    <xf numFmtId="0" fontId="7" fillId="0" borderId="3" xfId="0" applyFont="1" applyBorder="1"/>
    <xf numFmtId="0" fontId="9" fillId="3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1" xfId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49" fontId="3" fillId="0" borderId="8" xfId="0" applyNumberFormat="1" applyFont="1" applyBorder="1"/>
    <xf numFmtId="0" fontId="3" fillId="6" borderId="7" xfId="0" applyFont="1" applyFill="1" applyBorder="1"/>
    <xf numFmtId="164" fontId="3" fillId="6" borderId="8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8" xfId="0" applyNumberFormat="1" applyFont="1" applyFill="1" applyBorder="1" applyAlignment="1">
      <alignment horizontal="center"/>
    </xf>
    <xf numFmtId="43" fontId="3" fillId="6" borderId="8" xfId="1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7" fillId="6" borderId="3" xfId="0" applyFont="1" applyFill="1" applyBorder="1"/>
    <xf numFmtId="0" fontId="3" fillId="0" borderId="7" xfId="0" applyFont="1" applyBorder="1" applyAlignment="1">
      <alignment horizontal="left"/>
    </xf>
    <xf numFmtId="0" fontId="5" fillId="0" borderId="1" xfId="1" applyNumberFormat="1" applyFont="1" applyBorder="1" applyAlignment="1">
      <alignment horizontal="center"/>
    </xf>
    <xf numFmtId="164" fontId="3" fillId="7" borderId="8" xfId="0" applyNumberFormat="1" applyFont="1" applyFill="1" applyBorder="1" applyAlignment="1">
      <alignment horizontal="center"/>
    </xf>
    <xf numFmtId="0" fontId="3" fillId="7" borderId="8" xfId="0" applyFont="1" applyFill="1" applyBorder="1"/>
    <xf numFmtId="43" fontId="3" fillId="7" borderId="8" xfId="1" applyFont="1" applyFill="1" applyBorder="1"/>
    <xf numFmtId="0" fontId="5" fillId="7" borderId="1" xfId="1" applyNumberFormat="1" applyFont="1" applyFill="1" applyBorder="1" applyAlignment="1">
      <alignment horizontal="center"/>
    </xf>
    <xf numFmtId="0" fontId="5" fillId="7" borderId="1" xfId="0" applyFont="1" applyFill="1" applyBorder="1"/>
    <xf numFmtId="0" fontId="5" fillId="5" borderId="1" xfId="1" applyNumberFormat="1" applyFont="1" applyFill="1" applyBorder="1" applyAlignment="1">
      <alignment horizontal="center"/>
    </xf>
    <xf numFmtId="0" fontId="5" fillId="5" borderId="1" xfId="0" applyFont="1" applyFill="1" applyBorder="1"/>
    <xf numFmtId="0" fontId="3" fillId="7" borderId="7" xfId="0" applyFont="1" applyFill="1" applyBorder="1"/>
    <xf numFmtId="0" fontId="3" fillId="7" borderId="8" xfId="0" applyNumberFormat="1" applyFont="1" applyFill="1" applyBorder="1" applyAlignment="1">
      <alignment horizontal="center"/>
    </xf>
    <xf numFmtId="0" fontId="7" fillId="7" borderId="3" xfId="0" applyFont="1" applyFill="1" applyBorder="1"/>
    <xf numFmtId="0" fontId="3" fillId="7" borderId="3" xfId="0" applyFont="1" applyFill="1" applyBorder="1"/>
    <xf numFmtId="4" fontId="3" fillId="0" borderId="1" xfId="0" applyNumberFormat="1" applyFont="1" applyFill="1" applyBorder="1"/>
    <xf numFmtId="4" fontId="3" fillId="0" borderId="8" xfId="1" applyNumberFormat="1" applyFont="1" applyBorder="1"/>
    <xf numFmtId="164" fontId="3" fillId="0" borderId="10" xfId="0" applyNumberFormat="1" applyFont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8" fillId="0" borderId="6" xfId="0" applyFont="1" applyBorder="1"/>
    <xf numFmtId="164" fontId="3" fillId="5" borderId="5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43" fontId="3" fillId="5" borderId="1" xfId="1" applyFont="1" applyFill="1" applyBorder="1"/>
    <xf numFmtId="0" fontId="8" fillId="5" borderId="6" xfId="0" applyFont="1" applyFill="1" applyBorder="1"/>
    <xf numFmtId="164" fontId="3" fillId="7" borderId="5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43" fontId="3" fillId="7" borderId="1" xfId="1" applyFont="1" applyFill="1" applyBorder="1"/>
    <xf numFmtId="0" fontId="8" fillId="7" borderId="6" xfId="0" applyFont="1" applyFill="1" applyBorder="1"/>
    <xf numFmtId="164" fontId="3" fillId="0" borderId="1" xfId="0" applyNumberFormat="1" applyFont="1" applyBorder="1" applyAlignment="1">
      <alignment horizontal="center"/>
    </xf>
    <xf numFmtId="0" fontId="5" fillId="0" borderId="6" xfId="0" applyFont="1" applyBorder="1"/>
    <xf numFmtId="43" fontId="3" fillId="0" borderId="8" xfId="1" applyFont="1" applyFill="1" applyBorder="1"/>
    <xf numFmtId="43" fontId="5" fillId="0" borderId="8" xfId="1" applyFont="1" applyBorder="1" applyAlignment="1">
      <alignment horizontal="center"/>
    </xf>
    <xf numFmtId="0" fontId="5" fillId="0" borderId="8" xfId="0" applyFont="1" applyBorder="1"/>
    <xf numFmtId="0" fontId="8" fillId="0" borderId="9" xfId="0" applyFont="1" applyBorder="1"/>
    <xf numFmtId="0" fontId="4" fillId="0" borderId="1" xfId="0" applyFont="1" applyFill="1" applyBorder="1" applyAlignment="1">
      <alignment horizontal="left"/>
    </xf>
    <xf numFmtId="4" fontId="3" fillId="0" borderId="1" xfId="1" applyNumberFormat="1" applyFont="1" applyBorder="1"/>
    <xf numFmtId="164" fontId="3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9" totalsRowShown="0" headerRowDxfId="64" dataDxfId="62" headerRowBorderDxfId="63" tableBorderDxfId="61" totalsRowBorderDxfId="60">
  <autoFilter ref="B8:H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13:H14" totalsRowShown="0" headerRowDxfId="52" dataDxfId="50" headerRowBorderDxfId="51" tableBorderDxfId="49" totalsRowBorderDxfId="48">
  <autoFilter ref="B13:H14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17:E25" totalsRowShown="0" headerRowDxfId="40" dataDxfId="38" headerRowBorderDxfId="39" tableBorderDxfId="37" totalsRowBorderDxfId="36">
  <autoFilter ref="D17:E25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15" totalsRowShown="0" headerRowDxfId="33" dataDxfId="31" headerRowBorderDxfId="32" tableBorderDxfId="30" totalsRowBorderDxfId="29">
  <autoFilter ref="B6:M15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19" totalsRowShown="0" headerRowDxfId="16" dataDxfId="14" headerRowBorderDxfId="15" tableBorderDxfId="13" totalsRowBorderDxfId="12">
  <autoFilter ref="B6:M19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5"/>
  <sheetViews>
    <sheetView showGridLines="0" workbookViewId="0">
      <selection activeCell="H26" sqref="H26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8" width="18.5703125" style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6" t="s">
        <v>37</v>
      </c>
      <c r="C2" s="24" t="s">
        <v>32</v>
      </c>
      <c r="D2" s="17"/>
      <c r="E2" s="17"/>
      <c r="F2" s="17"/>
      <c r="G2" s="17"/>
      <c r="H2" s="17"/>
    </row>
    <row r="3" spans="2:11" x14ac:dyDescent="0.35">
      <c r="B3" s="16" t="s">
        <v>40</v>
      </c>
      <c r="C3" s="24">
        <v>2212471</v>
      </c>
      <c r="D3" s="17"/>
      <c r="E3" s="17"/>
      <c r="F3" s="17"/>
      <c r="G3" s="17"/>
      <c r="H3" s="17"/>
    </row>
    <row r="4" spans="2:11" x14ac:dyDescent="0.35">
      <c r="B4" s="16" t="s">
        <v>38</v>
      </c>
      <c r="C4" s="24" t="s">
        <v>41</v>
      </c>
      <c r="D4" s="17"/>
      <c r="E4" s="17"/>
      <c r="F4" s="17"/>
      <c r="G4" s="17"/>
      <c r="H4" s="17"/>
    </row>
    <row r="6" spans="2:11" x14ac:dyDescent="0.35">
      <c r="B6" s="139" t="s">
        <v>0</v>
      </c>
      <c r="C6" s="139"/>
      <c r="D6" s="139"/>
      <c r="E6" s="139"/>
      <c r="F6" s="139"/>
      <c r="G6" s="139"/>
      <c r="H6" s="139"/>
    </row>
    <row r="8" spans="2:11" s="2" customFormat="1" x14ac:dyDescent="0.35">
      <c r="B8" s="30" t="s">
        <v>2</v>
      </c>
      <c r="C8" s="31" t="s">
        <v>3</v>
      </c>
      <c r="D8" s="31" t="s">
        <v>7</v>
      </c>
      <c r="E8" s="32" t="s">
        <v>4</v>
      </c>
      <c r="F8" s="32" t="s">
        <v>5</v>
      </c>
      <c r="G8" s="31" t="s">
        <v>58</v>
      </c>
      <c r="H8" s="33" t="s">
        <v>6</v>
      </c>
      <c r="J8" s="140" t="s">
        <v>8</v>
      </c>
      <c r="K8" s="140"/>
    </row>
    <row r="9" spans="2:11" x14ac:dyDescent="0.35">
      <c r="B9" s="25"/>
      <c r="C9" s="72"/>
      <c r="D9" s="5"/>
      <c r="E9" s="26"/>
      <c r="F9" s="26"/>
      <c r="G9" s="5"/>
      <c r="H9" s="6"/>
    </row>
    <row r="10" spans="2:11" x14ac:dyDescent="0.35">
      <c r="J10" s="63"/>
      <c r="K10" s="70" t="s">
        <v>94</v>
      </c>
    </row>
    <row r="11" spans="2:11" x14ac:dyDescent="0.35">
      <c r="B11" s="139" t="s">
        <v>1</v>
      </c>
      <c r="C11" s="139"/>
      <c r="D11" s="139"/>
      <c r="E11" s="139"/>
      <c r="F11" s="139"/>
      <c r="G11" s="139"/>
      <c r="H11" s="139"/>
      <c r="J11" s="64"/>
      <c r="K11" s="70"/>
    </row>
    <row r="12" spans="2:11" x14ac:dyDescent="0.35">
      <c r="J12" s="65"/>
      <c r="K12" s="70" t="s">
        <v>115</v>
      </c>
    </row>
    <row r="13" spans="2:11" x14ac:dyDescent="0.35">
      <c r="B13" s="36" t="s">
        <v>2</v>
      </c>
      <c r="C13" s="62" t="s">
        <v>3</v>
      </c>
      <c r="D13" s="37" t="s">
        <v>7</v>
      </c>
      <c r="E13" s="38" t="s">
        <v>4</v>
      </c>
      <c r="F13" s="38" t="s">
        <v>5</v>
      </c>
      <c r="G13" s="31" t="s">
        <v>58</v>
      </c>
      <c r="H13" s="37" t="s">
        <v>6</v>
      </c>
      <c r="J13" s="64"/>
      <c r="K13" s="70"/>
    </row>
    <row r="14" spans="2:11" x14ac:dyDescent="0.35">
      <c r="B14" s="34"/>
      <c r="C14" s="56"/>
      <c r="D14" s="29"/>
      <c r="E14" s="35"/>
      <c r="F14" s="35"/>
      <c r="G14" s="29"/>
      <c r="H14" s="29"/>
      <c r="J14" s="66"/>
      <c r="K14" s="70" t="s">
        <v>95</v>
      </c>
    </row>
    <row r="15" spans="2:11" x14ac:dyDescent="0.35">
      <c r="J15" s="64"/>
      <c r="K15" s="70"/>
    </row>
    <row r="16" spans="2:11" x14ac:dyDescent="0.35">
      <c r="J16" s="67"/>
      <c r="K16" s="70" t="s">
        <v>96</v>
      </c>
    </row>
    <row r="17" spans="4:11" x14ac:dyDescent="0.35">
      <c r="D17" s="39" t="s">
        <v>9</v>
      </c>
      <c r="E17" s="40" t="s">
        <v>10</v>
      </c>
      <c r="J17" s="64"/>
      <c r="K17" s="70"/>
    </row>
    <row r="18" spans="4:11" x14ac:dyDescent="0.35">
      <c r="D18" s="4" t="s">
        <v>67</v>
      </c>
      <c r="E18" s="83">
        <v>654462.31999999995</v>
      </c>
      <c r="J18" s="68"/>
      <c r="K18" s="70" t="s">
        <v>97</v>
      </c>
    </row>
    <row r="19" spans="4:11" x14ac:dyDescent="0.35">
      <c r="D19" s="4" t="s">
        <v>53</v>
      </c>
      <c r="E19" s="83">
        <v>0</v>
      </c>
      <c r="J19" s="64"/>
      <c r="K19" s="70"/>
    </row>
    <row r="20" spans="4:11" x14ac:dyDescent="0.35">
      <c r="D20" s="4" t="s">
        <v>54</v>
      </c>
      <c r="E20" s="83">
        <v>0</v>
      </c>
      <c r="J20" s="69"/>
      <c r="K20" s="71" t="s">
        <v>98</v>
      </c>
    </row>
    <row r="21" spans="4:11" x14ac:dyDescent="0.35">
      <c r="D21" s="4" t="s">
        <v>55</v>
      </c>
      <c r="E21" s="83">
        <v>0</v>
      </c>
      <c r="J21" s="64"/>
      <c r="K21" s="70"/>
    </row>
    <row r="22" spans="4:11" x14ac:dyDescent="0.35">
      <c r="D22" s="4" t="s">
        <v>56</v>
      </c>
      <c r="E22" s="83">
        <v>0</v>
      </c>
    </row>
    <row r="23" spans="4:11" x14ac:dyDescent="0.35">
      <c r="D23" s="4" t="s">
        <v>57</v>
      </c>
      <c r="E23" s="83">
        <f>+E18-E19+E20-E21+E22</f>
        <v>654462.31999999995</v>
      </c>
    </row>
    <row r="24" spans="4:11" x14ac:dyDescent="0.35">
      <c r="D24" s="4" t="s">
        <v>68</v>
      </c>
      <c r="E24" s="83">
        <v>654462.31999999995</v>
      </c>
    </row>
    <row r="25" spans="4:11" x14ac:dyDescent="0.35">
      <c r="D25" s="7" t="s">
        <v>66</v>
      </c>
      <c r="E25" s="84">
        <f>+E23-E24</f>
        <v>0</v>
      </c>
    </row>
  </sheetData>
  <mergeCells count="3">
    <mergeCell ref="B6:H6"/>
    <mergeCell ref="B11:H11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D41" sqref="D41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5.28515625" style="19" bestFit="1" customWidth="1"/>
    <col min="7" max="7" width="24.5703125" style="1" bestFit="1" customWidth="1"/>
    <col min="8" max="8" width="14.85546875" style="2" bestFit="1" customWidth="1"/>
    <col min="9" max="9" width="10.42578125" style="2" bestFit="1" customWidth="1"/>
    <col min="10" max="10" width="17.85546875" style="1" bestFit="1" customWidth="1"/>
    <col min="11" max="11" width="14.7109375" style="19" bestFit="1" customWidth="1"/>
    <col min="12" max="12" width="23" style="1" bestFit="1" customWidth="1"/>
    <col min="13" max="13" width="22.140625" style="1" bestFit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17" t="s">
        <v>59</v>
      </c>
      <c r="C2" s="22" t="s">
        <v>32</v>
      </c>
      <c r="D2" s="3"/>
      <c r="E2" s="3"/>
      <c r="F2" s="27"/>
      <c r="G2" s="17"/>
      <c r="H2" s="3"/>
      <c r="I2" s="3"/>
      <c r="J2" s="17"/>
      <c r="K2" s="27"/>
      <c r="L2" s="17"/>
    </row>
    <row r="3" spans="2:16" x14ac:dyDescent="0.35">
      <c r="B3" s="16" t="s">
        <v>40</v>
      </c>
      <c r="C3" s="22">
        <v>2212471</v>
      </c>
      <c r="D3" s="3"/>
      <c r="E3" s="3"/>
      <c r="F3" s="27"/>
      <c r="G3" s="17"/>
      <c r="H3" s="3"/>
      <c r="I3" s="3"/>
      <c r="J3" s="17"/>
      <c r="K3" s="27"/>
      <c r="L3" s="17"/>
    </row>
    <row r="4" spans="2:16" x14ac:dyDescent="0.35">
      <c r="B4" s="16" t="s">
        <v>38</v>
      </c>
      <c r="C4" s="22" t="s">
        <v>41</v>
      </c>
    </row>
    <row r="6" spans="2:16" s="2" customFormat="1" x14ac:dyDescent="0.35">
      <c r="B6" s="41" t="s">
        <v>11</v>
      </c>
      <c r="C6" s="31" t="s">
        <v>2</v>
      </c>
      <c r="D6" s="31" t="s">
        <v>3</v>
      </c>
      <c r="E6" s="31" t="s">
        <v>12</v>
      </c>
      <c r="F6" s="32" t="s">
        <v>13</v>
      </c>
      <c r="G6" s="31" t="s">
        <v>14</v>
      </c>
      <c r="H6" s="31" t="s">
        <v>15</v>
      </c>
      <c r="I6" s="31" t="s">
        <v>16</v>
      </c>
      <c r="J6" s="31" t="s">
        <v>17</v>
      </c>
      <c r="K6" s="32" t="s">
        <v>18</v>
      </c>
      <c r="L6" s="33" t="s">
        <v>6</v>
      </c>
      <c r="M6" s="60" t="s">
        <v>29</v>
      </c>
      <c r="O6" s="140" t="s">
        <v>8</v>
      </c>
      <c r="P6" s="140"/>
    </row>
    <row r="7" spans="2:16" x14ac:dyDescent="0.35">
      <c r="B7" s="10" t="s">
        <v>30</v>
      </c>
      <c r="C7" s="74"/>
      <c r="D7" s="76"/>
      <c r="E7" s="76"/>
      <c r="F7" s="20"/>
      <c r="G7" s="12"/>
      <c r="H7" s="76"/>
      <c r="I7" s="76"/>
      <c r="J7" s="12"/>
      <c r="K7" s="20">
        <v>654462.31999999995</v>
      </c>
      <c r="L7" s="11"/>
      <c r="M7" s="59"/>
    </row>
    <row r="8" spans="2:16" x14ac:dyDescent="0.35">
      <c r="B8" s="91" t="s">
        <v>99</v>
      </c>
      <c r="C8" s="92" t="s">
        <v>100</v>
      </c>
      <c r="D8" s="93" t="s">
        <v>101</v>
      </c>
      <c r="E8" s="94">
        <v>247</v>
      </c>
      <c r="F8" s="95">
        <v>-55000</v>
      </c>
      <c r="G8" s="96" t="s">
        <v>102</v>
      </c>
      <c r="H8" s="94">
        <v>1120</v>
      </c>
      <c r="I8" s="94">
        <v>30713575204</v>
      </c>
      <c r="J8" s="96"/>
      <c r="K8" s="95">
        <f>+K7+Tabla6[[#This Row],[IMPORTE]]</f>
        <v>599462.31999999995</v>
      </c>
      <c r="L8" s="97" t="s">
        <v>116</v>
      </c>
      <c r="M8" s="98" t="s">
        <v>93</v>
      </c>
      <c r="O8" s="63"/>
      <c r="P8" s="70" t="s">
        <v>94</v>
      </c>
    </row>
    <row r="9" spans="2:16" x14ac:dyDescent="0.35">
      <c r="B9" s="91" t="s">
        <v>103</v>
      </c>
      <c r="C9" s="92" t="s">
        <v>100</v>
      </c>
      <c r="D9" s="93" t="s">
        <v>101</v>
      </c>
      <c r="E9" s="94">
        <v>247</v>
      </c>
      <c r="F9" s="95">
        <v>-11550</v>
      </c>
      <c r="G9" s="96" t="s">
        <v>104</v>
      </c>
      <c r="H9" s="94">
        <v>4902</v>
      </c>
      <c r="I9" s="94">
        <v>30713575204</v>
      </c>
      <c r="J9" s="96"/>
      <c r="K9" s="95">
        <f>+K8+Tabla6[[#This Row],[IMPORTE]]</f>
        <v>587912.31999999995</v>
      </c>
      <c r="L9" s="97" t="s">
        <v>116</v>
      </c>
      <c r="M9" s="98" t="s">
        <v>93</v>
      </c>
      <c r="O9" s="64"/>
      <c r="P9" s="70"/>
    </row>
    <row r="10" spans="2:16" x14ac:dyDescent="0.35">
      <c r="B10" s="7" t="s">
        <v>105</v>
      </c>
      <c r="C10" s="75" t="s">
        <v>106</v>
      </c>
      <c r="D10" s="73" t="s">
        <v>101</v>
      </c>
      <c r="E10" s="89">
        <v>247</v>
      </c>
      <c r="F10" s="21">
        <v>2470380000</v>
      </c>
      <c r="G10" s="90" t="s">
        <v>113</v>
      </c>
      <c r="H10" s="89">
        <v>5414</v>
      </c>
      <c r="I10" s="89">
        <v>20219612835</v>
      </c>
      <c r="J10" s="8"/>
      <c r="K10" s="21">
        <f>+K9+Tabla6[[#This Row],[IMPORTE]]</f>
        <v>2470967912.3200002</v>
      </c>
      <c r="L10" s="9" t="s">
        <v>142</v>
      </c>
      <c r="M10" s="59" t="s">
        <v>140</v>
      </c>
      <c r="O10" s="65"/>
      <c r="P10" s="70" t="s">
        <v>115</v>
      </c>
    </row>
    <row r="11" spans="2:16" x14ac:dyDescent="0.35">
      <c r="B11" s="108" t="s">
        <v>107</v>
      </c>
      <c r="C11" s="101" t="s">
        <v>106</v>
      </c>
      <c r="D11" s="109">
        <v>1</v>
      </c>
      <c r="E11" s="109">
        <v>247</v>
      </c>
      <c r="F11" s="103">
        <v>-2470600000</v>
      </c>
      <c r="G11" s="102" t="s">
        <v>108</v>
      </c>
      <c r="H11" s="109">
        <v>2009</v>
      </c>
      <c r="I11" s="109">
        <v>20219612835</v>
      </c>
      <c r="J11" s="102"/>
      <c r="K11" s="103">
        <f>+K10+Tabla6[[#This Row],[IMPORTE]]</f>
        <v>367912.32000017166</v>
      </c>
      <c r="L11" s="105" t="s">
        <v>132</v>
      </c>
      <c r="M11" s="110" t="s">
        <v>83</v>
      </c>
      <c r="O11" s="64"/>
      <c r="P11" s="70"/>
    </row>
    <row r="12" spans="2:16" x14ac:dyDescent="0.35">
      <c r="B12" s="7" t="s">
        <v>109</v>
      </c>
      <c r="C12" s="75" t="s">
        <v>110</v>
      </c>
      <c r="D12" s="89">
        <v>1</v>
      </c>
      <c r="E12" s="89">
        <v>247</v>
      </c>
      <c r="F12" s="21">
        <v>2473719043.5900002</v>
      </c>
      <c r="G12" s="8" t="s">
        <v>108</v>
      </c>
      <c r="H12" s="89">
        <v>6045</v>
      </c>
      <c r="I12" s="89">
        <v>20205216910</v>
      </c>
      <c r="J12" s="8"/>
      <c r="K12" s="21">
        <f>+K11+Tabla6[[#This Row],[IMPORTE]]</f>
        <v>2474086955.9100003</v>
      </c>
      <c r="L12" s="13" t="s">
        <v>135</v>
      </c>
      <c r="M12" s="59" t="s">
        <v>140</v>
      </c>
      <c r="O12" s="66"/>
      <c r="P12" s="70" t="s">
        <v>95</v>
      </c>
    </row>
    <row r="13" spans="2:16" x14ac:dyDescent="0.35">
      <c r="B13" s="108" t="s">
        <v>111</v>
      </c>
      <c r="C13" s="101" t="s">
        <v>110</v>
      </c>
      <c r="D13" s="109">
        <v>9880209</v>
      </c>
      <c r="E13" s="109">
        <v>247</v>
      </c>
      <c r="F13" s="103">
        <v>-2325000000</v>
      </c>
      <c r="G13" s="102" t="s">
        <v>112</v>
      </c>
      <c r="H13" s="109">
        <v>1622</v>
      </c>
      <c r="I13" s="109">
        <v>30999147077</v>
      </c>
      <c r="J13" s="102"/>
      <c r="K13" s="103">
        <f>+K12+Tabla6[[#This Row],[IMPORTE]]</f>
        <v>149086955.91000032</v>
      </c>
      <c r="L13" s="105" t="s">
        <v>134</v>
      </c>
      <c r="M13" s="111" t="s">
        <v>141</v>
      </c>
      <c r="O13" s="64"/>
      <c r="P13" s="70"/>
    </row>
    <row r="14" spans="2:16" x14ac:dyDescent="0.35">
      <c r="B14" s="108" t="s">
        <v>111</v>
      </c>
      <c r="C14" s="101" t="s">
        <v>110</v>
      </c>
      <c r="D14" s="109">
        <v>9880207</v>
      </c>
      <c r="E14" s="109">
        <v>247</v>
      </c>
      <c r="F14" s="103">
        <v>-148500000</v>
      </c>
      <c r="G14" s="102" t="s">
        <v>112</v>
      </c>
      <c r="H14" s="109">
        <v>1622</v>
      </c>
      <c r="I14" s="109">
        <v>30999147077</v>
      </c>
      <c r="J14" s="102"/>
      <c r="K14" s="103">
        <f>+K13+Tabla6[[#This Row],[IMPORTE]]</f>
        <v>586955.91000032425</v>
      </c>
      <c r="L14" s="105" t="s">
        <v>133</v>
      </c>
      <c r="M14" s="110" t="s">
        <v>141</v>
      </c>
      <c r="O14" s="67"/>
      <c r="P14" s="70" t="s">
        <v>96</v>
      </c>
    </row>
    <row r="15" spans="2:16" x14ac:dyDescent="0.35">
      <c r="B15" s="7" t="s">
        <v>114</v>
      </c>
      <c r="C15" s="75"/>
      <c r="D15" s="73"/>
      <c r="E15" s="73"/>
      <c r="F15" s="21"/>
      <c r="G15" s="8"/>
      <c r="H15" s="73"/>
      <c r="I15" s="73"/>
      <c r="J15" s="8"/>
      <c r="K15" s="21">
        <f>+K14</f>
        <v>586955.91000032425</v>
      </c>
      <c r="L15" s="9"/>
      <c r="M15" s="59"/>
      <c r="O15" s="64"/>
      <c r="P15" s="70"/>
    </row>
    <row r="16" spans="2:16" x14ac:dyDescent="0.35">
      <c r="O16" s="68"/>
      <c r="P16" s="70" t="s">
        <v>97</v>
      </c>
    </row>
    <row r="17" spans="15:16" x14ac:dyDescent="0.35">
      <c r="O17" s="64"/>
      <c r="P17" s="70"/>
    </row>
    <row r="18" spans="15:16" x14ac:dyDescent="0.35">
      <c r="O18" s="69"/>
      <c r="P18" s="71" t="s">
        <v>98</v>
      </c>
    </row>
    <row r="19" spans="15:16" x14ac:dyDescent="0.35">
      <c r="O19" s="64"/>
      <c r="P19" s="70"/>
    </row>
  </sheetData>
  <mergeCells count="1">
    <mergeCell ref="O6:P6"/>
  </mergeCells>
  <pageMargins left="0.7" right="0.7" top="0.75" bottom="0.75" header="0.3" footer="0.3"/>
  <ignoredErrors>
    <ignoredError sqref="G10" numberStoredAsText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H19" sqref="H19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27.28515625" style="1" customWidth="1"/>
    <col min="7" max="7" width="33.5703125" style="1" bestFit="1" customWidth="1"/>
    <col min="8" max="9" width="14.7109375" style="19" bestFit="1" customWidth="1"/>
    <col min="10" max="10" width="15.28515625" style="19" bestFit="1" customWidth="1"/>
    <col min="11" max="11" width="13" style="77" bestFit="1" customWidth="1"/>
    <col min="12" max="12" width="38" style="1" bestFit="1" customWidth="1"/>
    <col min="13" max="13" width="22.1406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61" t="s">
        <v>60</v>
      </c>
      <c r="C2" s="22" t="s">
        <v>32</v>
      </c>
      <c r="D2" s="17"/>
      <c r="E2" s="3"/>
      <c r="F2" s="17"/>
      <c r="G2" s="17"/>
      <c r="H2" s="17"/>
      <c r="I2" s="17"/>
      <c r="J2" s="17"/>
      <c r="K2" s="87"/>
      <c r="L2" s="17"/>
    </row>
    <row r="3" spans="2:16" x14ac:dyDescent="0.35">
      <c r="B3" s="61" t="s">
        <v>40</v>
      </c>
      <c r="C3" s="22">
        <v>2212471</v>
      </c>
      <c r="D3" s="17"/>
      <c r="E3" s="3"/>
      <c r="F3" s="17"/>
      <c r="G3" s="17"/>
      <c r="H3" s="17"/>
      <c r="I3" s="17"/>
      <c r="J3" s="17"/>
      <c r="K3" s="87"/>
      <c r="L3" s="17"/>
    </row>
    <row r="4" spans="2:16" x14ac:dyDescent="0.35">
      <c r="B4" s="61" t="s">
        <v>38</v>
      </c>
      <c r="C4" s="22" t="s">
        <v>41</v>
      </c>
    </row>
    <row r="6" spans="2:16" s="2" customFormat="1" x14ac:dyDescent="0.35">
      <c r="B6" s="41" t="s">
        <v>69</v>
      </c>
      <c r="C6" s="31" t="s">
        <v>61</v>
      </c>
      <c r="D6" s="31" t="s">
        <v>28</v>
      </c>
      <c r="E6" s="31" t="s">
        <v>64</v>
      </c>
      <c r="F6" s="31" t="s">
        <v>62</v>
      </c>
      <c r="G6" s="31" t="s">
        <v>6</v>
      </c>
      <c r="H6" s="32" t="s">
        <v>19</v>
      </c>
      <c r="I6" s="32" t="s">
        <v>20</v>
      </c>
      <c r="J6" s="32" t="s">
        <v>21</v>
      </c>
      <c r="K6" s="32" t="s">
        <v>63</v>
      </c>
      <c r="L6" s="31" t="s">
        <v>22</v>
      </c>
      <c r="M6" s="115" t="s">
        <v>29</v>
      </c>
      <c r="O6" s="140" t="s">
        <v>8</v>
      </c>
      <c r="P6" s="140"/>
    </row>
    <row r="7" spans="2:16" x14ac:dyDescent="0.35">
      <c r="B7" s="116" t="s">
        <v>30</v>
      </c>
      <c r="C7" s="72"/>
      <c r="D7" s="5"/>
      <c r="E7" s="72"/>
      <c r="F7" s="5"/>
      <c r="G7" s="5"/>
      <c r="H7" s="26"/>
      <c r="I7" s="26"/>
      <c r="J7" s="26">
        <v>654462.31999999995</v>
      </c>
      <c r="K7" s="78"/>
      <c r="L7" s="13"/>
      <c r="M7" s="117"/>
    </row>
    <row r="8" spans="2:16" x14ac:dyDescent="0.35">
      <c r="B8" s="118">
        <v>46048</v>
      </c>
      <c r="C8" s="119">
        <v>46048</v>
      </c>
      <c r="D8" s="120" t="s">
        <v>147</v>
      </c>
      <c r="E8" s="121">
        <v>59</v>
      </c>
      <c r="F8" s="120" t="s">
        <v>118</v>
      </c>
      <c r="G8" s="120" t="s">
        <v>119</v>
      </c>
      <c r="H8" s="122">
        <v>-61380000</v>
      </c>
      <c r="I8" s="122">
        <v>0</v>
      </c>
      <c r="J8" s="122">
        <f>+J7+Tabla69[[#This Row],[DEBE]]-Tabla69[[#This Row],[HABER]]</f>
        <v>-60725537.68</v>
      </c>
      <c r="K8" s="106" t="s">
        <v>136</v>
      </c>
      <c r="L8" s="107" t="s">
        <v>130</v>
      </c>
      <c r="M8" s="123"/>
      <c r="O8" s="63"/>
      <c r="P8" s="70" t="s">
        <v>94</v>
      </c>
    </row>
    <row r="9" spans="2:16" x14ac:dyDescent="0.35">
      <c r="B9" s="118">
        <v>46048</v>
      </c>
      <c r="C9" s="119">
        <v>46048</v>
      </c>
      <c r="D9" s="120" t="s">
        <v>147</v>
      </c>
      <c r="E9" s="121">
        <v>59</v>
      </c>
      <c r="F9" s="120" t="s">
        <v>118</v>
      </c>
      <c r="G9" s="120" t="s">
        <v>119</v>
      </c>
      <c r="H9" s="122">
        <v>-61380000</v>
      </c>
      <c r="I9" s="122">
        <v>0</v>
      </c>
      <c r="J9" s="122">
        <f>+J8+Tabla69[[#This Row],[DEBE]]-Tabla69[[#This Row],[HABER]]</f>
        <v>-122105537.68000001</v>
      </c>
      <c r="K9" s="106" t="s">
        <v>136</v>
      </c>
      <c r="L9" s="107" t="s">
        <v>131</v>
      </c>
      <c r="M9" s="123"/>
      <c r="O9" s="64"/>
      <c r="P9" s="70"/>
    </row>
    <row r="10" spans="2:16" x14ac:dyDescent="0.35">
      <c r="B10" s="118">
        <v>46048</v>
      </c>
      <c r="C10" s="119">
        <v>46048</v>
      </c>
      <c r="D10" s="120" t="s">
        <v>147</v>
      </c>
      <c r="E10" s="121">
        <v>59</v>
      </c>
      <c r="F10" s="120" t="s">
        <v>118</v>
      </c>
      <c r="G10" s="120" t="s">
        <v>119</v>
      </c>
      <c r="H10" s="122">
        <v>61380000</v>
      </c>
      <c r="I10" s="122">
        <v>0</v>
      </c>
      <c r="J10" s="122">
        <f>+J9+Tabla69[[#This Row],[DEBE]]-Tabla69[[#This Row],[HABER]]</f>
        <v>-60725537.680000007</v>
      </c>
      <c r="K10" s="106" t="s">
        <v>136</v>
      </c>
      <c r="L10" s="107" t="s">
        <v>131</v>
      </c>
      <c r="M10" s="123"/>
      <c r="O10" s="65"/>
      <c r="P10" s="70" t="s">
        <v>115</v>
      </c>
    </row>
    <row r="11" spans="2:16" x14ac:dyDescent="0.35">
      <c r="B11" s="118">
        <v>46048</v>
      </c>
      <c r="C11" s="119">
        <v>46048</v>
      </c>
      <c r="D11" s="120" t="s">
        <v>147</v>
      </c>
      <c r="E11" s="121">
        <v>59</v>
      </c>
      <c r="F11" s="120" t="s">
        <v>118</v>
      </c>
      <c r="G11" s="120" t="s">
        <v>119</v>
      </c>
      <c r="H11" s="122">
        <v>61380000</v>
      </c>
      <c r="I11" s="122">
        <v>0</v>
      </c>
      <c r="J11" s="122">
        <f>+J10+Tabla69[[#This Row],[DEBE]]-Tabla69[[#This Row],[HABER]]</f>
        <v>654462.31999999285</v>
      </c>
      <c r="K11" s="106" t="s">
        <v>136</v>
      </c>
      <c r="L11" s="107" t="s">
        <v>130</v>
      </c>
      <c r="M11" s="123"/>
      <c r="O11" s="64"/>
      <c r="P11" s="70"/>
    </row>
    <row r="12" spans="2:16" x14ac:dyDescent="0.35">
      <c r="B12" s="124">
        <v>46050</v>
      </c>
      <c r="C12" s="125">
        <v>46048</v>
      </c>
      <c r="D12" s="126" t="s">
        <v>117</v>
      </c>
      <c r="E12" s="127">
        <v>24</v>
      </c>
      <c r="F12" s="126" t="s">
        <v>120</v>
      </c>
      <c r="G12" s="126" t="s">
        <v>121</v>
      </c>
      <c r="H12" s="128">
        <v>0</v>
      </c>
      <c r="I12" s="128">
        <v>2470600000</v>
      </c>
      <c r="J12" s="128">
        <f>+J11+Tabla69[[#This Row],[DEBE]]-Tabla69[[#This Row],[HABER]]</f>
        <v>-2469945537.6799998</v>
      </c>
      <c r="K12" s="104" t="s">
        <v>137</v>
      </c>
      <c r="L12" s="105" t="s">
        <v>132</v>
      </c>
      <c r="M12" s="129" t="s">
        <v>83</v>
      </c>
      <c r="O12" s="66"/>
      <c r="P12" s="70" t="s">
        <v>95</v>
      </c>
    </row>
    <row r="13" spans="2:16" x14ac:dyDescent="0.35">
      <c r="B13" s="25">
        <v>46050</v>
      </c>
      <c r="C13" s="130">
        <v>46049</v>
      </c>
      <c r="D13" s="29" t="s">
        <v>147</v>
      </c>
      <c r="E13" s="72">
        <v>92</v>
      </c>
      <c r="F13" s="5" t="s">
        <v>118</v>
      </c>
      <c r="G13" s="5" t="s">
        <v>139</v>
      </c>
      <c r="H13" s="26">
        <v>61380000</v>
      </c>
      <c r="I13" s="26">
        <v>0</v>
      </c>
      <c r="J13" s="26">
        <f>+J12+Tabla69[[#This Row],[DEBE]]-Tabla69[[#This Row],[HABER]]</f>
        <v>-2408565537.6799998</v>
      </c>
      <c r="K13" s="100" t="s">
        <v>136</v>
      </c>
      <c r="L13" s="13" t="s">
        <v>143</v>
      </c>
      <c r="M13" s="117" t="s">
        <v>140</v>
      </c>
      <c r="O13" s="64"/>
      <c r="P13" s="70"/>
    </row>
    <row r="14" spans="2:16" x14ac:dyDescent="0.35">
      <c r="B14" s="124">
        <v>46052</v>
      </c>
      <c r="C14" s="125">
        <v>46050</v>
      </c>
      <c r="D14" s="126" t="s">
        <v>117</v>
      </c>
      <c r="E14" s="127">
        <v>33</v>
      </c>
      <c r="F14" s="126" t="s">
        <v>120</v>
      </c>
      <c r="G14" s="126" t="s">
        <v>122</v>
      </c>
      <c r="H14" s="128">
        <v>0</v>
      </c>
      <c r="I14" s="128">
        <v>148500000</v>
      </c>
      <c r="J14" s="128">
        <f>+J13+Tabla69[[#This Row],[DEBE]]-Tabla69[[#This Row],[HABER]]</f>
        <v>-2557065537.6799998</v>
      </c>
      <c r="K14" s="104" t="s">
        <v>137</v>
      </c>
      <c r="L14" s="105" t="s">
        <v>133</v>
      </c>
      <c r="M14" s="129" t="s">
        <v>141</v>
      </c>
      <c r="O14" s="67"/>
      <c r="P14" s="70" t="s">
        <v>96</v>
      </c>
    </row>
    <row r="15" spans="2:16" x14ac:dyDescent="0.35">
      <c r="B15" s="124">
        <v>46052</v>
      </c>
      <c r="C15" s="125">
        <v>46050</v>
      </c>
      <c r="D15" s="126" t="s">
        <v>117</v>
      </c>
      <c r="E15" s="127">
        <v>35</v>
      </c>
      <c r="F15" s="126" t="s">
        <v>120</v>
      </c>
      <c r="G15" s="126" t="s">
        <v>123</v>
      </c>
      <c r="H15" s="128">
        <v>0</v>
      </c>
      <c r="I15" s="128">
        <v>2325000000</v>
      </c>
      <c r="J15" s="128">
        <f>+J14+Tabla69[[#This Row],[DEBE]]-Tabla69[[#This Row],[HABER]]</f>
        <v>-4882065537.6800003</v>
      </c>
      <c r="K15" s="104" t="s">
        <v>137</v>
      </c>
      <c r="L15" s="105" t="s">
        <v>134</v>
      </c>
      <c r="M15" s="129" t="s">
        <v>141</v>
      </c>
      <c r="O15" s="64"/>
      <c r="P15" s="70"/>
    </row>
    <row r="16" spans="2:16" x14ac:dyDescent="0.35">
      <c r="B16" s="25">
        <v>46052</v>
      </c>
      <c r="C16" s="130">
        <v>46048</v>
      </c>
      <c r="D16" s="5" t="s">
        <v>146</v>
      </c>
      <c r="E16" s="72">
        <v>36</v>
      </c>
      <c r="F16" s="5" t="s">
        <v>124</v>
      </c>
      <c r="G16" s="5" t="s">
        <v>125</v>
      </c>
      <c r="H16" s="26">
        <v>2409000000</v>
      </c>
      <c r="I16" s="26">
        <v>0</v>
      </c>
      <c r="J16" s="26">
        <f>+J15+Tabla69[[#This Row],[DEBE]]-Tabla69[[#This Row],[HABER]]</f>
        <v>-2473065537.6800003</v>
      </c>
      <c r="K16" s="100" t="s">
        <v>136</v>
      </c>
      <c r="L16" s="13" t="s">
        <v>138</v>
      </c>
      <c r="M16" s="117" t="s">
        <v>140</v>
      </c>
      <c r="O16" s="68"/>
      <c r="P16" s="70" t="s">
        <v>97</v>
      </c>
    </row>
    <row r="17" spans="2:16" x14ac:dyDescent="0.35">
      <c r="B17" s="25">
        <v>46052</v>
      </c>
      <c r="C17" s="130">
        <v>46050</v>
      </c>
      <c r="D17" s="5" t="s">
        <v>146</v>
      </c>
      <c r="E17" s="72">
        <v>37</v>
      </c>
      <c r="F17" s="5" t="s">
        <v>126</v>
      </c>
      <c r="G17" s="5" t="s">
        <v>127</v>
      </c>
      <c r="H17" s="26">
        <v>2470600000</v>
      </c>
      <c r="I17" s="26">
        <v>0</v>
      </c>
      <c r="J17" s="26">
        <f>+J16+Tabla69[[#This Row],[DEBE]]-Tabla69[[#This Row],[HABER]]</f>
        <v>-2465537.6800003052</v>
      </c>
      <c r="K17" s="100" t="s">
        <v>137</v>
      </c>
      <c r="L17" s="13" t="s">
        <v>135</v>
      </c>
      <c r="M17" s="131" t="s">
        <v>140</v>
      </c>
      <c r="O17" s="64"/>
      <c r="P17" s="70"/>
    </row>
    <row r="18" spans="2:16" x14ac:dyDescent="0.35">
      <c r="B18" s="25">
        <v>46052</v>
      </c>
      <c r="C18" s="130">
        <v>46050</v>
      </c>
      <c r="D18" s="29" t="s">
        <v>147</v>
      </c>
      <c r="E18" s="72">
        <v>190</v>
      </c>
      <c r="F18" s="5" t="s">
        <v>128</v>
      </c>
      <c r="G18" s="5" t="s">
        <v>129</v>
      </c>
      <c r="H18" s="26">
        <v>3119043.59</v>
      </c>
      <c r="I18" s="26">
        <v>0</v>
      </c>
      <c r="J18" s="26">
        <f>+J17+Tabla69[[#This Row],[DEBE]]-Tabla69[[#This Row],[HABER]]</f>
        <v>653505.90999969468</v>
      </c>
      <c r="K18" s="100" t="s">
        <v>136</v>
      </c>
      <c r="L18" s="13" t="s">
        <v>144</v>
      </c>
      <c r="M18" s="117" t="s">
        <v>140</v>
      </c>
      <c r="O18" s="69"/>
      <c r="P18" s="71" t="s">
        <v>98</v>
      </c>
    </row>
    <row r="19" spans="2:16" x14ac:dyDescent="0.35">
      <c r="B19" s="99" t="s">
        <v>114</v>
      </c>
      <c r="C19" s="73"/>
      <c r="D19" s="8"/>
      <c r="E19" s="73"/>
      <c r="F19" s="8"/>
      <c r="G19" s="8"/>
      <c r="H19" s="21">
        <f>SUBTOTAL(109,H7:H18)</f>
        <v>4944099043.5900002</v>
      </c>
      <c r="I19" s="21">
        <f>SUBTOTAL(109,I7:I18)</f>
        <v>4944100000</v>
      </c>
      <c r="J19" s="132">
        <f>+J18</f>
        <v>653505.90999969468</v>
      </c>
      <c r="K19" s="133"/>
      <c r="L19" s="134"/>
      <c r="M19" s="135"/>
      <c r="O19" s="64"/>
      <c r="P19" s="70"/>
    </row>
  </sheetData>
  <dataConsolidate/>
  <mergeCells count="1">
    <mergeCell ref="O6:P6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7"/>
  <sheetViews>
    <sheetView showGridLines="0" tabSelected="1" zoomScaleNormal="100" workbookViewId="0">
      <selection activeCell="G15" sqref="G15"/>
    </sheetView>
  </sheetViews>
  <sheetFormatPr baseColWidth="10" defaultRowHeight="15" x14ac:dyDescent="0.35"/>
  <cols>
    <col min="1" max="1" width="4.7109375" style="14" customWidth="1"/>
    <col min="2" max="2" width="17.28515625" style="14" bestFit="1" customWidth="1"/>
    <col min="3" max="3" width="17.5703125" style="14" bestFit="1" customWidth="1"/>
    <col min="4" max="5" width="18.85546875" style="14" customWidth="1"/>
    <col min="6" max="6" width="39.28515625" style="14" customWidth="1"/>
    <col min="7" max="7" width="38" style="14" bestFit="1" customWidth="1"/>
    <col min="8" max="8" width="15.7109375" style="14" bestFit="1" customWidth="1"/>
    <col min="9" max="9" width="10.85546875" style="14" bestFit="1" customWidth="1"/>
    <col min="10" max="10" width="17.85546875" style="14" bestFit="1" customWidth="1"/>
    <col min="11" max="11" width="10.85546875" style="14" bestFit="1" customWidth="1"/>
    <col min="12" max="16384" width="11.42578125" style="14"/>
  </cols>
  <sheetData>
    <row r="2" spans="2:5" x14ac:dyDescent="0.35">
      <c r="B2" s="16" t="s">
        <v>37</v>
      </c>
      <c r="C2" s="24" t="s">
        <v>32</v>
      </c>
    </row>
    <row r="3" spans="2:5" x14ac:dyDescent="0.35">
      <c r="B3" s="16" t="s">
        <v>40</v>
      </c>
      <c r="C3" s="24">
        <v>2212471</v>
      </c>
    </row>
    <row r="4" spans="2:5" x14ac:dyDescent="0.35">
      <c r="B4" s="16" t="s">
        <v>38</v>
      </c>
      <c r="C4" s="24" t="s">
        <v>41</v>
      </c>
    </row>
    <row r="6" spans="2:5" x14ac:dyDescent="0.35">
      <c r="B6" s="37" t="s">
        <v>9</v>
      </c>
      <c r="C6" s="37" t="s">
        <v>10</v>
      </c>
    </row>
    <row r="7" spans="2:5" x14ac:dyDescent="0.35">
      <c r="B7" s="29" t="s">
        <v>26</v>
      </c>
      <c r="C7" s="79">
        <v>586955.91000032425</v>
      </c>
    </row>
    <row r="8" spans="2:5" x14ac:dyDescent="0.35">
      <c r="B8" s="29" t="s">
        <v>27</v>
      </c>
      <c r="C8" s="79">
        <v>653505.90999969468</v>
      </c>
    </row>
    <row r="10" spans="2:5" x14ac:dyDescent="0.35">
      <c r="B10" s="142" t="s">
        <v>23</v>
      </c>
      <c r="C10" s="143"/>
      <c r="D10" s="37" t="s">
        <v>10</v>
      </c>
      <c r="E10" s="15"/>
    </row>
    <row r="11" spans="2:5" x14ac:dyDescent="0.35">
      <c r="B11" s="144" t="s">
        <v>67</v>
      </c>
      <c r="C11" s="145"/>
      <c r="D11" s="80">
        <f>+C8</f>
        <v>653505.90999969468</v>
      </c>
    </row>
    <row r="12" spans="2:5" x14ac:dyDescent="0.35">
      <c r="B12" s="144" t="s">
        <v>53</v>
      </c>
      <c r="C12" s="145"/>
      <c r="D12" s="80">
        <f>+D24+D47</f>
        <v>4944099043.5900002</v>
      </c>
      <c r="E12" s="85"/>
    </row>
    <row r="13" spans="2:5" x14ac:dyDescent="0.35">
      <c r="B13" s="144" t="s">
        <v>54</v>
      </c>
      <c r="C13" s="145"/>
      <c r="D13" s="80">
        <f>+E24+E47</f>
        <v>0</v>
      </c>
      <c r="E13" s="85"/>
    </row>
    <row r="14" spans="2:5" x14ac:dyDescent="0.35">
      <c r="B14" s="144" t="s">
        <v>55</v>
      </c>
      <c r="C14" s="145"/>
      <c r="D14" s="80">
        <f>+E30+D38</f>
        <v>66550</v>
      </c>
      <c r="E14" s="85"/>
    </row>
    <row r="15" spans="2:5" x14ac:dyDescent="0.35">
      <c r="B15" s="144" t="s">
        <v>56</v>
      </c>
      <c r="C15" s="145"/>
      <c r="D15" s="80">
        <f>+D30+E38</f>
        <v>4944099043.5900002</v>
      </c>
      <c r="E15" s="85"/>
    </row>
    <row r="16" spans="2:5" x14ac:dyDescent="0.35">
      <c r="B16" s="144" t="s">
        <v>57</v>
      </c>
      <c r="C16" s="145"/>
      <c r="D16" s="81">
        <f>+D11-D12+D13-D14+D15</f>
        <v>586955.90999984741</v>
      </c>
    </row>
    <row r="17" spans="2:8" x14ac:dyDescent="0.35">
      <c r="B17" s="144" t="s">
        <v>68</v>
      </c>
      <c r="C17" s="145"/>
      <c r="D17" s="82">
        <f>+C7</f>
        <v>586955.91000032425</v>
      </c>
    </row>
    <row r="18" spans="2:8" x14ac:dyDescent="0.35">
      <c r="B18" s="144" t="s">
        <v>66</v>
      </c>
      <c r="C18" s="145"/>
      <c r="D18" s="80">
        <f>+D16-D17</f>
        <v>-4.76837158203125E-7</v>
      </c>
    </row>
    <row r="20" spans="2:8" x14ac:dyDescent="0.35">
      <c r="B20" s="139" t="s">
        <v>0</v>
      </c>
      <c r="C20" s="139"/>
      <c r="D20" s="139"/>
      <c r="E20" s="139"/>
      <c r="F20" s="139"/>
      <c r="G20" s="139"/>
      <c r="H20" s="17"/>
    </row>
    <row r="21" spans="2:8" x14ac:dyDescent="0.35">
      <c r="B21" s="16"/>
      <c r="C21" s="16"/>
      <c r="D21" s="16"/>
      <c r="E21" s="16"/>
      <c r="F21" s="16"/>
      <c r="G21" s="16"/>
      <c r="H21" s="16"/>
    </row>
    <row r="22" spans="2:8" x14ac:dyDescent="0.35">
      <c r="B22" s="37" t="s">
        <v>2</v>
      </c>
      <c r="C22" s="37" t="s">
        <v>65</v>
      </c>
      <c r="D22" s="37" t="s">
        <v>4</v>
      </c>
      <c r="E22" s="37" t="s">
        <v>5</v>
      </c>
      <c r="F22" s="58" t="s">
        <v>62</v>
      </c>
      <c r="G22" s="37" t="s">
        <v>6</v>
      </c>
      <c r="H22" s="88" t="s">
        <v>63</v>
      </c>
    </row>
    <row r="23" spans="2:8" x14ac:dyDescent="0.35">
      <c r="B23" s="86"/>
      <c r="C23" s="29"/>
      <c r="D23" s="112">
        <v>0</v>
      </c>
      <c r="E23" s="112">
        <v>0</v>
      </c>
      <c r="F23" s="29"/>
      <c r="G23" s="29"/>
      <c r="H23" s="86"/>
    </row>
    <row r="24" spans="2:8" x14ac:dyDescent="0.35">
      <c r="B24" s="138"/>
      <c r="C24" s="28"/>
      <c r="D24" s="112">
        <f>SUM(D23)</f>
        <v>0</v>
      </c>
      <c r="E24" s="112">
        <f>SUM(E23)</f>
        <v>0</v>
      </c>
      <c r="F24" s="28"/>
      <c r="G24" s="28"/>
      <c r="H24" s="138"/>
    </row>
    <row r="25" spans="2:8" x14ac:dyDescent="0.35">
      <c r="B25" s="28"/>
      <c r="C25" s="28"/>
      <c r="D25" s="28"/>
      <c r="E25" s="28"/>
      <c r="F25" s="28"/>
      <c r="G25" s="28"/>
      <c r="H25" s="1"/>
    </row>
    <row r="26" spans="2:8" x14ac:dyDescent="0.35">
      <c r="B26" s="139" t="s">
        <v>1</v>
      </c>
      <c r="C26" s="139"/>
      <c r="D26" s="139"/>
      <c r="E26" s="139"/>
      <c r="F26" s="139"/>
      <c r="G26" s="139"/>
      <c r="H26" s="17"/>
    </row>
    <row r="27" spans="2:8" x14ac:dyDescent="0.35">
      <c r="B27" s="16"/>
      <c r="C27" s="16"/>
      <c r="D27" s="16"/>
      <c r="E27" s="16"/>
      <c r="F27" s="16"/>
      <c r="G27" s="16"/>
      <c r="H27" s="16"/>
    </row>
    <row r="28" spans="2:8" x14ac:dyDescent="0.35">
      <c r="B28" s="37" t="s">
        <v>2</v>
      </c>
      <c r="C28" s="37" t="s">
        <v>65</v>
      </c>
      <c r="D28" s="37" t="s">
        <v>4</v>
      </c>
      <c r="E28" s="37" t="s">
        <v>5</v>
      </c>
      <c r="F28" s="37" t="s">
        <v>62</v>
      </c>
      <c r="G28" s="37" t="s">
        <v>6</v>
      </c>
      <c r="H28" s="88" t="s">
        <v>63</v>
      </c>
    </row>
    <row r="29" spans="2:8" x14ac:dyDescent="0.35">
      <c r="B29" s="86"/>
      <c r="C29" s="29"/>
      <c r="D29" s="112">
        <v>0</v>
      </c>
      <c r="E29" s="112">
        <v>0</v>
      </c>
      <c r="F29" s="29"/>
      <c r="G29" s="29"/>
      <c r="H29" s="86"/>
    </row>
    <row r="30" spans="2:8" x14ac:dyDescent="0.35">
      <c r="B30" s="138"/>
      <c r="C30" s="28"/>
      <c r="D30" s="112">
        <f>SUM(D29)</f>
        <v>0</v>
      </c>
      <c r="E30" s="112">
        <f>SUM(E29)</f>
        <v>0</v>
      </c>
      <c r="F30" s="28"/>
      <c r="G30" s="28"/>
      <c r="H30" s="138"/>
    </row>
    <row r="31" spans="2:8" x14ac:dyDescent="0.35">
      <c r="B31" s="16"/>
      <c r="C31" s="16"/>
      <c r="D31" s="16"/>
      <c r="E31" s="16"/>
      <c r="F31" s="16"/>
      <c r="G31" s="16"/>
      <c r="H31" s="16"/>
    </row>
    <row r="32" spans="2:8" x14ac:dyDescent="0.35">
      <c r="B32" s="141" t="s">
        <v>24</v>
      </c>
      <c r="C32" s="141"/>
      <c r="D32" s="141"/>
      <c r="E32" s="141"/>
      <c r="F32" s="141"/>
      <c r="G32" s="141"/>
      <c r="H32" s="43"/>
    </row>
    <row r="33" spans="2:8" x14ac:dyDescent="0.35">
      <c r="B33" s="18"/>
      <c r="C33" s="18"/>
      <c r="D33" s="18"/>
      <c r="E33" s="18"/>
      <c r="F33" s="18"/>
      <c r="G33" s="18"/>
      <c r="H33" s="18"/>
    </row>
    <row r="34" spans="2:8" x14ac:dyDescent="0.35">
      <c r="B34" s="37" t="s">
        <v>2</v>
      </c>
      <c r="C34" s="37" t="s">
        <v>65</v>
      </c>
      <c r="D34" s="37" t="s">
        <v>4</v>
      </c>
      <c r="E34" s="37" t="s">
        <v>5</v>
      </c>
      <c r="F34" s="37" t="s">
        <v>62</v>
      </c>
      <c r="G34" s="37" t="s">
        <v>6</v>
      </c>
      <c r="H34" s="88" t="s">
        <v>63</v>
      </c>
    </row>
    <row r="35" spans="2:8" x14ac:dyDescent="0.35">
      <c r="B35" s="75" t="s">
        <v>106</v>
      </c>
      <c r="C35" s="8" t="s">
        <v>105</v>
      </c>
      <c r="D35" s="112"/>
      <c r="E35" s="113">
        <v>2470380000</v>
      </c>
      <c r="F35" s="29"/>
      <c r="G35" s="5" t="s">
        <v>142</v>
      </c>
      <c r="H35" s="86"/>
    </row>
    <row r="36" spans="2:8" x14ac:dyDescent="0.35">
      <c r="B36" s="75" t="s">
        <v>110</v>
      </c>
      <c r="C36" s="8" t="s">
        <v>109</v>
      </c>
      <c r="D36" s="112"/>
      <c r="E36" s="113">
        <v>2473719043.5900002</v>
      </c>
      <c r="F36" s="29"/>
      <c r="G36" s="13" t="s">
        <v>135</v>
      </c>
      <c r="H36" s="136"/>
    </row>
    <row r="37" spans="2:8" x14ac:dyDescent="0.35">
      <c r="B37" s="86">
        <v>46053</v>
      </c>
      <c r="C37" s="29" t="s">
        <v>145</v>
      </c>
      <c r="D37" s="112">
        <v>66550</v>
      </c>
      <c r="E37" s="112"/>
      <c r="F37" s="29"/>
      <c r="G37" s="29" t="s">
        <v>116</v>
      </c>
      <c r="H37" s="136"/>
    </row>
    <row r="38" spans="2:8" x14ac:dyDescent="0.35">
      <c r="B38" s="28"/>
      <c r="C38" s="28"/>
      <c r="D38" s="112">
        <f>SUM(D35:D37)</f>
        <v>66550</v>
      </c>
      <c r="E38" s="112">
        <f>SUM(E35:E37)</f>
        <v>4944099043.5900002</v>
      </c>
      <c r="F38" s="28"/>
      <c r="G38" s="28"/>
    </row>
    <row r="39" spans="2:8" x14ac:dyDescent="0.35">
      <c r="B39" s="28"/>
      <c r="C39" s="28"/>
      <c r="D39" s="28"/>
      <c r="E39" s="28"/>
      <c r="F39" s="28"/>
      <c r="G39" s="28"/>
    </row>
    <row r="40" spans="2:8" x14ac:dyDescent="0.35">
      <c r="B40" s="141" t="s">
        <v>25</v>
      </c>
      <c r="C40" s="141"/>
      <c r="D40" s="141"/>
      <c r="E40" s="141"/>
      <c r="F40" s="141"/>
      <c r="G40" s="141"/>
      <c r="H40" s="43"/>
    </row>
    <row r="42" spans="2:8" x14ac:dyDescent="0.35">
      <c r="B42" s="37" t="s">
        <v>2</v>
      </c>
      <c r="C42" s="37" t="s">
        <v>65</v>
      </c>
      <c r="D42" s="37" t="s">
        <v>4</v>
      </c>
      <c r="E42" s="37" t="s">
        <v>5</v>
      </c>
      <c r="F42" s="37" t="s">
        <v>62</v>
      </c>
      <c r="G42" s="37" t="s">
        <v>6</v>
      </c>
      <c r="H42" s="88" t="s">
        <v>63</v>
      </c>
    </row>
    <row r="43" spans="2:8" x14ac:dyDescent="0.35">
      <c r="B43" s="114">
        <v>46050</v>
      </c>
      <c r="C43" s="29" t="s">
        <v>147</v>
      </c>
      <c r="D43" s="137">
        <v>61380000</v>
      </c>
      <c r="E43" s="112"/>
      <c r="F43" s="5" t="s">
        <v>150</v>
      </c>
      <c r="G43" s="13" t="s">
        <v>143</v>
      </c>
      <c r="H43" s="86" t="s">
        <v>136</v>
      </c>
    </row>
    <row r="44" spans="2:8" x14ac:dyDescent="0.35">
      <c r="B44" s="114">
        <v>46052</v>
      </c>
      <c r="C44" s="5" t="s">
        <v>146</v>
      </c>
      <c r="D44" s="137">
        <v>2409000000</v>
      </c>
      <c r="E44" s="112"/>
      <c r="F44" s="5" t="s">
        <v>148</v>
      </c>
      <c r="G44" s="13" t="s">
        <v>138</v>
      </c>
      <c r="H44" s="56" t="s">
        <v>136</v>
      </c>
    </row>
    <row r="45" spans="2:8" x14ac:dyDescent="0.35">
      <c r="B45" s="114">
        <v>46052</v>
      </c>
      <c r="C45" s="5" t="s">
        <v>146</v>
      </c>
      <c r="D45" s="137">
        <v>2470600000</v>
      </c>
      <c r="E45" s="112"/>
      <c r="F45" s="5" t="s">
        <v>149</v>
      </c>
      <c r="G45" s="13" t="s">
        <v>135</v>
      </c>
      <c r="H45" s="56" t="s">
        <v>137</v>
      </c>
    </row>
    <row r="46" spans="2:8" x14ac:dyDescent="0.35">
      <c r="B46" s="130">
        <v>46052</v>
      </c>
      <c r="C46" s="29" t="s">
        <v>147</v>
      </c>
      <c r="D46" s="137">
        <v>3119043.59</v>
      </c>
      <c r="E46" s="112"/>
      <c r="F46" s="5" t="s">
        <v>151</v>
      </c>
      <c r="G46" s="13" t="s">
        <v>144</v>
      </c>
      <c r="H46" s="56" t="s">
        <v>136</v>
      </c>
    </row>
    <row r="47" spans="2:8" x14ac:dyDescent="0.35">
      <c r="D47" s="112">
        <f>SUM(D43:D46)</f>
        <v>4944099043.5900002</v>
      </c>
      <c r="E47" s="112">
        <f>SUM(E43:E46)</f>
        <v>0</v>
      </c>
    </row>
  </sheetData>
  <mergeCells count="13">
    <mergeCell ref="B40:G40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7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workbookViewId="0">
      <selection activeCell="G14" sqref="G14"/>
    </sheetView>
  </sheetViews>
  <sheetFormatPr baseColWidth="10" defaultRowHeight="15" x14ac:dyDescent="0.35"/>
  <cols>
    <col min="1" max="1" width="4.7109375" style="14" customWidth="1"/>
    <col min="2" max="2" width="17.28515625" style="14" bestFit="1" customWidth="1"/>
    <col min="3" max="3" width="17.28515625" style="14" customWidth="1"/>
    <col min="4" max="4" width="15.28515625" style="14" bestFit="1" customWidth="1"/>
    <col min="5" max="5" width="9.140625" style="14" bestFit="1" customWidth="1"/>
    <col min="6" max="6" width="8" style="14" bestFit="1" customWidth="1"/>
    <col min="7" max="7" width="41.5703125" style="14" customWidth="1"/>
    <col min="8" max="8" width="33.42578125" style="14" bestFit="1" customWidth="1"/>
    <col min="9" max="10" width="15.28515625" style="14" customWidth="1"/>
    <col min="11" max="11" width="10.85546875" style="15" bestFit="1" customWidth="1"/>
    <col min="12" max="12" width="38.42578125" style="14" bestFit="1" customWidth="1"/>
    <col min="13" max="16384" width="11.42578125" style="14"/>
  </cols>
  <sheetData>
    <row r="2" spans="2:11" x14ac:dyDescent="0.35">
      <c r="B2" s="42" t="s">
        <v>37</v>
      </c>
      <c r="C2" s="24" t="s">
        <v>39</v>
      </c>
    </row>
    <row r="3" spans="2:11" x14ac:dyDescent="0.35">
      <c r="B3" s="42" t="s">
        <v>40</v>
      </c>
      <c r="C3" s="24" t="s">
        <v>39</v>
      </c>
      <c r="F3" s="44"/>
    </row>
    <row r="4" spans="2:11" x14ac:dyDescent="0.35">
      <c r="B4" s="42" t="s">
        <v>38</v>
      </c>
      <c r="C4" s="24" t="s">
        <v>39</v>
      </c>
    </row>
    <row r="6" spans="2:11" x14ac:dyDescent="0.35">
      <c r="B6" s="146" t="s">
        <v>70</v>
      </c>
      <c r="C6" s="146"/>
      <c r="D6" s="45" t="s">
        <v>10</v>
      </c>
    </row>
    <row r="7" spans="2:11" x14ac:dyDescent="0.35">
      <c r="B7" s="147" t="s">
        <v>79</v>
      </c>
      <c r="C7" s="147"/>
      <c r="D7" s="46"/>
      <c r="F7" s="44"/>
    </row>
    <row r="8" spans="2:11" x14ac:dyDescent="0.35">
      <c r="B8" s="147" t="s">
        <v>80</v>
      </c>
      <c r="C8" s="147"/>
      <c r="D8" s="46"/>
    </row>
    <row r="9" spans="2:11" s="28" customFormat="1" x14ac:dyDescent="0.35">
      <c r="B9" s="47"/>
      <c r="C9" s="47"/>
      <c r="D9" s="48"/>
      <c r="K9" s="49"/>
    </row>
    <row r="10" spans="2:11" s="28" customFormat="1" x14ac:dyDescent="0.35">
      <c r="B10" s="146" t="s">
        <v>71</v>
      </c>
      <c r="C10" s="146"/>
      <c r="D10" s="45" t="s">
        <v>10</v>
      </c>
      <c r="K10" s="49"/>
    </row>
    <row r="11" spans="2:11" x14ac:dyDescent="0.35">
      <c r="B11" s="148" t="s">
        <v>72</v>
      </c>
      <c r="C11" s="149"/>
      <c r="D11" s="50">
        <f>+I42</f>
        <v>0</v>
      </c>
    </row>
    <row r="12" spans="2:11" x14ac:dyDescent="0.35">
      <c r="B12" s="144" t="s">
        <v>73</v>
      </c>
      <c r="C12" s="145"/>
      <c r="D12" s="46">
        <f>+J42</f>
        <v>0</v>
      </c>
    </row>
    <row r="13" spans="2:11" x14ac:dyDescent="0.35">
      <c r="B13" s="47"/>
      <c r="C13" s="47"/>
      <c r="D13" s="48"/>
    </row>
    <row r="14" spans="2:11" x14ac:dyDescent="0.35">
      <c r="B14" s="146" t="s">
        <v>74</v>
      </c>
      <c r="C14" s="146"/>
      <c r="D14" s="45" t="s">
        <v>10</v>
      </c>
    </row>
    <row r="15" spans="2:11" x14ac:dyDescent="0.35">
      <c r="B15" s="148" t="s">
        <v>75</v>
      </c>
      <c r="C15" s="149"/>
      <c r="D15" s="50">
        <f>+D7+D11-D12</f>
        <v>0</v>
      </c>
    </row>
    <row r="16" spans="2:11" x14ac:dyDescent="0.35">
      <c r="B16" s="144" t="s">
        <v>76</v>
      </c>
      <c r="C16" s="145"/>
      <c r="D16" s="46">
        <f>+D8</f>
        <v>0</v>
      </c>
    </row>
    <row r="17" spans="2:12" x14ac:dyDescent="0.35">
      <c r="B17" s="144" t="s">
        <v>66</v>
      </c>
      <c r="C17" s="145"/>
      <c r="D17" s="46">
        <f>+D15-D16</f>
        <v>0</v>
      </c>
    </row>
    <row r="19" spans="2:12" x14ac:dyDescent="0.35">
      <c r="B19" s="139" t="s">
        <v>77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</row>
    <row r="20" spans="2:12" x14ac:dyDescent="0.35">
      <c r="B20" s="28"/>
      <c r="C20" s="28"/>
      <c r="D20" s="28"/>
      <c r="E20" s="28"/>
      <c r="F20" s="28"/>
      <c r="G20" s="1"/>
    </row>
    <row r="21" spans="2:12" x14ac:dyDescent="0.35">
      <c r="B21" s="51" t="s">
        <v>78</v>
      </c>
      <c r="C21" s="37" t="s">
        <v>69</v>
      </c>
      <c r="D21" s="52" t="s">
        <v>61</v>
      </c>
      <c r="E21" s="37" t="s">
        <v>28</v>
      </c>
      <c r="F21" s="37" t="s">
        <v>64</v>
      </c>
      <c r="G21" s="37" t="s">
        <v>62</v>
      </c>
      <c r="H21" s="37" t="s">
        <v>6</v>
      </c>
      <c r="I21" s="38" t="s">
        <v>19</v>
      </c>
      <c r="J21" s="38" t="s">
        <v>20</v>
      </c>
      <c r="K21" s="38" t="s">
        <v>63</v>
      </c>
      <c r="L21" s="37" t="s">
        <v>22</v>
      </c>
    </row>
    <row r="22" spans="2:12" x14ac:dyDescent="0.35">
      <c r="B22" s="53" t="str">
        <f>+PROPER(TEXT(C22,"mmmm"))</f>
        <v>Enero</v>
      </c>
      <c r="C22" s="34"/>
      <c r="D22" s="34"/>
      <c r="E22" s="29"/>
      <c r="F22" s="54"/>
      <c r="G22" s="54"/>
      <c r="H22" s="54"/>
      <c r="I22" s="55"/>
      <c r="J22" s="55"/>
      <c r="K22" s="56"/>
      <c r="L22" s="57"/>
    </row>
    <row r="23" spans="2:12" x14ac:dyDescent="0.35">
      <c r="B23" s="53"/>
      <c r="C23" s="34"/>
      <c r="D23" s="34"/>
      <c r="E23" s="29"/>
      <c r="F23" s="54"/>
      <c r="G23" s="54"/>
      <c r="H23" s="54"/>
      <c r="I23" s="55"/>
      <c r="J23" s="55"/>
      <c r="K23" s="56"/>
      <c r="L23" s="57"/>
    </row>
    <row r="24" spans="2:12" x14ac:dyDescent="0.35">
      <c r="B24" s="53"/>
      <c r="C24" s="34"/>
      <c r="D24" s="34"/>
      <c r="E24" s="29"/>
      <c r="F24" s="54"/>
      <c r="G24" s="54"/>
      <c r="H24" s="54"/>
      <c r="I24" s="55"/>
      <c r="J24" s="55"/>
      <c r="K24" s="56"/>
      <c r="L24" s="57"/>
    </row>
    <row r="25" spans="2:12" x14ac:dyDescent="0.35">
      <c r="B25" s="53"/>
      <c r="C25" s="34"/>
      <c r="D25" s="34"/>
      <c r="E25" s="29"/>
      <c r="F25" s="54"/>
      <c r="G25" s="54"/>
      <c r="H25" s="54"/>
      <c r="I25" s="55"/>
      <c r="J25" s="55"/>
      <c r="K25" s="56"/>
      <c r="L25" s="57"/>
    </row>
    <row r="26" spans="2:12" x14ac:dyDescent="0.35">
      <c r="B26" s="53"/>
      <c r="C26" s="34"/>
      <c r="D26" s="34"/>
      <c r="E26" s="29"/>
      <c r="F26" s="54"/>
      <c r="G26" s="54"/>
      <c r="H26" s="54"/>
      <c r="I26" s="55"/>
      <c r="J26" s="55"/>
      <c r="K26" s="56"/>
      <c r="L26" s="57"/>
    </row>
    <row r="27" spans="2:12" x14ac:dyDescent="0.35">
      <c r="B27" s="53"/>
      <c r="C27" s="34"/>
      <c r="D27" s="34"/>
      <c r="E27" s="29"/>
      <c r="F27" s="54"/>
      <c r="G27" s="54"/>
      <c r="H27" s="54"/>
      <c r="I27" s="55"/>
      <c r="J27" s="55"/>
      <c r="K27" s="56"/>
      <c r="L27" s="57"/>
    </row>
    <row r="28" spans="2:12" x14ac:dyDescent="0.35">
      <c r="B28" s="53"/>
      <c r="C28" s="34"/>
      <c r="D28" s="34"/>
      <c r="E28" s="29"/>
      <c r="F28" s="54"/>
      <c r="G28" s="54"/>
      <c r="H28" s="54"/>
      <c r="I28" s="55"/>
      <c r="J28" s="55"/>
      <c r="K28" s="56"/>
      <c r="L28" s="57"/>
    </row>
    <row r="29" spans="2:12" x14ac:dyDescent="0.35">
      <c r="B29" s="53"/>
      <c r="C29" s="34"/>
      <c r="D29" s="34"/>
      <c r="E29" s="29"/>
      <c r="F29" s="54"/>
      <c r="G29" s="54"/>
      <c r="H29" s="54"/>
      <c r="I29" s="55"/>
      <c r="J29" s="55"/>
      <c r="K29" s="56"/>
      <c r="L29" s="57"/>
    </row>
    <row r="30" spans="2:12" x14ac:dyDescent="0.35">
      <c r="B30" s="53"/>
      <c r="C30" s="34"/>
      <c r="D30" s="34"/>
      <c r="E30" s="29"/>
      <c r="F30" s="54"/>
      <c r="G30" s="54"/>
      <c r="H30" s="54"/>
      <c r="I30" s="55"/>
      <c r="J30" s="55"/>
      <c r="K30" s="56"/>
      <c r="L30" s="57"/>
    </row>
    <row r="31" spans="2:12" x14ac:dyDescent="0.35">
      <c r="B31" s="53"/>
      <c r="C31" s="34"/>
      <c r="D31" s="34"/>
      <c r="E31" s="29"/>
      <c r="F31" s="54"/>
      <c r="G31" s="54"/>
      <c r="H31" s="54"/>
      <c r="I31" s="55"/>
      <c r="J31" s="55"/>
      <c r="K31" s="56"/>
      <c r="L31" s="57"/>
    </row>
    <row r="32" spans="2:12" x14ac:dyDescent="0.35">
      <c r="B32" s="53"/>
      <c r="C32" s="34"/>
      <c r="D32" s="34"/>
      <c r="E32" s="29"/>
      <c r="F32" s="54"/>
      <c r="G32" s="54"/>
      <c r="H32" s="54"/>
      <c r="I32" s="55"/>
      <c r="J32" s="55"/>
      <c r="K32" s="56"/>
      <c r="L32" s="57"/>
    </row>
    <row r="33" spans="2:12" x14ac:dyDescent="0.35">
      <c r="B33" s="53"/>
      <c r="C33" s="34"/>
      <c r="D33" s="34"/>
      <c r="E33" s="29"/>
      <c r="F33" s="54"/>
      <c r="G33" s="54"/>
      <c r="H33" s="54"/>
      <c r="I33" s="55"/>
      <c r="J33" s="55"/>
      <c r="K33" s="56"/>
      <c r="L33" s="57"/>
    </row>
    <row r="34" spans="2:12" x14ac:dyDescent="0.35">
      <c r="B34" s="53"/>
      <c r="C34" s="34"/>
      <c r="D34" s="34"/>
      <c r="E34" s="29"/>
      <c r="F34" s="54"/>
      <c r="G34" s="54"/>
      <c r="H34" s="54"/>
      <c r="I34" s="55"/>
      <c r="J34" s="55"/>
      <c r="K34" s="56"/>
      <c r="L34" s="57"/>
    </row>
    <row r="35" spans="2:12" x14ac:dyDescent="0.35">
      <c r="B35" s="53"/>
      <c r="C35" s="34"/>
      <c r="D35" s="34"/>
      <c r="E35" s="29"/>
      <c r="F35" s="54"/>
      <c r="G35" s="54"/>
      <c r="H35" s="54"/>
      <c r="I35" s="55"/>
      <c r="J35" s="55"/>
      <c r="K35" s="56"/>
      <c r="L35" s="57"/>
    </row>
    <row r="36" spans="2:12" x14ac:dyDescent="0.35">
      <c r="B36" s="53"/>
      <c r="C36" s="34"/>
      <c r="D36" s="34"/>
      <c r="E36" s="29"/>
      <c r="F36" s="54"/>
      <c r="G36" s="54"/>
      <c r="H36" s="54"/>
      <c r="I36" s="55"/>
      <c r="J36" s="55"/>
      <c r="K36" s="56"/>
      <c r="L36" s="57"/>
    </row>
    <row r="37" spans="2:12" x14ac:dyDescent="0.35">
      <c r="B37" s="53"/>
      <c r="C37" s="34"/>
      <c r="D37" s="34"/>
      <c r="E37" s="29"/>
      <c r="F37" s="54"/>
      <c r="G37" s="54"/>
      <c r="H37" s="54"/>
      <c r="I37" s="55"/>
      <c r="J37" s="55"/>
      <c r="K37" s="56"/>
      <c r="L37" s="57"/>
    </row>
    <row r="38" spans="2:12" x14ac:dyDescent="0.35">
      <c r="B38" s="53"/>
      <c r="C38" s="34"/>
      <c r="D38" s="34"/>
      <c r="E38" s="29"/>
      <c r="F38" s="54"/>
      <c r="G38" s="54"/>
      <c r="H38" s="54"/>
      <c r="I38" s="55"/>
      <c r="J38" s="55"/>
      <c r="K38" s="56"/>
      <c r="L38" s="57"/>
    </row>
    <row r="39" spans="2:12" x14ac:dyDescent="0.35">
      <c r="B39" s="53"/>
      <c r="C39" s="34"/>
      <c r="D39" s="34"/>
      <c r="E39" s="29"/>
      <c r="F39" s="54"/>
      <c r="G39" s="54"/>
      <c r="H39" s="54"/>
      <c r="I39" s="55"/>
      <c r="J39" s="55"/>
      <c r="K39" s="56"/>
      <c r="L39" s="57"/>
    </row>
    <row r="40" spans="2:12" x14ac:dyDescent="0.35">
      <c r="B40" s="53"/>
      <c r="C40" s="34"/>
      <c r="D40" s="34"/>
      <c r="E40" s="29"/>
      <c r="F40" s="54"/>
      <c r="G40" s="54"/>
      <c r="H40" s="54"/>
      <c r="I40" s="55"/>
      <c r="J40" s="55"/>
      <c r="K40" s="56"/>
      <c r="L40" s="57"/>
    </row>
    <row r="41" spans="2:12" x14ac:dyDescent="0.35">
      <c r="B41" s="53"/>
      <c r="C41" s="34"/>
      <c r="D41" s="34"/>
      <c r="E41" s="29"/>
      <c r="F41" s="54"/>
      <c r="G41" s="54"/>
      <c r="H41" s="54"/>
      <c r="I41" s="55"/>
      <c r="J41" s="55"/>
      <c r="K41" s="56"/>
      <c r="L41" s="57"/>
    </row>
    <row r="42" spans="2:12" x14ac:dyDescent="0.35">
      <c r="I42" s="35">
        <f>SUM(I22:I41)</f>
        <v>0</v>
      </c>
      <c r="J42" s="35">
        <f>SUM(J22:J41)</f>
        <v>0</v>
      </c>
    </row>
    <row r="45" spans="2:12" x14ac:dyDescent="0.35">
      <c r="K45" s="14"/>
    </row>
    <row r="46" spans="2:12" x14ac:dyDescent="0.35">
      <c r="K46" s="14"/>
    </row>
    <row r="47" spans="2:12" x14ac:dyDescent="0.35">
      <c r="K47" s="14"/>
    </row>
    <row r="48" spans="2:12" x14ac:dyDescent="0.35">
      <c r="K48" s="14"/>
    </row>
    <row r="49" spans="11:11" x14ac:dyDescent="0.35">
      <c r="K49" s="14"/>
    </row>
    <row r="50" spans="11:11" x14ac:dyDescent="0.35">
      <c r="K50" s="14"/>
    </row>
    <row r="51" spans="11:11" x14ac:dyDescent="0.35">
      <c r="K51" s="14"/>
    </row>
    <row r="52" spans="11:11" x14ac:dyDescent="0.35">
      <c r="K52" s="14"/>
    </row>
    <row r="53" spans="11:11" x14ac:dyDescent="0.35">
      <c r="K53" s="14"/>
    </row>
    <row r="54" spans="11:11" x14ac:dyDescent="0.35">
      <c r="K54" s="14"/>
    </row>
    <row r="55" spans="11:11" x14ac:dyDescent="0.35">
      <c r="K55" s="14"/>
    </row>
    <row r="56" spans="11:11" x14ac:dyDescent="0.35">
      <c r="K56" s="14"/>
    </row>
    <row r="57" spans="11:11" x14ac:dyDescent="0.35">
      <c r="K57" s="14"/>
    </row>
    <row r="58" spans="11:11" x14ac:dyDescent="0.35">
      <c r="K58" s="14"/>
    </row>
    <row r="59" spans="11:11" x14ac:dyDescent="0.35">
      <c r="K59" s="14"/>
    </row>
    <row r="60" spans="11:11" x14ac:dyDescent="0.35">
      <c r="K60" s="14"/>
    </row>
    <row r="61" spans="11:11" x14ac:dyDescent="0.35">
      <c r="K61" s="14"/>
    </row>
    <row r="62" spans="11:11" x14ac:dyDescent="0.35">
      <c r="K62" s="14"/>
    </row>
    <row r="63" spans="11:11" x14ac:dyDescent="0.35">
      <c r="K63" s="14"/>
    </row>
    <row r="64" spans="11:11" x14ac:dyDescent="0.35">
      <c r="K64" s="14"/>
    </row>
    <row r="65" spans="11:11" x14ac:dyDescent="0.35">
      <c r="K65" s="14"/>
    </row>
    <row r="66" spans="11:11" x14ac:dyDescent="0.35">
      <c r="K66" s="14"/>
    </row>
    <row r="67" spans="11:11" x14ac:dyDescent="0.35">
      <c r="K67" s="14"/>
    </row>
    <row r="68" spans="11:11" x14ac:dyDescent="0.35">
      <c r="K68" s="14"/>
    </row>
    <row r="70" spans="11:11" x14ac:dyDescent="0.35">
      <c r="K70" s="14"/>
    </row>
    <row r="71" spans="11:11" x14ac:dyDescent="0.35">
      <c r="K71" s="14"/>
    </row>
    <row r="72" spans="11:11" x14ac:dyDescent="0.35">
      <c r="K72" s="14"/>
    </row>
    <row r="73" spans="11:11" x14ac:dyDescent="0.35">
      <c r="K73" s="14"/>
    </row>
    <row r="74" spans="11:11" x14ac:dyDescent="0.35">
      <c r="K74" s="14"/>
    </row>
    <row r="75" spans="11:11" x14ac:dyDescent="0.35">
      <c r="K75" s="14"/>
    </row>
    <row r="76" spans="11:11" x14ac:dyDescent="0.35">
      <c r="K76" s="14"/>
    </row>
    <row r="77" spans="11:11" x14ac:dyDescent="0.35">
      <c r="K77" s="14"/>
    </row>
    <row r="78" spans="11:11" x14ac:dyDescent="0.35">
      <c r="K78" s="14"/>
    </row>
  </sheetData>
  <mergeCells count="11">
    <mergeCell ref="B14:C14"/>
    <mergeCell ref="B15:C15"/>
    <mergeCell ref="B16:C16"/>
    <mergeCell ref="B17:C17"/>
    <mergeCell ref="B19:L19"/>
    <mergeCell ref="B12:C12"/>
    <mergeCell ref="B6:C6"/>
    <mergeCell ref="B7:C7"/>
    <mergeCell ref="B8:C8"/>
    <mergeCell ref="B10:C10"/>
    <mergeCell ref="B11:C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R10" sqref="R10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3" t="s">
        <v>41</v>
      </c>
      <c r="H3" t="s">
        <v>88</v>
      </c>
    </row>
    <row r="4" spans="2:8" x14ac:dyDescent="0.25">
      <c r="B4" t="s">
        <v>31</v>
      </c>
      <c r="D4">
        <v>579702001</v>
      </c>
      <c r="F4" s="23" t="s">
        <v>42</v>
      </c>
      <c r="H4" t="s">
        <v>86</v>
      </c>
    </row>
    <row r="5" spans="2:8" x14ac:dyDescent="0.25">
      <c r="B5" t="s">
        <v>33</v>
      </c>
      <c r="D5">
        <v>6290002225</v>
      </c>
      <c r="F5" s="23" t="s">
        <v>43</v>
      </c>
      <c r="H5" t="s">
        <v>81</v>
      </c>
    </row>
    <row r="6" spans="2:8" x14ac:dyDescent="0.25">
      <c r="B6" t="s">
        <v>34</v>
      </c>
      <c r="D6">
        <v>6290002328</v>
      </c>
      <c r="F6" s="23" t="s">
        <v>44</v>
      </c>
      <c r="H6" t="s">
        <v>82</v>
      </c>
    </row>
    <row r="7" spans="2:8" x14ac:dyDescent="0.25">
      <c r="B7" t="s">
        <v>35</v>
      </c>
      <c r="D7">
        <v>6290035153</v>
      </c>
      <c r="F7" s="23" t="s">
        <v>45</v>
      </c>
      <c r="H7" t="s">
        <v>83</v>
      </c>
    </row>
    <row r="8" spans="2:8" x14ac:dyDescent="0.25">
      <c r="B8" t="s">
        <v>36</v>
      </c>
      <c r="D8">
        <v>6290046289</v>
      </c>
      <c r="F8" s="23" t="s">
        <v>46</v>
      </c>
      <c r="H8" t="s">
        <v>93</v>
      </c>
    </row>
    <row r="9" spans="2:8" x14ac:dyDescent="0.25">
      <c r="D9">
        <v>6290064906</v>
      </c>
      <c r="F9" s="23" t="s">
        <v>47</v>
      </c>
      <c r="H9" t="s">
        <v>89</v>
      </c>
    </row>
    <row r="10" spans="2:8" x14ac:dyDescent="0.25">
      <c r="D10">
        <v>1135970835</v>
      </c>
      <c r="F10" s="23" t="s">
        <v>48</v>
      </c>
      <c r="H10" t="s">
        <v>140</v>
      </c>
    </row>
    <row r="11" spans="2:8" x14ac:dyDescent="0.25">
      <c r="D11">
        <v>9406934115</v>
      </c>
      <c r="F11" s="23" t="s">
        <v>49</v>
      </c>
      <c r="H11" t="s">
        <v>84</v>
      </c>
    </row>
    <row r="12" spans="2:8" x14ac:dyDescent="0.25">
      <c r="D12">
        <v>44100000482</v>
      </c>
      <c r="F12" s="23" t="s">
        <v>50</v>
      </c>
      <c r="H12" t="s">
        <v>85</v>
      </c>
    </row>
    <row r="13" spans="2:8" x14ac:dyDescent="0.25">
      <c r="F13" s="23" t="s">
        <v>51</v>
      </c>
      <c r="H13" t="s">
        <v>90</v>
      </c>
    </row>
    <row r="14" spans="2:8" x14ac:dyDescent="0.25">
      <c r="F14" s="23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141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2026-04-23T14:44:07Z</cp:lastPrinted>
  <dcterms:created xsi:type="dcterms:W3CDTF">2025-12-17T13:21:20Z</dcterms:created>
  <dcterms:modified xsi:type="dcterms:W3CDTF">2026-04-23T14:44:16Z</dcterms:modified>
</cp:coreProperties>
</file>