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CONCILIACIÓN!$B$2:$H$58</definedName>
  </definedNames>
  <calcPr calcId="145621"/>
</workbook>
</file>

<file path=xl/calcChain.xml><?xml version="1.0" encoding="utf-8"?>
<calcChain xmlns="http://schemas.openxmlformats.org/spreadsheetml/2006/main">
  <c r="D12" i="5" l="1"/>
  <c r="I20" i="3" l="1"/>
  <c r="H20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K8" i="2" l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F16" i="4" l="1"/>
  <c r="E23" i="4" s="1"/>
  <c r="E16" i="4"/>
  <c r="E24" i="4" s="1"/>
  <c r="F10" i="4"/>
  <c r="E22" i="4" s="1"/>
  <c r="E10" i="4"/>
  <c r="E21" i="4" s="1"/>
  <c r="E58" i="5"/>
  <c r="D58" i="5"/>
  <c r="E49" i="5"/>
  <c r="D49" i="5"/>
  <c r="E30" i="5"/>
  <c r="D30" i="5"/>
  <c r="E24" i="5"/>
  <c r="D24" i="5"/>
  <c r="D14" i="5" l="1"/>
  <c r="D15" i="5"/>
  <c r="D13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<sst xmlns="http://schemas.openxmlformats.org/spreadsheetml/2006/main" count="515" uniqueCount="192">
  <si>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</si>
  <si>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</si>
  <si>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</si>
  <si>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</si>
  <si>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</si>
  <si>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</si>
  <si>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</si>
  <si>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</si>
  <si>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</si>
  <si>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</si>
  <si>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</si>
  <si>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</si>
  <si>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</si>
  <si>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</si>
  <si>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</si>
  <si>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</si>
  <si>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</si>
  <si>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</si>
  <si>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</si>
  <si>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</si>
  <si>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</si>
  <si>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</si>
  <si>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</si>
  <si>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</si>
  <si>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</si>
  <si>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</si>
  <si>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</si>
  <si>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</si>
  <si>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</si>
  <si>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</si>
  <si>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</si>
  <si>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</si>
  <si>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</si>
  <si>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</si>
  <si>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</si>
  <si>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</si>
  <si>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</si>
  <si>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</si>
  <si>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</si>
  <si>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</si>
  <si>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</si>
  <si>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</si>
  <si>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</si>
  <si>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</si>
  <si>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</si>
  <si>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</si>
  <si>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</si>
  <si>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</si>
  <si>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</si>
  <si>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</si>
  <si>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</si>
  <si>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</si>
  <si>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</si>
  <si>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</si>
  <si>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</si>
  <si>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</si>
  <si>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</si>
  <si>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</si>
  <si>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</si>
  <si>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</si>
  <si>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</si>
  <si>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</si>
  <si>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</si>
  <si>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</si>
  <si>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</si>
  <si>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</si>
  <si>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</si>
  <si>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</si>
  <si>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</si>
  <si>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</si>
  <si>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</si>
  <si>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</si>
  <si>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</si>
  <si>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</si>
  <si>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</si>
  <si>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</si>
  <si>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</si>
  <si>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</si>
  <si>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</si>
  <si>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</si>
  <si>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</si>
  <si>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</si>
  <si>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</si>
  <si>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</si>
  <si>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</si>
  <si>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</si>
  <si>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</si>
  <si>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</si>
  <si>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</si>
  <si>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</si>
  <si>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</si>
  <si>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</si>
  <si>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</si>
  <si>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</si>
  <si>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</si>
  <si>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</si>
  <si>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</si>
  <si>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</si>
  <si>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</si>
  <si>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</si>
  <si>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</si>
  <si>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</si>
  <si>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CREDITOS</t>
  </si>
  <si>
    <t>02/01/2026</t>
  </si>
  <si>
    <t xml:space="preserve">RENDICION PAGOS LINK     </t>
  </si>
  <si>
    <t xml:space="preserve">           </t>
  </si>
  <si>
    <t xml:space="preserve">                                        </t>
  </si>
  <si>
    <t>05/01/2026</t>
  </si>
  <si>
    <t>CAJ.AUTOM</t>
  </si>
  <si>
    <t xml:space="preserve">TRANSF.INT.DIST.TITULAR  </t>
  </si>
  <si>
    <t xml:space="preserve">CORVALAN/NATALIA GIMEN                  </t>
  </si>
  <si>
    <t>PZO.FIJO</t>
  </si>
  <si>
    <t xml:space="preserve">PLAZO FIJO               </t>
  </si>
  <si>
    <t>06/01/2026</t>
  </si>
  <si>
    <t>07/01/2026</t>
  </si>
  <si>
    <t>08/01/2026</t>
  </si>
  <si>
    <t>TR SNP MIN</t>
  </si>
  <si>
    <t>TRANSF.MINORISTA RECIBIDA</t>
  </si>
  <si>
    <t xml:space="preserve">23444          23444 M                  </t>
  </si>
  <si>
    <t>09/01/2026</t>
  </si>
  <si>
    <t xml:space="preserve">ARDUINI,ALDO GABRIEL                    </t>
  </si>
  <si>
    <t>12/01/2026</t>
  </si>
  <si>
    <t>13/01/2026</t>
  </si>
  <si>
    <t>14/01/2026</t>
  </si>
  <si>
    <t>15/01/2026</t>
  </si>
  <si>
    <t>TRF.RED</t>
  </si>
  <si>
    <t>16/01/2026</t>
  </si>
  <si>
    <t>C BE TR O/BCO-DIS TIT IBK</t>
  </si>
  <si>
    <t xml:space="preserve">RENAULT ARGENTIN                        </t>
  </si>
  <si>
    <t>000004-2026001001100298-3</t>
  </si>
  <si>
    <t>CO.TRF.ELE</t>
  </si>
  <si>
    <t>COMISION DEB. TRANSF. IBK</t>
  </si>
  <si>
    <t>IVA 21%</t>
  </si>
  <si>
    <t xml:space="preserve">I.V.A. BASE              </t>
  </si>
  <si>
    <t>COM.EXTRAC</t>
  </si>
  <si>
    <t>19/01/2026</t>
  </si>
  <si>
    <t xml:space="preserve">COMIS. EXTRACTO          </t>
  </si>
  <si>
    <t>28/01/2026</t>
  </si>
  <si>
    <t>C.MANT.CTA</t>
  </si>
  <si>
    <t>30/01/2026</t>
  </si>
  <si>
    <t>COMIS.COMPENSACION ATEN C</t>
  </si>
  <si>
    <t>SALDO FINAL</t>
  </si>
  <si>
    <t>21 Cheq.em</t>
  </si>
  <si>
    <t>23 Trans.A</t>
  </si>
  <si>
    <t>Definitivo</t>
  </si>
  <si>
    <t>Anulado</t>
  </si>
  <si>
    <t xml:space="preserve">Plazo fijo Banco Nacion                                               </t>
  </si>
  <si>
    <t>Certificado nÂº 65785</t>
  </si>
  <si>
    <t xml:space="preserve">CORVALAN NATALIA GIMENA                                               </t>
  </si>
  <si>
    <t>Partida acreditada en cta  BN 6290002225</t>
  </si>
  <si>
    <t>PAGO de aranceles -SADAIC - Dic/25 fact nÂº 1022 00033919 fs41 - Finaliza OC 1434</t>
  </si>
  <si>
    <t>Certificado nÂº 65922</t>
  </si>
  <si>
    <t xml:space="preserve">HONORARIOS JUDICIALES                                                 </t>
  </si>
  <si>
    <t>Acreditacion en cta  BN 2225</t>
  </si>
  <si>
    <t xml:space="preserve">ARDUINI ALDO                                                          </t>
  </si>
  <si>
    <t>ACREDITACION BCO NACION 22/25</t>
  </si>
  <si>
    <t>Suscripcion Fondo Permanente  RAF: 1052  Tipo: 25  Financ: 101  Ejer: 2025   Nro: 1</t>
  </si>
  <si>
    <t xml:space="preserve">RENTA PLAZO FIJO BCO NACION                                           </t>
  </si>
  <si>
    <t>VTO  28-01-2026 NÂº 10370946</t>
  </si>
  <si>
    <t xml:space="preserve">Constitucion Plazo Fijo Nacion 2225 </t>
  </si>
  <si>
    <t>Suscripcion Fondo Permanente  RAF: 1056  Tipo: 40  Financ: 101  Ejer: 2026   Nro: 1</t>
  </si>
  <si>
    <t xml:space="preserve">Nro. 32635--2025-1000         </t>
  </si>
  <si>
    <t xml:space="preserve">Nro. 30396--2025-1000         </t>
  </si>
  <si>
    <t xml:space="preserve">Nro. 161--2026-1000           </t>
  </si>
  <si>
    <t xml:space="preserve">Nro. 32079--2025-1000         </t>
  </si>
  <si>
    <t xml:space="preserve">Nro. 2033--2026-1000          </t>
  </si>
  <si>
    <t xml:space="preserve">Nro. 32307--2025-1000         </t>
  </si>
  <si>
    <t>6 Transf.</t>
  </si>
  <si>
    <t>8 Recauda</t>
  </si>
  <si>
    <t xml:space="preserve">2809-SADAIC                                                        </t>
  </si>
  <si>
    <t xml:space="preserve">2893-FONDO PERMANENTE SECRETARIA DE OBRAS Y SERVICIOS PUBLICOS     </t>
  </si>
  <si>
    <t xml:space="preserve">2912-FONDO PERMANENTE - DEPORTES                                   </t>
  </si>
  <si>
    <t xml:space="preserve">Constitucion Plazo Fijo Nacion 2225                                   </t>
  </si>
  <si>
    <t xml:space="preserve">Nacion 2225                                                           </t>
  </si>
  <si>
    <t>Comisiones e IVA 01/2026</t>
  </si>
  <si>
    <t>Comp 5</t>
  </si>
  <si>
    <t>Comp 14</t>
  </si>
  <si>
    <t>Comp 23</t>
  </si>
  <si>
    <t>Nro. 32079--2025-1000</t>
  </si>
  <si>
    <t xml:space="preserve">Nro. 34519--2026-1000         </t>
  </si>
  <si>
    <t>Caja Red Link - Comp 95</t>
  </si>
  <si>
    <t>Caja Red Link - Comp 108</t>
  </si>
  <si>
    <t>Caja Red Link - Comp 119</t>
  </si>
  <si>
    <t>Caja Red Link - Comp 132</t>
  </si>
  <si>
    <t>Caja Red Link - Comp 145</t>
  </si>
  <si>
    <t>Caja Red Link - Comp 152</t>
  </si>
  <si>
    <t>Caja Red Link - Comp 86</t>
  </si>
  <si>
    <t>Caja Red Link - Comp 366</t>
  </si>
  <si>
    <t>Caja Red Link - Comp 120</t>
  </si>
  <si>
    <t>Caja Red Link - Comp 131</t>
  </si>
  <si>
    <t>Partidas Pendientes 01/2026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</si>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</sst>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  <font>
      <sz val="9"/>
      <color theme="1"/>
      <name val="Trebuchet MS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8" fillId="0" borderId="8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7" fillId="0" borderId="8" xfId="0" applyFont="1" applyBorder="1"/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8" fillId="0" borderId="8" xfId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4" fontId="7" fillId="0" borderId="8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4" fontId="12" fillId="0" borderId="1" xfId="1" applyNumberFormat="1" applyFont="1" applyBorder="1"/>
    <xf numFmtId="0" fontId="12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4" fontId="12" fillId="0" borderId="8" xfId="1" applyNumberFormat="1" applyFont="1" applyBorder="1"/>
    <xf numFmtId="0" fontId="12" fillId="0" borderId="8" xfId="0" applyFont="1" applyBorder="1"/>
    <xf numFmtId="0" fontId="12" fillId="0" borderId="9" xfId="0" applyFont="1" applyBorder="1"/>
    <xf numFmtId="0" fontId="5" fillId="0" borderId="1" xfId="1" applyNumberFormat="1" applyFont="1" applyBorder="1" applyAlignment="1">
      <alignment horizontal="center"/>
    </xf>
    <xf numFmtId="4" fontId="3" fillId="5" borderId="8" xfId="1" applyNumberFormat="1" applyFont="1" applyFill="1" applyBorder="1"/>
    <xf numFmtId="164" fontId="12" fillId="6" borderId="1" xfId="0" applyNumberFormat="1" applyFont="1" applyFill="1" applyBorder="1" applyAlignment="1">
      <alignment horizontal="center"/>
    </xf>
    <xf numFmtId="0" fontId="12" fillId="6" borderId="1" xfId="0" applyNumberFormat="1" applyFont="1" applyFill="1" applyBorder="1" applyAlignment="1">
      <alignment horizontal="center"/>
    </xf>
    <xf numFmtId="4" fontId="12" fillId="6" borderId="1" xfId="1" applyNumberFormat="1" applyFont="1" applyFill="1" applyBorder="1"/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2" fillId="6" borderId="6" xfId="0" applyFont="1" applyFill="1" applyBorder="1"/>
    <xf numFmtId="0" fontId="3" fillId="6" borderId="6" xfId="0" applyFont="1" applyFill="1" applyBorder="1"/>
    <xf numFmtId="0" fontId="3" fillId="6" borderId="1" xfId="0" applyFont="1" applyFill="1" applyBorder="1"/>
    <xf numFmtId="164" fontId="3" fillId="7" borderId="8" xfId="0" applyNumberFormat="1" applyFont="1" applyFill="1" applyBorder="1" applyAlignment="1">
      <alignment horizontal="center"/>
    </xf>
    <xf numFmtId="4" fontId="3" fillId="7" borderId="8" xfId="1" applyNumberFormat="1" applyFont="1" applyFill="1" applyBorder="1"/>
    <xf numFmtId="0" fontId="3" fillId="7" borderId="8" xfId="0" applyFont="1" applyFill="1" applyBorder="1"/>
    <xf numFmtId="0" fontId="5" fillId="7" borderId="1" xfId="0" applyFont="1" applyFill="1" applyBorder="1"/>
    <xf numFmtId="164" fontId="3" fillId="7" borderId="7" xfId="0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4" fontId="3" fillId="7" borderId="9" xfId="1" applyNumberFormat="1" applyFont="1" applyFill="1" applyBorder="1"/>
    <xf numFmtId="0" fontId="5" fillId="7" borderId="1" xfId="1" applyNumberFormat="1" applyFont="1" applyFill="1" applyBorder="1" applyAlignment="1">
      <alignment horizontal="center"/>
    </xf>
    <xf numFmtId="0" fontId="8" fillId="7" borderId="3" xfId="0" applyFont="1" applyFill="1" applyBorder="1"/>
    <xf numFmtId="164" fontId="3" fillId="5" borderId="7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4" fontId="3" fillId="5" borderId="9" xfId="1" applyNumberFormat="1" applyFont="1" applyFill="1" applyBorder="1"/>
    <xf numFmtId="0" fontId="5" fillId="5" borderId="1" xfId="1" applyNumberFormat="1" applyFont="1" applyFill="1" applyBorder="1" applyAlignment="1">
      <alignment horizontal="center"/>
    </xf>
    <xf numFmtId="0" fontId="5" fillId="5" borderId="1" xfId="0" applyFont="1" applyFill="1" applyBorder="1"/>
    <xf numFmtId="0" fontId="8" fillId="5" borderId="3" xfId="0" applyFont="1" applyFill="1" applyBorder="1"/>
    <xf numFmtId="164" fontId="12" fillId="7" borderId="1" xfId="0" applyNumberFormat="1" applyFont="1" applyFill="1" applyBorder="1" applyAlignment="1">
      <alignment horizontal="center"/>
    </xf>
    <xf numFmtId="0" fontId="12" fillId="7" borderId="1" xfId="0" applyNumberFormat="1" applyFont="1" applyFill="1" applyBorder="1" applyAlignment="1">
      <alignment horizontal="center"/>
    </xf>
    <xf numFmtId="4" fontId="12" fillId="7" borderId="1" xfId="1" applyNumberFormat="1" applyFont="1" applyFill="1" applyBorder="1"/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0" fontId="5" fillId="7" borderId="3" xfId="0" applyFont="1" applyFill="1" applyBorder="1"/>
    <xf numFmtId="0" fontId="3" fillId="7" borderId="1" xfId="0" applyFont="1" applyFill="1" applyBorder="1"/>
    <xf numFmtId="4" fontId="3" fillId="0" borderId="1" xfId="1" applyNumberFormat="1" applyFont="1" applyBorder="1"/>
    <xf numFmtId="164" fontId="3" fillId="0" borderId="1" xfId="0" applyNumberFormat="1" applyFont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7" fillId="0" borderId="6" xfId="0" applyFont="1" applyBorder="1"/>
    <xf numFmtId="0" fontId="3" fillId="0" borderId="1" xfId="0" applyNumberFormat="1" applyFont="1" applyBorder="1" applyAlignment="1">
      <alignment horizontal="center"/>
    </xf>
    <xf numFmtId="0" fontId="3" fillId="7" borderId="5" xfId="0" applyFont="1" applyFill="1" applyBorder="1"/>
    <xf numFmtId="164" fontId="3" fillId="7" borderId="1" xfId="0" applyNumberFormat="1" applyFont="1" applyFill="1" applyBorder="1" applyAlignment="1">
      <alignment horizontal="center"/>
    </xf>
    <xf numFmtId="0" fontId="3" fillId="7" borderId="1" xfId="0" applyNumberFormat="1" applyFont="1" applyFill="1" applyBorder="1" applyAlignment="1">
      <alignment horizontal="center"/>
    </xf>
    <xf numFmtId="4" fontId="3" fillId="7" borderId="1" xfId="1" applyNumberFormat="1" applyFont="1" applyFill="1" applyBorder="1"/>
    <xf numFmtId="0" fontId="7" fillId="7" borderId="6" xfId="0" applyFont="1" applyFill="1" applyBorder="1"/>
    <xf numFmtId="0" fontId="3" fillId="7" borderId="1" xfId="0" applyFont="1" applyFill="1" applyBorder="1" applyAlignment="1">
      <alignment horizontal="center"/>
    </xf>
    <xf numFmtId="0" fontId="12" fillId="0" borderId="5" xfId="0" applyFont="1" applyBorder="1"/>
    <xf numFmtId="0" fontId="12" fillId="7" borderId="5" xfId="0" applyFont="1" applyFill="1" applyBorder="1"/>
    <xf numFmtId="0" fontId="8" fillId="7" borderId="6" xfId="0" applyFont="1" applyFill="1" applyBorder="1"/>
    <xf numFmtId="0" fontId="12" fillId="6" borderId="5" xfId="0" applyFont="1" applyFill="1" applyBorder="1"/>
    <xf numFmtId="4" fontId="3" fillId="6" borderId="1" xfId="1" applyNumberFormat="1" applyFont="1" applyFill="1" applyBorder="1"/>
    <xf numFmtId="0" fontId="3" fillId="7" borderId="6" xfId="0" applyFont="1" applyFill="1" applyBorder="1"/>
    <xf numFmtId="0" fontId="12" fillId="0" borderId="7" xfId="0" applyFont="1" applyBorder="1"/>
    <xf numFmtId="4" fontId="3" fillId="0" borderId="3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33" totalsRowShown="0" headerRowDxfId="33" dataDxfId="31" headerRowBorderDxfId="32" tableBorderDxfId="30" totalsRowBorderDxfId="29">
  <autoFilter ref="B6:M33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20" totalsRowShown="0" headerRowDxfId="16" dataDxfId="14" headerRowBorderDxfId="15" tableBorderDxfId="13" totalsRowBorderDxfId="12">
  <autoFilter ref="B6:M20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G26" sqref="G26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4" t="s">
        <v>37</v>
      </c>
      <c r="C2" s="21" t="s">
        <v>31</v>
      </c>
      <c r="D2" s="15"/>
      <c r="E2" s="15"/>
      <c r="F2" s="15"/>
      <c r="G2" s="15"/>
      <c r="H2" s="15"/>
    </row>
    <row r="3" spans="2:11" x14ac:dyDescent="0.35">
      <c r="B3" s="14" t="s">
        <v>40</v>
      </c>
      <c r="C3" s="21">
        <v>6290002225</v>
      </c>
      <c r="D3" s="15"/>
      <c r="E3" s="15"/>
      <c r="F3" s="15"/>
      <c r="G3" s="15"/>
      <c r="H3" s="15"/>
    </row>
    <row r="4" spans="2:11" x14ac:dyDescent="0.35">
      <c r="B4" s="14" t="s">
        <v>38</v>
      </c>
      <c r="C4" s="21" t="s">
        <v>41</v>
      </c>
      <c r="D4" s="15"/>
      <c r="E4" s="15"/>
      <c r="F4" s="15"/>
      <c r="G4" s="15"/>
      <c r="H4" s="15"/>
    </row>
    <row r="6" spans="2:11" x14ac:dyDescent="0.35">
      <c r="B6" s="170" t="s">
        <v>0</v>
      </c>
      <c r="C6" s="170"/>
      <c r="D6" s="170"/>
      <c r="E6" s="170"/>
      <c r="F6" s="170"/>
      <c r="G6" s="170"/>
      <c r="H6" s="170"/>
    </row>
    <row r="8" spans="2:11" s="2" customFormat="1" x14ac:dyDescent="0.35">
      <c r="B8" s="27" t="s">
        <v>2</v>
      </c>
      <c r="C8" s="28" t="s">
        <v>3</v>
      </c>
      <c r="D8" s="28" t="s">
        <v>7</v>
      </c>
      <c r="E8" s="29" t="s">
        <v>4</v>
      </c>
      <c r="F8" s="29" t="s">
        <v>5</v>
      </c>
      <c r="G8" s="28" t="s">
        <v>58</v>
      </c>
      <c r="H8" s="30" t="s">
        <v>6</v>
      </c>
      <c r="J8" s="171" t="s">
        <v>8</v>
      </c>
      <c r="K8" s="171"/>
    </row>
    <row r="9" spans="2:11" x14ac:dyDescent="0.35">
      <c r="B9" s="22"/>
      <c r="C9" s="74"/>
      <c r="D9" s="5"/>
      <c r="E9" s="103"/>
      <c r="F9" s="103"/>
      <c r="G9" s="5"/>
      <c r="H9" s="6"/>
    </row>
    <row r="10" spans="2:11" x14ac:dyDescent="0.35">
      <c r="B10" s="94"/>
      <c r="C10" s="95"/>
      <c r="D10" s="96"/>
      <c r="E10" s="103">
        <f>SUBTOTAL(109,Tabla1[DÉBITOS])</f>
        <v>0</v>
      </c>
      <c r="F10" s="103">
        <f>SUBTOTAL(109,Tabla1[CRÉDITOS])</f>
        <v>0</v>
      </c>
      <c r="G10" s="96"/>
      <c r="H10" s="96"/>
      <c r="J10" s="65"/>
      <c r="K10" s="72" t="s">
        <v>94</v>
      </c>
    </row>
    <row r="11" spans="2:11" x14ac:dyDescent="0.35">
      <c r="J11" s="66"/>
      <c r="K11" s="72"/>
    </row>
    <row r="12" spans="2:11" x14ac:dyDescent="0.35">
      <c r="B12" s="170" t="s">
        <v>1</v>
      </c>
      <c r="C12" s="170"/>
      <c r="D12" s="170"/>
      <c r="E12" s="170"/>
      <c r="F12" s="170"/>
      <c r="G12" s="170"/>
      <c r="H12" s="170"/>
      <c r="J12" s="67"/>
      <c r="K12" s="72" t="s">
        <v>99</v>
      </c>
    </row>
    <row r="13" spans="2:11" x14ac:dyDescent="0.35">
      <c r="J13" s="66"/>
      <c r="K13" s="72"/>
    </row>
    <row r="14" spans="2:11" x14ac:dyDescent="0.35">
      <c r="B14" s="33" t="s">
        <v>2</v>
      </c>
      <c r="C14" s="64" t="s">
        <v>3</v>
      </c>
      <c r="D14" s="34" t="s">
        <v>7</v>
      </c>
      <c r="E14" s="35" t="s">
        <v>4</v>
      </c>
      <c r="F14" s="35" t="s">
        <v>5</v>
      </c>
      <c r="G14" s="28" t="s">
        <v>58</v>
      </c>
      <c r="H14" s="34" t="s">
        <v>6</v>
      </c>
      <c r="J14" s="68"/>
      <c r="K14" s="72" t="s">
        <v>95</v>
      </c>
    </row>
    <row r="15" spans="2:11" x14ac:dyDescent="0.35">
      <c r="B15" s="31"/>
      <c r="C15" s="56"/>
      <c r="D15" s="26"/>
      <c r="E15" s="104"/>
      <c r="F15" s="104"/>
      <c r="G15" s="26"/>
      <c r="H15" s="26"/>
      <c r="J15" s="66"/>
      <c r="K15" s="72"/>
    </row>
    <row r="16" spans="2:11" x14ac:dyDescent="0.35">
      <c r="E16" s="105">
        <f>SUBTOTAL(109,Tabla14[DÉBITOS])</f>
        <v>0</v>
      </c>
      <c r="F16" s="105">
        <f>SUBTOTAL(109,Tabla14[CRÉDITOS])</f>
        <v>0</v>
      </c>
      <c r="J16" s="69"/>
      <c r="K16" s="72" t="s">
        <v>96</v>
      </c>
    </row>
    <row r="17" spans="4:11" x14ac:dyDescent="0.35">
      <c r="J17" s="66"/>
      <c r="K17" s="72"/>
    </row>
    <row r="18" spans="4:11" x14ac:dyDescent="0.35">
      <c r="J18" s="70"/>
      <c r="K18" s="72" t="s">
        <v>97</v>
      </c>
    </row>
    <row r="19" spans="4:11" x14ac:dyDescent="0.35">
      <c r="D19" s="36" t="s">
        <v>9</v>
      </c>
      <c r="E19" s="37" t="s">
        <v>10</v>
      </c>
      <c r="J19" s="66"/>
      <c r="K19" s="72"/>
    </row>
    <row r="20" spans="4:11" x14ac:dyDescent="0.35">
      <c r="D20" s="4" t="s">
        <v>67</v>
      </c>
      <c r="E20" s="87">
        <v>682431.91</v>
      </c>
      <c r="J20" s="71"/>
      <c r="K20" s="73" t="s">
        <v>98</v>
      </c>
    </row>
    <row r="21" spans="4:11" x14ac:dyDescent="0.35">
      <c r="D21" s="4" t="s">
        <v>53</v>
      </c>
      <c r="E21" s="87">
        <f>+E10</f>
        <v>0</v>
      </c>
      <c r="J21" s="102"/>
      <c r="K21" s="73"/>
    </row>
    <row r="22" spans="4:11" x14ac:dyDescent="0.35">
      <c r="D22" s="4" t="s">
        <v>54</v>
      </c>
      <c r="E22" s="87">
        <f>+F10</f>
        <v>0</v>
      </c>
      <c r="J22" s="66"/>
      <c r="K22" s="72"/>
    </row>
    <row r="23" spans="4:11" x14ac:dyDescent="0.35">
      <c r="D23" s="4" t="s">
        <v>55</v>
      </c>
      <c r="E23" s="87">
        <f>+F16</f>
        <v>0</v>
      </c>
    </row>
    <row r="24" spans="4:11" x14ac:dyDescent="0.35">
      <c r="D24" s="4" t="s">
        <v>56</v>
      </c>
      <c r="E24" s="87">
        <f>+E16</f>
        <v>0</v>
      </c>
    </row>
    <row r="25" spans="4:11" x14ac:dyDescent="0.35">
      <c r="D25" s="4" t="s">
        <v>57</v>
      </c>
      <c r="E25" s="87">
        <f>+E20-E21+E22-E23+E24</f>
        <v>682431.91</v>
      </c>
    </row>
    <row r="26" spans="4:11" x14ac:dyDescent="0.35">
      <c r="D26" s="4" t="s">
        <v>68</v>
      </c>
      <c r="E26" s="87">
        <v>682431.91</v>
      </c>
    </row>
    <row r="27" spans="4:11" x14ac:dyDescent="0.35">
      <c r="D27" s="7" t="s">
        <v>66</v>
      </c>
      <c r="E27" s="88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3"/>
  <sheetViews>
    <sheetView showGridLines="0" workbookViewId="0">
      <selection activeCell="E41" sqref="E41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0.85546875" style="3" bestFit="1" customWidth="1"/>
    <col min="4" max="4" width="17.5703125" style="2" bestFit="1" customWidth="1"/>
    <col min="5" max="5" width="13.7109375" style="2" bestFit="1" customWidth="1"/>
    <col min="6" max="6" width="14.140625" style="18" bestFit="1" customWidth="1"/>
    <col min="7" max="7" width="25.42578125" style="1" bestFit="1" customWidth="1"/>
    <col min="8" max="8" width="14.85546875" style="2" bestFit="1" customWidth="1"/>
    <col min="9" max="9" width="10.42578125" style="2" bestFit="1" customWidth="1"/>
    <col min="10" max="10" width="33" style="1" bestFit="1" customWidth="1"/>
    <col min="11" max="11" width="13.5703125" style="18" bestFit="1" customWidth="1"/>
    <col min="12" max="12" width="23.5703125" style="1" bestFit="1" customWidth="1"/>
    <col min="13" max="13" width="16.140625" style="1" customWidth="1"/>
    <col min="14" max="14" width="11.42578125" style="1"/>
    <col min="15" max="15" width="3.140625" style="1" customWidth="1"/>
    <col min="16" max="16" width="14.85546875" style="1" bestFit="1" customWidth="1"/>
    <col min="17" max="16384" width="11.42578125" style="1"/>
  </cols>
  <sheetData>
    <row r="2" spans="2:16" x14ac:dyDescent="0.35">
      <c r="B2" s="15" t="s">
        <v>59</v>
      </c>
      <c r="C2" s="19" t="s">
        <v>31</v>
      </c>
      <c r="D2" s="3"/>
      <c r="E2" s="3"/>
      <c r="F2" s="24"/>
      <c r="G2" s="15"/>
      <c r="H2" s="3"/>
      <c r="I2" s="3"/>
      <c r="J2" s="15"/>
      <c r="K2" s="24"/>
      <c r="L2" s="15"/>
    </row>
    <row r="3" spans="2:16" x14ac:dyDescent="0.35">
      <c r="B3" s="14" t="s">
        <v>40</v>
      </c>
      <c r="C3" s="19">
        <v>6290002225</v>
      </c>
      <c r="D3" s="3"/>
      <c r="E3" s="3"/>
      <c r="F3" s="24"/>
      <c r="G3" s="15"/>
      <c r="H3" s="3"/>
      <c r="I3" s="3"/>
      <c r="J3" s="15"/>
      <c r="K3" s="24"/>
      <c r="L3" s="15"/>
    </row>
    <row r="4" spans="2:16" x14ac:dyDescent="0.35">
      <c r="B4" s="14" t="s">
        <v>38</v>
      </c>
      <c r="C4" s="19" t="s">
        <v>41</v>
      </c>
    </row>
    <row r="6" spans="2:16" s="2" customFormat="1" x14ac:dyDescent="0.35">
      <c r="B6" s="38" t="s">
        <v>11</v>
      </c>
      <c r="C6" s="28" t="s">
        <v>2</v>
      </c>
      <c r="D6" s="28" t="s">
        <v>3</v>
      </c>
      <c r="E6" s="28" t="s">
        <v>12</v>
      </c>
      <c r="F6" s="29" t="s">
        <v>13</v>
      </c>
      <c r="G6" s="28" t="s">
        <v>14</v>
      </c>
      <c r="H6" s="28" t="s">
        <v>15</v>
      </c>
      <c r="I6" s="28" t="s">
        <v>16</v>
      </c>
      <c r="J6" s="28" t="s">
        <v>17</v>
      </c>
      <c r="K6" s="29" t="s">
        <v>18</v>
      </c>
      <c r="L6" s="28" t="s">
        <v>6</v>
      </c>
      <c r="M6" s="152" t="s">
        <v>29</v>
      </c>
      <c r="O6" s="171" t="s">
        <v>8</v>
      </c>
      <c r="P6" s="171"/>
    </row>
    <row r="7" spans="2:16" x14ac:dyDescent="0.35">
      <c r="B7" s="4" t="s">
        <v>30</v>
      </c>
      <c r="C7" s="151"/>
      <c r="D7" s="74"/>
      <c r="E7" s="74"/>
      <c r="F7" s="150"/>
      <c r="G7" s="5"/>
      <c r="H7" s="74"/>
      <c r="I7" s="74"/>
      <c r="J7" s="5"/>
      <c r="K7" s="150">
        <v>682431.91</v>
      </c>
      <c r="L7" s="5"/>
      <c r="M7" s="153"/>
    </row>
    <row r="8" spans="2:16" x14ac:dyDescent="0.35">
      <c r="B8" s="4" t="s">
        <v>102</v>
      </c>
      <c r="C8" s="151" t="s">
        <v>103</v>
      </c>
      <c r="D8" s="154">
        <v>138678</v>
      </c>
      <c r="E8" s="154">
        <v>1</v>
      </c>
      <c r="F8" s="150">
        <v>774679.58</v>
      </c>
      <c r="G8" s="5" t="s">
        <v>104</v>
      </c>
      <c r="H8" s="154">
        <v>220</v>
      </c>
      <c r="I8" s="74" t="s">
        <v>105</v>
      </c>
      <c r="J8" s="5" t="s">
        <v>106</v>
      </c>
      <c r="K8" s="150">
        <f>+K7+Tabla6[[#This Row],[IMPORTE]]</f>
        <v>1457111.49</v>
      </c>
      <c r="L8" s="5" t="s">
        <v>180</v>
      </c>
      <c r="M8" s="6" t="s">
        <v>100</v>
      </c>
      <c r="O8" s="65"/>
      <c r="P8" s="72" t="s">
        <v>94</v>
      </c>
    </row>
    <row r="9" spans="2:16" x14ac:dyDescent="0.35">
      <c r="B9" s="4" t="s">
        <v>102</v>
      </c>
      <c r="C9" s="151" t="s">
        <v>107</v>
      </c>
      <c r="D9" s="154">
        <v>138712</v>
      </c>
      <c r="E9" s="154">
        <v>1</v>
      </c>
      <c r="F9" s="150">
        <v>447503.31</v>
      </c>
      <c r="G9" s="5" t="s">
        <v>104</v>
      </c>
      <c r="H9" s="154">
        <v>220</v>
      </c>
      <c r="I9" s="74" t="s">
        <v>105</v>
      </c>
      <c r="J9" s="5" t="s">
        <v>106</v>
      </c>
      <c r="K9" s="150">
        <f>+K8+Tabla6[[#This Row],[IMPORTE]]</f>
        <v>1904614.8</v>
      </c>
      <c r="L9" s="5" t="s">
        <v>181</v>
      </c>
      <c r="M9" s="6" t="s">
        <v>100</v>
      </c>
      <c r="O9" s="66"/>
      <c r="P9" s="72"/>
    </row>
    <row r="10" spans="2:16" x14ac:dyDescent="0.35">
      <c r="B10" s="155" t="s">
        <v>108</v>
      </c>
      <c r="C10" s="156" t="s">
        <v>107</v>
      </c>
      <c r="D10" s="157">
        <v>138700</v>
      </c>
      <c r="E10" s="157">
        <v>7777</v>
      </c>
      <c r="F10" s="158">
        <v>567605.82999999996</v>
      </c>
      <c r="G10" s="149" t="s">
        <v>109</v>
      </c>
      <c r="H10" s="157">
        <v>6231</v>
      </c>
      <c r="I10" s="157">
        <v>27311593949</v>
      </c>
      <c r="J10" s="149" t="s">
        <v>110</v>
      </c>
      <c r="K10" s="158">
        <f>+K9+Tabla6[[#This Row],[IMPORTE]]</f>
        <v>2472220.63</v>
      </c>
      <c r="L10" s="129" t="s">
        <v>175</v>
      </c>
      <c r="M10" s="159"/>
      <c r="O10" s="67"/>
      <c r="P10" s="72" t="s">
        <v>99</v>
      </c>
    </row>
    <row r="11" spans="2:16" x14ac:dyDescent="0.35">
      <c r="B11" s="4" t="s">
        <v>111</v>
      </c>
      <c r="C11" s="151" t="s">
        <v>107</v>
      </c>
      <c r="D11" s="154">
        <v>65785</v>
      </c>
      <c r="E11" s="154">
        <v>3816</v>
      </c>
      <c r="F11" s="150">
        <v>7074353854.79</v>
      </c>
      <c r="G11" s="5" t="s">
        <v>112</v>
      </c>
      <c r="H11" s="154">
        <v>270</v>
      </c>
      <c r="I11" s="74" t="s">
        <v>105</v>
      </c>
      <c r="J11" s="5" t="s">
        <v>106</v>
      </c>
      <c r="K11" s="150">
        <f>+K10+Tabla6[[#This Row],[IMPORTE]]</f>
        <v>7076826075.4200001</v>
      </c>
      <c r="L11" s="10" t="s">
        <v>161</v>
      </c>
      <c r="M11" s="153" t="s">
        <v>100</v>
      </c>
      <c r="O11" s="66"/>
      <c r="P11" s="72"/>
    </row>
    <row r="12" spans="2:16" x14ac:dyDescent="0.35">
      <c r="B12" s="155" t="s">
        <v>111</v>
      </c>
      <c r="C12" s="156" t="s">
        <v>107</v>
      </c>
      <c r="D12" s="157">
        <v>65922</v>
      </c>
      <c r="E12" s="157">
        <v>3816</v>
      </c>
      <c r="F12" s="158">
        <v>-7075000000</v>
      </c>
      <c r="G12" s="149" t="s">
        <v>112</v>
      </c>
      <c r="H12" s="157">
        <v>520</v>
      </c>
      <c r="I12" s="160" t="s">
        <v>105</v>
      </c>
      <c r="J12" s="149" t="s">
        <v>106</v>
      </c>
      <c r="K12" s="158">
        <f>+K11+Tabla6[[#This Row],[IMPORTE]]</f>
        <v>1826075.4200000763</v>
      </c>
      <c r="L12" s="129" t="s">
        <v>163</v>
      </c>
      <c r="M12" s="159" t="s">
        <v>84</v>
      </c>
      <c r="O12" s="68"/>
      <c r="P12" s="72" t="s">
        <v>95</v>
      </c>
    </row>
    <row r="13" spans="2:16" x14ac:dyDescent="0.35">
      <c r="B13" s="4" t="s">
        <v>102</v>
      </c>
      <c r="C13" s="151" t="s">
        <v>113</v>
      </c>
      <c r="D13" s="154">
        <v>138718</v>
      </c>
      <c r="E13" s="154">
        <v>1</v>
      </c>
      <c r="F13" s="150">
        <v>231497.26</v>
      </c>
      <c r="G13" s="5" t="s">
        <v>104</v>
      </c>
      <c r="H13" s="154">
        <v>220</v>
      </c>
      <c r="I13" s="74" t="s">
        <v>105</v>
      </c>
      <c r="J13" s="5" t="s">
        <v>106</v>
      </c>
      <c r="K13" s="150">
        <f>+K12+Tabla6[[#This Row],[IMPORTE]]</f>
        <v>2057572.6800000763</v>
      </c>
      <c r="L13" s="5" t="s">
        <v>182</v>
      </c>
      <c r="M13" s="6" t="s">
        <v>100</v>
      </c>
      <c r="O13" s="66"/>
      <c r="P13" s="72"/>
    </row>
    <row r="14" spans="2:16" x14ac:dyDescent="0.35">
      <c r="B14" s="4" t="s">
        <v>102</v>
      </c>
      <c r="C14" s="151" t="s">
        <v>114</v>
      </c>
      <c r="D14" s="154">
        <v>138720</v>
      </c>
      <c r="E14" s="154">
        <v>1</v>
      </c>
      <c r="F14" s="150">
        <v>112383.5</v>
      </c>
      <c r="G14" s="5" t="s">
        <v>104</v>
      </c>
      <c r="H14" s="154">
        <v>220</v>
      </c>
      <c r="I14" s="74" t="s">
        <v>105</v>
      </c>
      <c r="J14" s="5" t="s">
        <v>106</v>
      </c>
      <c r="K14" s="150">
        <f>+K13+Tabla6[[#This Row],[IMPORTE]]</f>
        <v>2169956.1800000761</v>
      </c>
      <c r="L14" s="5" t="s">
        <v>183</v>
      </c>
      <c r="M14" s="6" t="s">
        <v>100</v>
      </c>
      <c r="O14" s="69"/>
      <c r="P14" s="72" t="s">
        <v>96</v>
      </c>
    </row>
    <row r="15" spans="2:16" x14ac:dyDescent="0.35">
      <c r="B15" s="4" t="s">
        <v>102</v>
      </c>
      <c r="C15" s="151" t="s">
        <v>115</v>
      </c>
      <c r="D15" s="154">
        <v>138724</v>
      </c>
      <c r="E15" s="154">
        <v>1</v>
      </c>
      <c r="F15" s="150">
        <v>30710.9</v>
      </c>
      <c r="G15" s="5" t="s">
        <v>104</v>
      </c>
      <c r="H15" s="154">
        <v>220</v>
      </c>
      <c r="I15" s="74" t="s">
        <v>105</v>
      </c>
      <c r="J15" s="5" t="s">
        <v>106</v>
      </c>
      <c r="K15" s="150">
        <f>+K14+Tabla6[[#This Row],[IMPORTE]]</f>
        <v>2200667.080000076</v>
      </c>
      <c r="L15" s="5" t="s">
        <v>184</v>
      </c>
      <c r="M15" s="6" t="s">
        <v>100</v>
      </c>
      <c r="O15" s="66"/>
      <c r="P15" s="72"/>
    </row>
    <row r="16" spans="2:16" x14ac:dyDescent="0.35">
      <c r="B16" s="155" t="s">
        <v>116</v>
      </c>
      <c r="C16" s="156" t="s">
        <v>115</v>
      </c>
      <c r="D16" s="157">
        <v>138723</v>
      </c>
      <c r="E16" s="157">
        <v>3576</v>
      </c>
      <c r="F16" s="158">
        <v>17710248.239999998</v>
      </c>
      <c r="G16" s="149" t="s">
        <v>117</v>
      </c>
      <c r="H16" s="157">
        <v>271</v>
      </c>
      <c r="I16" s="157">
        <v>70313579131</v>
      </c>
      <c r="J16" s="149" t="s">
        <v>118</v>
      </c>
      <c r="K16" s="158">
        <f>+K15+Tabla6[[#This Row],[IMPORTE]]</f>
        <v>19910915.320000075</v>
      </c>
      <c r="L16" s="129" t="s">
        <v>176</v>
      </c>
      <c r="M16" s="159" t="s">
        <v>91</v>
      </c>
      <c r="O16" s="70"/>
      <c r="P16" s="72" t="s">
        <v>97</v>
      </c>
    </row>
    <row r="17" spans="2:16" x14ac:dyDescent="0.35">
      <c r="B17" s="4" t="s">
        <v>102</v>
      </c>
      <c r="C17" s="151" t="s">
        <v>119</v>
      </c>
      <c r="D17" s="154">
        <v>138728</v>
      </c>
      <c r="E17" s="154">
        <v>1</v>
      </c>
      <c r="F17" s="150">
        <v>541458.31000000006</v>
      </c>
      <c r="G17" s="5" t="s">
        <v>104</v>
      </c>
      <c r="H17" s="154">
        <v>220</v>
      </c>
      <c r="I17" s="74" t="s">
        <v>105</v>
      </c>
      <c r="J17" s="5" t="s">
        <v>106</v>
      </c>
      <c r="K17" s="150">
        <f>+K16+Tabla6[[#This Row],[IMPORTE]]</f>
        <v>20452373.630000073</v>
      </c>
      <c r="L17" s="5" t="s">
        <v>185</v>
      </c>
      <c r="M17" s="6" t="s">
        <v>100</v>
      </c>
      <c r="O17" s="66"/>
      <c r="P17" s="72"/>
    </row>
    <row r="18" spans="2:16" x14ac:dyDescent="0.35">
      <c r="B18" s="155" t="s">
        <v>108</v>
      </c>
      <c r="C18" s="156" t="s">
        <v>119</v>
      </c>
      <c r="D18" s="157">
        <v>138727</v>
      </c>
      <c r="E18" s="157">
        <v>7777</v>
      </c>
      <c r="F18" s="158">
        <v>567705.82999999996</v>
      </c>
      <c r="G18" s="149" t="s">
        <v>109</v>
      </c>
      <c r="H18" s="157">
        <v>6231</v>
      </c>
      <c r="I18" s="157">
        <v>20366533681</v>
      </c>
      <c r="J18" s="149" t="s">
        <v>120</v>
      </c>
      <c r="K18" s="158">
        <f>+K17+Tabla6[[#This Row],[IMPORTE]]</f>
        <v>21020079.460000072</v>
      </c>
      <c r="L18" s="129" t="s">
        <v>177</v>
      </c>
      <c r="M18" s="159"/>
      <c r="O18" s="71"/>
      <c r="P18" s="73" t="s">
        <v>98</v>
      </c>
    </row>
    <row r="19" spans="2:16" x14ac:dyDescent="0.35">
      <c r="B19" s="4" t="s">
        <v>102</v>
      </c>
      <c r="C19" s="151" t="s">
        <v>121</v>
      </c>
      <c r="D19" s="154">
        <v>138730</v>
      </c>
      <c r="E19" s="154">
        <v>1</v>
      </c>
      <c r="F19" s="150">
        <v>292562.56</v>
      </c>
      <c r="G19" s="5" t="s">
        <v>104</v>
      </c>
      <c r="H19" s="154">
        <v>220</v>
      </c>
      <c r="I19" s="74" t="s">
        <v>105</v>
      </c>
      <c r="J19" s="5" t="s">
        <v>106</v>
      </c>
      <c r="K19" s="150">
        <f>+K18+Tabla6[[#This Row],[IMPORTE]]</f>
        <v>21312642.02000007</v>
      </c>
      <c r="L19" s="5" t="s">
        <v>186</v>
      </c>
      <c r="M19" s="6" t="s">
        <v>100</v>
      </c>
      <c r="O19" s="66"/>
      <c r="P19" s="72"/>
    </row>
    <row r="20" spans="2:16" x14ac:dyDescent="0.35">
      <c r="B20" s="4" t="s">
        <v>102</v>
      </c>
      <c r="C20" s="151" t="s">
        <v>122</v>
      </c>
      <c r="D20" s="154">
        <v>138732</v>
      </c>
      <c r="E20" s="154">
        <v>1</v>
      </c>
      <c r="F20" s="150">
        <v>119737.81</v>
      </c>
      <c r="G20" s="5" t="s">
        <v>104</v>
      </c>
      <c r="H20" s="154">
        <v>220</v>
      </c>
      <c r="I20" s="74" t="s">
        <v>105</v>
      </c>
      <c r="J20" s="5" t="s">
        <v>106</v>
      </c>
      <c r="K20" s="150">
        <f>+K19+Tabla6[[#This Row],[IMPORTE]]</f>
        <v>21432379.830000069</v>
      </c>
      <c r="L20" s="5" t="s">
        <v>187</v>
      </c>
      <c r="M20" s="6" t="s">
        <v>100</v>
      </c>
    </row>
    <row r="21" spans="2:16" x14ac:dyDescent="0.35">
      <c r="B21" s="161" t="s">
        <v>102</v>
      </c>
      <c r="C21" s="108" t="s">
        <v>123</v>
      </c>
      <c r="D21" s="110">
        <v>138735</v>
      </c>
      <c r="E21" s="110">
        <v>1</v>
      </c>
      <c r="F21" s="106">
        <v>144018.04</v>
      </c>
      <c r="G21" s="107" t="s">
        <v>104</v>
      </c>
      <c r="H21" s="110">
        <v>220</v>
      </c>
      <c r="I21" s="109" t="s">
        <v>105</v>
      </c>
      <c r="J21" s="107" t="s">
        <v>106</v>
      </c>
      <c r="K21" s="150">
        <f>+K20+Tabla6[[#This Row],[IMPORTE]]</f>
        <v>21576397.870000068</v>
      </c>
      <c r="L21" s="107" t="s">
        <v>188</v>
      </c>
      <c r="M21" s="6" t="s">
        <v>100</v>
      </c>
    </row>
    <row r="22" spans="2:16" x14ac:dyDescent="0.35">
      <c r="B22" s="161" t="s">
        <v>102</v>
      </c>
      <c r="C22" s="108" t="s">
        <v>124</v>
      </c>
      <c r="D22" s="110">
        <v>138743</v>
      </c>
      <c r="E22" s="110">
        <v>1</v>
      </c>
      <c r="F22" s="106">
        <v>30937.77</v>
      </c>
      <c r="G22" s="107" t="s">
        <v>104</v>
      </c>
      <c r="H22" s="110">
        <v>220</v>
      </c>
      <c r="I22" s="109" t="s">
        <v>105</v>
      </c>
      <c r="J22" s="107" t="s">
        <v>106</v>
      </c>
      <c r="K22" s="150">
        <f>+K21+Tabla6[[#This Row],[IMPORTE]]</f>
        <v>21607335.640000068</v>
      </c>
      <c r="L22" s="107" t="s">
        <v>189</v>
      </c>
      <c r="M22" s="6" t="s">
        <v>100</v>
      </c>
    </row>
    <row r="23" spans="2:16" x14ac:dyDescent="0.35">
      <c r="B23" s="161" t="s">
        <v>125</v>
      </c>
      <c r="C23" s="108" t="s">
        <v>126</v>
      </c>
      <c r="D23" s="110">
        <v>4281886</v>
      </c>
      <c r="E23" s="110">
        <v>1</v>
      </c>
      <c r="F23" s="106">
        <v>255362.93</v>
      </c>
      <c r="G23" s="107" t="s">
        <v>127</v>
      </c>
      <c r="H23" s="110">
        <v>481</v>
      </c>
      <c r="I23" s="110">
        <v>30503317814</v>
      </c>
      <c r="J23" s="107" t="s">
        <v>128</v>
      </c>
      <c r="K23" s="150">
        <f>+K22+Tabla6[[#This Row],[IMPORTE]]</f>
        <v>21862698.570000067</v>
      </c>
      <c r="L23" s="107" t="s">
        <v>190</v>
      </c>
      <c r="M23" s="6" t="s">
        <v>100</v>
      </c>
    </row>
    <row r="24" spans="2:16" x14ac:dyDescent="0.35">
      <c r="B24" s="162" t="s">
        <v>125</v>
      </c>
      <c r="C24" s="143" t="s">
        <v>126</v>
      </c>
      <c r="D24" s="144">
        <v>8498921</v>
      </c>
      <c r="E24" s="144">
        <v>1</v>
      </c>
      <c r="F24" s="145">
        <v>-4000000</v>
      </c>
      <c r="G24" s="146" t="s">
        <v>129</v>
      </c>
      <c r="H24" s="144">
        <v>671</v>
      </c>
      <c r="I24" s="147" t="s">
        <v>105</v>
      </c>
      <c r="J24" s="146" t="s">
        <v>106</v>
      </c>
      <c r="K24" s="158">
        <f>+K23+Tabla6[[#This Row],[IMPORTE]]</f>
        <v>17862698.570000067</v>
      </c>
      <c r="L24" s="129" t="s">
        <v>178</v>
      </c>
      <c r="M24" s="163" t="s">
        <v>88</v>
      </c>
    </row>
    <row r="25" spans="2:16" x14ac:dyDescent="0.35">
      <c r="B25" s="164" t="s">
        <v>130</v>
      </c>
      <c r="C25" s="118" t="s">
        <v>126</v>
      </c>
      <c r="D25" s="119">
        <v>8498921</v>
      </c>
      <c r="E25" s="119">
        <v>1</v>
      </c>
      <c r="F25" s="120">
        <v>-300</v>
      </c>
      <c r="G25" s="121" t="s">
        <v>131</v>
      </c>
      <c r="H25" s="119">
        <v>510</v>
      </c>
      <c r="I25" s="122" t="s">
        <v>105</v>
      </c>
      <c r="J25" s="121" t="s">
        <v>106</v>
      </c>
      <c r="K25" s="165">
        <f>+K24+Tabla6[[#This Row],[IMPORTE]]</f>
        <v>17862398.570000067</v>
      </c>
      <c r="L25" s="125" t="s">
        <v>174</v>
      </c>
      <c r="M25" s="123" t="s">
        <v>93</v>
      </c>
    </row>
    <row r="26" spans="2:16" x14ac:dyDescent="0.35">
      <c r="B26" s="164" t="s">
        <v>132</v>
      </c>
      <c r="C26" s="118" t="s">
        <v>126</v>
      </c>
      <c r="D26" s="119">
        <v>138748</v>
      </c>
      <c r="E26" s="119">
        <v>3816</v>
      </c>
      <c r="F26" s="120">
        <v>-63</v>
      </c>
      <c r="G26" s="121" t="s">
        <v>133</v>
      </c>
      <c r="H26" s="119">
        <v>510</v>
      </c>
      <c r="I26" s="122" t="s">
        <v>105</v>
      </c>
      <c r="J26" s="121" t="s">
        <v>106</v>
      </c>
      <c r="K26" s="165">
        <f>+K25+Tabla6[[#This Row],[IMPORTE]]</f>
        <v>17862335.570000067</v>
      </c>
      <c r="L26" s="125" t="s">
        <v>174</v>
      </c>
      <c r="M26" s="124" t="s">
        <v>93</v>
      </c>
    </row>
    <row r="27" spans="2:16" x14ac:dyDescent="0.35">
      <c r="B27" s="164" t="s">
        <v>134</v>
      </c>
      <c r="C27" s="118" t="s">
        <v>135</v>
      </c>
      <c r="D27" s="119">
        <v>138749</v>
      </c>
      <c r="E27" s="119">
        <v>3816</v>
      </c>
      <c r="F27" s="120">
        <v>-1999</v>
      </c>
      <c r="G27" s="121" t="s">
        <v>136</v>
      </c>
      <c r="H27" s="119">
        <v>510</v>
      </c>
      <c r="I27" s="122" t="s">
        <v>105</v>
      </c>
      <c r="J27" s="121" t="s">
        <v>106</v>
      </c>
      <c r="K27" s="165">
        <f>+K26+Tabla6[[#This Row],[IMPORTE]]</f>
        <v>17860336.570000067</v>
      </c>
      <c r="L27" s="125" t="s">
        <v>174</v>
      </c>
      <c r="M27" s="124" t="s">
        <v>93</v>
      </c>
    </row>
    <row r="28" spans="2:16" x14ac:dyDescent="0.35">
      <c r="B28" s="164" t="s">
        <v>132</v>
      </c>
      <c r="C28" s="118" t="s">
        <v>135</v>
      </c>
      <c r="D28" s="119">
        <v>138750</v>
      </c>
      <c r="E28" s="119">
        <v>3816</v>
      </c>
      <c r="F28" s="120">
        <v>-419.79</v>
      </c>
      <c r="G28" s="121" t="s">
        <v>133</v>
      </c>
      <c r="H28" s="119">
        <v>510</v>
      </c>
      <c r="I28" s="122" t="s">
        <v>105</v>
      </c>
      <c r="J28" s="121" t="s">
        <v>106</v>
      </c>
      <c r="K28" s="165">
        <f>+K27+Tabla6[[#This Row],[IMPORTE]]</f>
        <v>17859916.780000068</v>
      </c>
      <c r="L28" s="125" t="s">
        <v>174</v>
      </c>
      <c r="M28" s="124" t="s">
        <v>93</v>
      </c>
    </row>
    <row r="29" spans="2:16" x14ac:dyDescent="0.35">
      <c r="B29" s="161" t="s">
        <v>111</v>
      </c>
      <c r="C29" s="108" t="s">
        <v>137</v>
      </c>
      <c r="D29" s="110">
        <v>65880</v>
      </c>
      <c r="E29" s="110">
        <v>3816</v>
      </c>
      <c r="F29" s="106">
        <v>1847279856.3399999</v>
      </c>
      <c r="G29" s="107" t="s">
        <v>112</v>
      </c>
      <c r="H29" s="110">
        <v>270</v>
      </c>
      <c r="I29" s="109" t="s">
        <v>105</v>
      </c>
      <c r="J29" s="107" t="s">
        <v>106</v>
      </c>
      <c r="K29" s="150">
        <f>+K28+Tabla6[[#This Row],[IMPORTE]]</f>
        <v>1865139773.1199999</v>
      </c>
      <c r="L29" s="107" t="s">
        <v>179</v>
      </c>
      <c r="M29" s="6" t="s">
        <v>100</v>
      </c>
    </row>
    <row r="30" spans="2:16" x14ac:dyDescent="0.35">
      <c r="B30" s="162" t="s">
        <v>111</v>
      </c>
      <c r="C30" s="143" t="s">
        <v>137</v>
      </c>
      <c r="D30" s="144">
        <v>66014</v>
      </c>
      <c r="E30" s="144">
        <v>3816</v>
      </c>
      <c r="F30" s="145">
        <v>-1847279856.3399999</v>
      </c>
      <c r="G30" s="146" t="s">
        <v>112</v>
      </c>
      <c r="H30" s="144">
        <v>520</v>
      </c>
      <c r="I30" s="147" t="s">
        <v>105</v>
      </c>
      <c r="J30" s="146" t="s">
        <v>106</v>
      </c>
      <c r="K30" s="158">
        <f>+K29+Tabla6[[#This Row],[IMPORTE]]</f>
        <v>17859916.779999971</v>
      </c>
      <c r="L30" s="129" t="s">
        <v>165</v>
      </c>
      <c r="M30" s="166" t="s">
        <v>84</v>
      </c>
    </row>
    <row r="31" spans="2:16" x14ac:dyDescent="0.35">
      <c r="B31" s="164" t="s">
        <v>138</v>
      </c>
      <c r="C31" s="118" t="s">
        <v>139</v>
      </c>
      <c r="D31" s="119">
        <v>138784</v>
      </c>
      <c r="E31" s="119">
        <v>3816</v>
      </c>
      <c r="F31" s="120">
        <v>-7550</v>
      </c>
      <c r="G31" s="121" t="s">
        <v>140</v>
      </c>
      <c r="H31" s="119">
        <v>510</v>
      </c>
      <c r="I31" s="122" t="s">
        <v>105</v>
      </c>
      <c r="J31" s="121" t="s">
        <v>106</v>
      </c>
      <c r="K31" s="165">
        <f>+K30+Tabla6[[#This Row],[IMPORTE]]</f>
        <v>17852366.779999971</v>
      </c>
      <c r="L31" s="125" t="s">
        <v>174</v>
      </c>
      <c r="M31" s="124" t="s">
        <v>93</v>
      </c>
    </row>
    <row r="32" spans="2:16" x14ac:dyDescent="0.35">
      <c r="B32" s="164" t="s">
        <v>132</v>
      </c>
      <c r="C32" s="118" t="s">
        <v>139</v>
      </c>
      <c r="D32" s="119">
        <v>138785</v>
      </c>
      <c r="E32" s="119">
        <v>3816</v>
      </c>
      <c r="F32" s="120">
        <v>-1585.5</v>
      </c>
      <c r="G32" s="121" t="s">
        <v>133</v>
      </c>
      <c r="H32" s="119">
        <v>510</v>
      </c>
      <c r="I32" s="122" t="s">
        <v>105</v>
      </c>
      <c r="J32" s="121" t="s">
        <v>106</v>
      </c>
      <c r="K32" s="165">
        <f>+K31+Tabla6[[#This Row],[IMPORTE]]</f>
        <v>17850781.279999971</v>
      </c>
      <c r="L32" s="125" t="s">
        <v>174</v>
      </c>
      <c r="M32" s="124" t="s">
        <v>93</v>
      </c>
    </row>
    <row r="33" spans="2:13" x14ac:dyDescent="0.35">
      <c r="B33" s="167" t="s">
        <v>141</v>
      </c>
      <c r="C33" s="111"/>
      <c r="D33" s="112"/>
      <c r="E33" s="112"/>
      <c r="F33" s="113"/>
      <c r="G33" s="114"/>
      <c r="H33" s="112"/>
      <c r="I33" s="112"/>
      <c r="J33" s="114"/>
      <c r="K33" s="113">
        <f>+K32</f>
        <v>17850781.279999971</v>
      </c>
      <c r="L33" s="114"/>
      <c r="M33" s="115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showGridLines="0" workbookViewId="0">
      <selection activeCell="F12" sqref="F12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40.85546875" style="1" customWidth="1"/>
    <col min="7" max="7" width="36.140625" style="1" customWidth="1"/>
    <col min="8" max="9" width="14.7109375" style="18" bestFit="1" customWidth="1"/>
    <col min="10" max="10" width="15.28515625" style="18" bestFit="1" customWidth="1"/>
    <col min="11" max="11" width="13" style="79" bestFit="1" customWidth="1"/>
    <col min="12" max="12" width="23.140625" style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3" t="s">
        <v>60</v>
      </c>
      <c r="C2" s="19" t="s">
        <v>31</v>
      </c>
      <c r="D2" s="15"/>
      <c r="E2" s="3"/>
      <c r="F2" s="15"/>
      <c r="G2" s="15"/>
      <c r="H2" s="15"/>
      <c r="I2" s="15"/>
      <c r="J2" s="15"/>
      <c r="K2" s="3"/>
      <c r="L2" s="15"/>
    </row>
    <row r="3" spans="2:16" x14ac:dyDescent="0.35">
      <c r="B3" s="63" t="s">
        <v>40</v>
      </c>
      <c r="C3" s="19">
        <v>6290002225</v>
      </c>
      <c r="D3" s="15"/>
      <c r="E3" s="3"/>
      <c r="F3" s="15"/>
      <c r="G3" s="15"/>
      <c r="H3" s="15"/>
      <c r="I3" s="15"/>
      <c r="J3" s="15"/>
      <c r="K3" s="3"/>
      <c r="L3" s="15"/>
    </row>
    <row r="4" spans="2:16" x14ac:dyDescent="0.35">
      <c r="B4" s="63" t="s">
        <v>38</v>
      </c>
      <c r="C4" s="19" t="s">
        <v>41</v>
      </c>
    </row>
    <row r="6" spans="2:16" s="2" customFormat="1" x14ac:dyDescent="0.35">
      <c r="B6" s="38" t="s">
        <v>69</v>
      </c>
      <c r="C6" s="28" t="s">
        <v>61</v>
      </c>
      <c r="D6" s="28" t="s">
        <v>28</v>
      </c>
      <c r="E6" s="28" t="s">
        <v>64</v>
      </c>
      <c r="F6" s="28" t="s">
        <v>62</v>
      </c>
      <c r="G6" s="28" t="s">
        <v>6</v>
      </c>
      <c r="H6" s="29" t="s">
        <v>19</v>
      </c>
      <c r="I6" s="29" t="s">
        <v>20</v>
      </c>
      <c r="J6" s="39" t="s">
        <v>21</v>
      </c>
      <c r="K6" s="40" t="s">
        <v>63</v>
      </c>
      <c r="L6" s="41" t="s">
        <v>22</v>
      </c>
      <c r="M6" s="60" t="s">
        <v>29</v>
      </c>
      <c r="O6" s="171" t="s">
        <v>8</v>
      </c>
      <c r="P6" s="171"/>
    </row>
    <row r="7" spans="2:16" x14ac:dyDescent="0.35">
      <c r="B7" s="17" t="s">
        <v>30</v>
      </c>
      <c r="C7" s="77"/>
      <c r="D7" s="9"/>
      <c r="E7" s="77"/>
      <c r="F7" s="9"/>
      <c r="G7" s="9"/>
      <c r="H7" s="97"/>
      <c r="I7" s="97"/>
      <c r="J7" s="99">
        <v>682431.91</v>
      </c>
      <c r="K7" s="80"/>
      <c r="L7" s="11"/>
      <c r="M7" s="58"/>
    </row>
    <row r="8" spans="2:16" x14ac:dyDescent="0.35">
      <c r="B8" s="23">
        <v>46027</v>
      </c>
      <c r="C8" s="76">
        <v>46027</v>
      </c>
      <c r="D8" s="8" t="s">
        <v>167</v>
      </c>
      <c r="E8" s="75">
        <v>2</v>
      </c>
      <c r="F8" s="8" t="s">
        <v>146</v>
      </c>
      <c r="G8" s="8" t="s">
        <v>147</v>
      </c>
      <c r="H8" s="98">
        <v>6904300000</v>
      </c>
      <c r="I8" s="98">
        <v>0</v>
      </c>
      <c r="J8" s="100">
        <f>+J7+Tabla69[[#This Row],[DEBE]]-Tabla69[[#This Row],[HABER]]</f>
        <v>6904982431.9099998</v>
      </c>
      <c r="K8" s="116" t="s">
        <v>144</v>
      </c>
      <c r="L8" s="10" t="s">
        <v>161</v>
      </c>
      <c r="M8" s="58" t="s">
        <v>100</v>
      </c>
      <c r="O8" s="65"/>
      <c r="P8" s="72" t="s">
        <v>94</v>
      </c>
    </row>
    <row r="9" spans="2:16" x14ac:dyDescent="0.35">
      <c r="B9" s="23">
        <v>46027</v>
      </c>
      <c r="C9" s="76">
        <v>46027</v>
      </c>
      <c r="D9" s="8" t="s">
        <v>168</v>
      </c>
      <c r="E9" s="75">
        <v>2</v>
      </c>
      <c r="F9" s="5" t="s">
        <v>146</v>
      </c>
      <c r="G9" s="8" t="s">
        <v>147</v>
      </c>
      <c r="H9" s="98">
        <v>170053854.78999999</v>
      </c>
      <c r="I9" s="98">
        <v>0</v>
      </c>
      <c r="J9" s="100">
        <f>+J8+Tabla69[[#This Row],[DEBE]]-Tabla69[[#This Row],[HABER]]</f>
        <v>7075036286.6999998</v>
      </c>
      <c r="K9" s="116" t="s">
        <v>145</v>
      </c>
      <c r="L9" s="10" t="s">
        <v>161</v>
      </c>
      <c r="M9" s="11" t="s">
        <v>100</v>
      </c>
      <c r="O9" s="66"/>
      <c r="P9" s="72"/>
    </row>
    <row r="10" spans="2:16" x14ac:dyDescent="0.35">
      <c r="B10" s="130">
        <v>46031</v>
      </c>
      <c r="C10" s="126">
        <v>46027</v>
      </c>
      <c r="D10" s="128" t="s">
        <v>168</v>
      </c>
      <c r="E10" s="131">
        <v>5</v>
      </c>
      <c r="F10" s="128" t="s">
        <v>148</v>
      </c>
      <c r="G10" s="128" t="s">
        <v>149</v>
      </c>
      <c r="H10" s="127">
        <v>567605.82999999996</v>
      </c>
      <c r="I10" s="127">
        <v>0</v>
      </c>
      <c r="J10" s="132">
        <f>+J9+Tabla69[[#This Row],[DEBE]]-Tabla69[[#This Row],[HABER]]</f>
        <v>7075603892.5299997</v>
      </c>
      <c r="K10" s="133" t="s">
        <v>144</v>
      </c>
      <c r="L10" s="129" t="s">
        <v>175</v>
      </c>
      <c r="M10" s="134"/>
      <c r="O10" s="67"/>
      <c r="P10" s="72" t="s">
        <v>99</v>
      </c>
    </row>
    <row r="11" spans="2:16" x14ac:dyDescent="0.35">
      <c r="B11" s="135">
        <v>46031</v>
      </c>
      <c r="C11" s="136">
        <v>46031</v>
      </c>
      <c r="D11" s="137" t="s">
        <v>142</v>
      </c>
      <c r="E11" s="138">
        <v>10</v>
      </c>
      <c r="F11" s="137" t="s">
        <v>169</v>
      </c>
      <c r="G11" s="137" t="s">
        <v>150</v>
      </c>
      <c r="H11" s="117">
        <v>0</v>
      </c>
      <c r="I11" s="117">
        <v>4560000</v>
      </c>
      <c r="J11" s="139">
        <f>+J10+Tabla69[[#This Row],[DEBE]]-Tabla69[[#This Row],[HABER]]</f>
        <v>7071043892.5299997</v>
      </c>
      <c r="K11" s="140" t="s">
        <v>145</v>
      </c>
      <c r="L11" s="141" t="s">
        <v>162</v>
      </c>
      <c r="M11" s="142"/>
      <c r="O11" s="66"/>
      <c r="P11" s="72"/>
    </row>
    <row r="12" spans="2:16" x14ac:dyDescent="0.35">
      <c r="B12" s="135">
        <v>46031</v>
      </c>
      <c r="C12" s="136">
        <v>46031</v>
      </c>
      <c r="D12" s="137" t="s">
        <v>142</v>
      </c>
      <c r="E12" s="138">
        <v>10</v>
      </c>
      <c r="F12" s="137" t="s">
        <v>169</v>
      </c>
      <c r="G12" s="137" t="s">
        <v>150</v>
      </c>
      <c r="H12" s="117">
        <v>0</v>
      </c>
      <c r="I12" s="117">
        <v>-4560000</v>
      </c>
      <c r="J12" s="139">
        <f>+J11+Tabla69[[#This Row],[DEBE]]-Tabla69[[#This Row],[HABER]]</f>
        <v>7075603892.5299997</v>
      </c>
      <c r="K12" s="140" t="s">
        <v>145</v>
      </c>
      <c r="L12" s="141" t="s">
        <v>162</v>
      </c>
      <c r="M12" s="142"/>
      <c r="O12" s="68"/>
      <c r="P12" s="72" t="s">
        <v>95</v>
      </c>
    </row>
    <row r="13" spans="2:16" x14ac:dyDescent="0.35">
      <c r="B13" s="130">
        <v>46034</v>
      </c>
      <c r="C13" s="126">
        <v>46027</v>
      </c>
      <c r="D13" s="128" t="s">
        <v>143</v>
      </c>
      <c r="E13" s="131">
        <v>6</v>
      </c>
      <c r="F13" s="128" t="s">
        <v>172</v>
      </c>
      <c r="G13" s="128" t="s">
        <v>151</v>
      </c>
      <c r="H13" s="127">
        <v>0</v>
      </c>
      <c r="I13" s="127">
        <v>7075000000</v>
      </c>
      <c r="J13" s="132">
        <f>+J12+Tabla69[[#This Row],[DEBE]]-Tabla69[[#This Row],[HABER]]</f>
        <v>603892.52999973297</v>
      </c>
      <c r="K13" s="133" t="s">
        <v>144</v>
      </c>
      <c r="L13" s="129" t="s">
        <v>163</v>
      </c>
      <c r="M13" s="134" t="s">
        <v>84</v>
      </c>
      <c r="O13" s="66"/>
      <c r="P13" s="72"/>
    </row>
    <row r="14" spans="2:16" x14ac:dyDescent="0.35">
      <c r="B14" s="130">
        <v>46034</v>
      </c>
      <c r="C14" s="126">
        <v>46030</v>
      </c>
      <c r="D14" s="128" t="s">
        <v>168</v>
      </c>
      <c r="E14" s="131">
        <v>14</v>
      </c>
      <c r="F14" s="128" t="s">
        <v>152</v>
      </c>
      <c r="G14" s="128" t="s">
        <v>153</v>
      </c>
      <c r="H14" s="127">
        <v>17710248.239999998</v>
      </c>
      <c r="I14" s="127">
        <v>0</v>
      </c>
      <c r="J14" s="132">
        <f>+J13+Tabla69[[#This Row],[DEBE]]-Tabla69[[#This Row],[HABER]]</f>
        <v>18314140.769999731</v>
      </c>
      <c r="K14" s="133" t="s">
        <v>144</v>
      </c>
      <c r="L14" s="129" t="s">
        <v>176</v>
      </c>
      <c r="M14" s="134" t="s">
        <v>91</v>
      </c>
      <c r="O14" s="69"/>
      <c r="P14" s="72" t="s">
        <v>96</v>
      </c>
    </row>
    <row r="15" spans="2:16" x14ac:dyDescent="0.35">
      <c r="B15" s="130">
        <v>46034</v>
      </c>
      <c r="C15" s="126">
        <v>46031</v>
      </c>
      <c r="D15" s="128" t="s">
        <v>168</v>
      </c>
      <c r="E15" s="131">
        <v>23</v>
      </c>
      <c r="F15" s="128" t="s">
        <v>154</v>
      </c>
      <c r="G15" s="128" t="s">
        <v>155</v>
      </c>
      <c r="H15" s="127">
        <v>567705.82999999996</v>
      </c>
      <c r="I15" s="127">
        <v>0</v>
      </c>
      <c r="J15" s="132">
        <f>+J14+Tabla69[[#This Row],[DEBE]]-Tabla69[[#This Row],[HABER]]</f>
        <v>18881846.59999973</v>
      </c>
      <c r="K15" s="133" t="s">
        <v>144</v>
      </c>
      <c r="L15" s="129" t="s">
        <v>177</v>
      </c>
      <c r="M15" s="134"/>
      <c r="O15" s="66"/>
      <c r="P15" s="72"/>
    </row>
    <row r="16" spans="2:16" x14ac:dyDescent="0.35">
      <c r="B16" s="130">
        <v>46038</v>
      </c>
      <c r="C16" s="126">
        <v>46038</v>
      </c>
      <c r="D16" s="128" t="s">
        <v>142</v>
      </c>
      <c r="E16" s="131">
        <v>290</v>
      </c>
      <c r="F16" s="128" t="s">
        <v>170</v>
      </c>
      <c r="G16" s="128" t="s">
        <v>156</v>
      </c>
      <c r="H16" s="127">
        <v>0</v>
      </c>
      <c r="I16" s="127">
        <v>4000000</v>
      </c>
      <c r="J16" s="132">
        <f>+J15+Tabla69[[#This Row],[DEBE]]-Tabla69[[#This Row],[HABER]]</f>
        <v>14881846.59999973</v>
      </c>
      <c r="K16" s="133" t="s">
        <v>144</v>
      </c>
      <c r="L16" s="129" t="s">
        <v>164</v>
      </c>
      <c r="M16" s="134" t="s">
        <v>88</v>
      </c>
      <c r="O16" s="70"/>
      <c r="P16" s="72" t="s">
        <v>97</v>
      </c>
    </row>
    <row r="17" spans="2:16" x14ac:dyDescent="0.35">
      <c r="B17" s="23">
        <v>46050</v>
      </c>
      <c r="C17" s="76">
        <v>46050</v>
      </c>
      <c r="D17" s="8" t="s">
        <v>168</v>
      </c>
      <c r="E17" s="75">
        <v>150</v>
      </c>
      <c r="F17" s="8" t="s">
        <v>157</v>
      </c>
      <c r="G17" s="8" t="s">
        <v>158</v>
      </c>
      <c r="H17" s="98">
        <v>43729909.670000002</v>
      </c>
      <c r="I17" s="98">
        <v>0</v>
      </c>
      <c r="J17" s="100">
        <f>+J16+Tabla69[[#This Row],[DEBE]]-Tabla69[[#This Row],[HABER]]</f>
        <v>58611756.269999728</v>
      </c>
      <c r="K17" s="116" t="s">
        <v>144</v>
      </c>
      <c r="L17" s="10" t="s">
        <v>179</v>
      </c>
      <c r="M17" s="11" t="s">
        <v>100</v>
      </c>
      <c r="O17" s="66"/>
      <c r="P17" s="72"/>
    </row>
    <row r="18" spans="2:16" x14ac:dyDescent="0.35">
      <c r="B18" s="130">
        <v>46052</v>
      </c>
      <c r="C18" s="126">
        <v>46050</v>
      </c>
      <c r="D18" s="128" t="s">
        <v>143</v>
      </c>
      <c r="E18" s="131">
        <v>34</v>
      </c>
      <c r="F18" s="128" t="s">
        <v>173</v>
      </c>
      <c r="G18" s="128" t="s">
        <v>159</v>
      </c>
      <c r="H18" s="127">
        <v>0</v>
      </c>
      <c r="I18" s="127">
        <v>1847279856.3399999</v>
      </c>
      <c r="J18" s="132">
        <f>+J17+Tabla69[[#This Row],[DEBE]]-Tabla69[[#This Row],[HABER]]</f>
        <v>-1788668100.0700002</v>
      </c>
      <c r="K18" s="133" t="s">
        <v>144</v>
      </c>
      <c r="L18" s="129" t="s">
        <v>165</v>
      </c>
      <c r="M18" s="148" t="s">
        <v>84</v>
      </c>
      <c r="O18" s="71"/>
      <c r="P18" s="73" t="s">
        <v>98</v>
      </c>
    </row>
    <row r="19" spans="2:16" x14ac:dyDescent="0.35">
      <c r="B19" s="23">
        <v>46052</v>
      </c>
      <c r="C19" s="76">
        <v>46052</v>
      </c>
      <c r="D19" s="8" t="s">
        <v>142</v>
      </c>
      <c r="E19" s="75">
        <v>1049</v>
      </c>
      <c r="F19" s="8" t="s">
        <v>171</v>
      </c>
      <c r="G19" s="8" t="s">
        <v>160</v>
      </c>
      <c r="H19" s="98">
        <v>0</v>
      </c>
      <c r="I19" s="98">
        <v>500000</v>
      </c>
      <c r="J19" s="100">
        <f>+J18+Tabla69[[#This Row],[DEBE]]-Tabla69[[#This Row],[HABER]]</f>
        <v>-1789168100.0700002</v>
      </c>
      <c r="K19" s="116" t="s">
        <v>145</v>
      </c>
      <c r="L19" s="10" t="s">
        <v>166</v>
      </c>
      <c r="M19" s="11" t="s">
        <v>100</v>
      </c>
      <c r="O19" s="66"/>
      <c r="P19" s="72"/>
    </row>
    <row r="20" spans="2:16" x14ac:dyDescent="0.35">
      <c r="B20" s="82"/>
      <c r="C20" s="78"/>
      <c r="D20" s="62"/>
      <c r="E20" s="78"/>
      <c r="F20" s="62"/>
      <c r="G20" s="62"/>
      <c r="H20" s="101">
        <f>SUBTOTAL(109,H7:H19)</f>
        <v>7136929324.3599997</v>
      </c>
      <c r="I20" s="101">
        <f>SUBTOTAL(109,I7:I19)</f>
        <v>8926779856.3400002</v>
      </c>
      <c r="J20" s="100">
        <f>+J19</f>
        <v>-1789168100.0700002</v>
      </c>
      <c r="K20" s="81"/>
      <c r="L20" s="59"/>
      <c r="M20" s="58"/>
    </row>
  </sheetData>
  <dataConsolidate/>
  <mergeCells count="1">
    <mergeCell ref="O6:P6"/>
  </mergeCell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8"/>
  <sheetViews>
    <sheetView showGridLines="0" tabSelected="1" zoomScaleNormal="100" workbookViewId="0">
      <selection activeCell="J22" sqref="J22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5703125" style="12" bestFit="1" customWidth="1"/>
    <col min="4" max="5" width="18.85546875" style="12" customWidth="1"/>
    <col min="6" max="6" width="32.85546875" style="12" customWidth="1"/>
    <col min="7" max="7" width="28.28515625" style="12" customWidth="1"/>
    <col min="8" max="8" width="15.7109375" style="12" bestFit="1" customWidth="1"/>
    <col min="9" max="9" width="10.85546875" style="12" bestFit="1" customWidth="1"/>
    <col min="10" max="10" width="17.85546875" style="12" bestFit="1" customWidth="1"/>
    <col min="11" max="11" width="10.85546875" style="12" bestFit="1" customWidth="1"/>
    <col min="12" max="16384" width="11.42578125" style="12"/>
  </cols>
  <sheetData>
    <row r="2" spans="2:5" x14ac:dyDescent="0.35">
      <c r="B2" s="14" t="s">
        <v>37</v>
      </c>
      <c r="C2" s="21" t="s">
        <v>31</v>
      </c>
    </row>
    <row r="3" spans="2:5" x14ac:dyDescent="0.35">
      <c r="B3" s="14" t="s">
        <v>40</v>
      </c>
      <c r="C3" s="21">
        <v>6290002225</v>
      </c>
    </row>
    <row r="4" spans="2:5" x14ac:dyDescent="0.35">
      <c r="B4" s="14" t="s">
        <v>38</v>
      </c>
      <c r="C4" s="21" t="s">
        <v>41</v>
      </c>
    </row>
    <row r="6" spans="2:5" x14ac:dyDescent="0.35">
      <c r="B6" s="34" t="s">
        <v>9</v>
      </c>
      <c r="C6" s="34" t="s">
        <v>10</v>
      </c>
    </row>
    <row r="7" spans="2:5" x14ac:dyDescent="0.35">
      <c r="B7" s="26" t="s">
        <v>26</v>
      </c>
      <c r="C7" s="83">
        <v>17850781.279999971</v>
      </c>
    </row>
    <row r="8" spans="2:5" x14ac:dyDescent="0.35">
      <c r="B8" s="26" t="s">
        <v>27</v>
      </c>
      <c r="C8" s="83">
        <v>-1789168100.0700002</v>
      </c>
    </row>
    <row r="10" spans="2:5" x14ac:dyDescent="0.35">
      <c r="B10" s="173" t="s">
        <v>23</v>
      </c>
      <c r="C10" s="174"/>
      <c r="D10" s="34" t="s">
        <v>10</v>
      </c>
      <c r="E10" s="13"/>
    </row>
    <row r="11" spans="2:5" x14ac:dyDescent="0.35">
      <c r="B11" s="175" t="s">
        <v>67</v>
      </c>
      <c r="C11" s="176"/>
      <c r="D11" s="84">
        <f>+C8</f>
        <v>-1789168100.0700002</v>
      </c>
    </row>
    <row r="12" spans="2:5" x14ac:dyDescent="0.35">
      <c r="B12" s="175" t="s">
        <v>53</v>
      </c>
      <c r="C12" s="176"/>
      <c r="D12" s="84">
        <f>+D24+D58</f>
        <v>7118083764.46</v>
      </c>
      <c r="E12" s="89"/>
    </row>
    <row r="13" spans="2:5" x14ac:dyDescent="0.35">
      <c r="B13" s="175" t="s">
        <v>54</v>
      </c>
      <c r="C13" s="176"/>
      <c r="D13" s="84">
        <f>+E24+E58</f>
        <v>500000</v>
      </c>
      <c r="E13" s="89"/>
    </row>
    <row r="14" spans="2:5" x14ac:dyDescent="0.35">
      <c r="B14" s="175" t="s">
        <v>55</v>
      </c>
      <c r="C14" s="176"/>
      <c r="D14" s="84">
        <f>+E30+D49</f>
        <v>11917.29</v>
      </c>
      <c r="E14" s="89"/>
    </row>
    <row r="15" spans="2:5" x14ac:dyDescent="0.35">
      <c r="B15" s="175" t="s">
        <v>56</v>
      </c>
      <c r="C15" s="176"/>
      <c r="D15" s="84">
        <f>+D30+E49</f>
        <v>8924614563.1000023</v>
      </c>
      <c r="E15" s="89"/>
    </row>
    <row r="16" spans="2:5" x14ac:dyDescent="0.35">
      <c r="B16" s="175" t="s">
        <v>57</v>
      </c>
      <c r="C16" s="176"/>
      <c r="D16" s="85">
        <f>+D11-D12+D13-D14+D15</f>
        <v>17850781.280000687</v>
      </c>
    </row>
    <row r="17" spans="2:8" x14ac:dyDescent="0.35">
      <c r="B17" s="175" t="s">
        <v>68</v>
      </c>
      <c r="C17" s="176"/>
      <c r="D17" s="86">
        <f>+C7</f>
        <v>17850781.279999971</v>
      </c>
    </row>
    <row r="18" spans="2:8" x14ac:dyDescent="0.35">
      <c r="B18" s="175" t="s">
        <v>66</v>
      </c>
      <c r="C18" s="176"/>
      <c r="D18" s="84">
        <f>+D16-D17</f>
        <v>7.152557373046875E-7</v>
      </c>
    </row>
    <row r="20" spans="2:8" x14ac:dyDescent="0.35">
      <c r="B20" s="170" t="s">
        <v>0</v>
      </c>
      <c r="C20" s="170"/>
      <c r="D20" s="170"/>
      <c r="E20" s="170"/>
      <c r="F20" s="170"/>
      <c r="G20" s="170"/>
      <c r="H20" s="15"/>
    </row>
    <row r="21" spans="2:8" x14ac:dyDescent="0.35">
      <c r="B21" s="14"/>
      <c r="C21" s="14"/>
      <c r="D21" s="14"/>
      <c r="E21" s="14"/>
      <c r="F21" s="14"/>
      <c r="G21" s="14"/>
      <c r="H21" s="14"/>
    </row>
    <row r="22" spans="2:8" x14ac:dyDescent="0.35">
      <c r="B22" s="34" t="s">
        <v>2</v>
      </c>
      <c r="C22" s="34" t="s">
        <v>65</v>
      </c>
      <c r="D22" s="34" t="s">
        <v>4</v>
      </c>
      <c r="E22" s="34" t="s">
        <v>5</v>
      </c>
      <c r="F22" s="61" t="s">
        <v>62</v>
      </c>
      <c r="G22" s="34" t="s">
        <v>6</v>
      </c>
      <c r="H22" s="91" t="s">
        <v>63</v>
      </c>
    </row>
    <row r="23" spans="2:8" x14ac:dyDescent="0.35">
      <c r="B23" s="90"/>
      <c r="C23" s="26"/>
      <c r="D23" s="93"/>
      <c r="E23" s="93"/>
      <c r="F23" s="26"/>
      <c r="G23" s="26"/>
      <c r="H23" s="90"/>
    </row>
    <row r="24" spans="2:8" x14ac:dyDescent="0.35">
      <c r="B24" s="92"/>
      <c r="C24" s="25"/>
      <c r="D24" s="93">
        <f>SUM(D23:D23)</f>
        <v>0</v>
      </c>
      <c r="E24" s="93">
        <f>SUM(E23:E23)</f>
        <v>0</v>
      </c>
      <c r="F24" s="25"/>
      <c r="G24" s="25"/>
      <c r="H24" s="1"/>
    </row>
    <row r="25" spans="2:8" x14ac:dyDescent="0.35">
      <c r="B25" s="25"/>
      <c r="C25" s="25"/>
      <c r="D25" s="25"/>
      <c r="E25" s="25"/>
      <c r="F25" s="25"/>
      <c r="G25" s="25"/>
      <c r="H25" s="1"/>
    </row>
    <row r="26" spans="2:8" x14ac:dyDescent="0.35">
      <c r="B26" s="170" t="s">
        <v>1</v>
      </c>
      <c r="C26" s="170"/>
      <c r="D26" s="170"/>
      <c r="E26" s="170"/>
      <c r="F26" s="170"/>
      <c r="G26" s="170"/>
      <c r="H26" s="15"/>
    </row>
    <row r="27" spans="2:8" x14ac:dyDescent="0.35">
      <c r="B27" s="14"/>
      <c r="C27" s="14"/>
      <c r="D27" s="14"/>
      <c r="E27" s="14"/>
      <c r="F27" s="14"/>
      <c r="G27" s="14"/>
      <c r="H27" s="14"/>
    </row>
    <row r="28" spans="2:8" x14ac:dyDescent="0.35">
      <c r="B28" s="34" t="s">
        <v>2</v>
      </c>
      <c r="C28" s="34" t="s">
        <v>65</v>
      </c>
      <c r="D28" s="91" t="s">
        <v>4</v>
      </c>
      <c r="E28" s="91" t="s">
        <v>5</v>
      </c>
      <c r="F28" s="34" t="s">
        <v>62</v>
      </c>
      <c r="G28" s="34" t="s">
        <v>6</v>
      </c>
      <c r="H28" s="91" t="s">
        <v>63</v>
      </c>
    </row>
    <row r="29" spans="2:8" x14ac:dyDescent="0.35">
      <c r="B29" s="90"/>
      <c r="C29" s="26"/>
      <c r="D29" s="93"/>
      <c r="E29" s="93"/>
      <c r="F29" s="26"/>
      <c r="G29" s="26"/>
      <c r="H29" s="90"/>
    </row>
    <row r="30" spans="2:8" x14ac:dyDescent="0.35">
      <c r="B30" s="92"/>
      <c r="C30" s="25"/>
      <c r="D30" s="93">
        <f>SUM(D29:D29)</f>
        <v>0</v>
      </c>
      <c r="E30" s="93">
        <f>SUM(E29:E29)</f>
        <v>0</v>
      </c>
      <c r="F30" s="25"/>
      <c r="G30" s="25"/>
      <c r="H30" s="92"/>
    </row>
    <row r="31" spans="2:8" x14ac:dyDescent="0.35">
      <c r="B31" s="14"/>
      <c r="C31" s="14"/>
      <c r="D31" s="14"/>
      <c r="E31" s="14"/>
      <c r="F31" s="14"/>
      <c r="G31" s="14"/>
      <c r="H31" s="14"/>
    </row>
    <row r="32" spans="2:8" x14ac:dyDescent="0.35">
      <c r="B32" s="172" t="s">
        <v>24</v>
      </c>
      <c r="C32" s="172"/>
      <c r="D32" s="172"/>
      <c r="E32" s="172"/>
      <c r="F32" s="172"/>
      <c r="G32" s="172"/>
      <c r="H32" s="43"/>
    </row>
    <row r="33" spans="2:8" x14ac:dyDescent="0.35">
      <c r="B33" s="16"/>
      <c r="C33" s="16"/>
      <c r="D33" s="16"/>
      <c r="E33" s="16"/>
      <c r="F33" s="16"/>
      <c r="G33" s="16"/>
      <c r="H33" s="16"/>
    </row>
    <row r="34" spans="2:8" x14ac:dyDescent="0.35">
      <c r="B34" s="169" t="s">
        <v>2</v>
      </c>
      <c r="C34" s="169" t="s">
        <v>65</v>
      </c>
      <c r="D34" s="169" t="s">
        <v>4</v>
      </c>
      <c r="E34" s="169" t="s">
        <v>5</v>
      </c>
      <c r="F34" s="169" t="s">
        <v>62</v>
      </c>
      <c r="G34" s="169" t="s">
        <v>6</v>
      </c>
      <c r="H34" s="169" t="s">
        <v>63</v>
      </c>
    </row>
    <row r="35" spans="2:8" x14ac:dyDescent="0.35">
      <c r="B35" s="151" t="s">
        <v>103</v>
      </c>
      <c r="C35" s="5" t="s">
        <v>102</v>
      </c>
      <c r="D35" s="93"/>
      <c r="E35" s="150">
        <v>774679.58</v>
      </c>
      <c r="F35" s="5" t="s">
        <v>104</v>
      </c>
      <c r="G35" s="5" t="s">
        <v>180</v>
      </c>
      <c r="H35" s="90"/>
    </row>
    <row r="36" spans="2:8" x14ac:dyDescent="0.35">
      <c r="B36" s="151" t="s">
        <v>107</v>
      </c>
      <c r="C36" s="5" t="s">
        <v>102</v>
      </c>
      <c r="D36" s="93"/>
      <c r="E36" s="150">
        <v>447503.31</v>
      </c>
      <c r="F36" s="5" t="s">
        <v>104</v>
      </c>
      <c r="G36" s="5" t="s">
        <v>181</v>
      </c>
      <c r="H36" s="90"/>
    </row>
    <row r="37" spans="2:8" x14ac:dyDescent="0.35">
      <c r="B37" s="151" t="s">
        <v>107</v>
      </c>
      <c r="C37" s="5" t="s">
        <v>111</v>
      </c>
      <c r="D37" s="93"/>
      <c r="E37" s="150">
        <v>7074353854.79</v>
      </c>
      <c r="F37" s="5" t="s">
        <v>112</v>
      </c>
      <c r="G37" s="10" t="s">
        <v>161</v>
      </c>
      <c r="H37" s="90"/>
    </row>
    <row r="38" spans="2:8" x14ac:dyDescent="0.35">
      <c r="B38" s="151" t="s">
        <v>113</v>
      </c>
      <c r="C38" s="5" t="s">
        <v>102</v>
      </c>
      <c r="D38" s="93"/>
      <c r="E38" s="150">
        <v>231497.26</v>
      </c>
      <c r="F38" s="5" t="s">
        <v>104</v>
      </c>
      <c r="G38" s="5" t="s">
        <v>182</v>
      </c>
      <c r="H38" s="90"/>
    </row>
    <row r="39" spans="2:8" x14ac:dyDescent="0.35">
      <c r="B39" s="151" t="s">
        <v>114</v>
      </c>
      <c r="C39" s="5" t="s">
        <v>102</v>
      </c>
      <c r="D39" s="93"/>
      <c r="E39" s="150">
        <v>112383.5</v>
      </c>
      <c r="F39" s="5" t="s">
        <v>104</v>
      </c>
      <c r="G39" s="5" t="s">
        <v>183</v>
      </c>
      <c r="H39" s="90"/>
    </row>
    <row r="40" spans="2:8" x14ac:dyDescent="0.35">
      <c r="B40" s="151" t="s">
        <v>115</v>
      </c>
      <c r="C40" s="5" t="s">
        <v>102</v>
      </c>
      <c r="D40" s="93"/>
      <c r="E40" s="150">
        <v>30710.9</v>
      </c>
      <c r="F40" s="5" t="s">
        <v>104</v>
      </c>
      <c r="G40" s="5" t="s">
        <v>184</v>
      </c>
      <c r="H40" s="90"/>
    </row>
    <row r="41" spans="2:8" x14ac:dyDescent="0.35">
      <c r="B41" s="151" t="s">
        <v>119</v>
      </c>
      <c r="C41" s="5" t="s">
        <v>102</v>
      </c>
      <c r="D41" s="93"/>
      <c r="E41" s="150">
        <v>541458.31000000006</v>
      </c>
      <c r="F41" s="5" t="s">
        <v>104</v>
      </c>
      <c r="G41" s="5" t="s">
        <v>185</v>
      </c>
      <c r="H41" s="90"/>
    </row>
    <row r="42" spans="2:8" x14ac:dyDescent="0.35">
      <c r="B42" s="151" t="s">
        <v>121</v>
      </c>
      <c r="C42" s="5" t="s">
        <v>102</v>
      </c>
      <c r="D42" s="93"/>
      <c r="E42" s="150">
        <v>292562.56</v>
      </c>
      <c r="F42" s="5" t="s">
        <v>104</v>
      </c>
      <c r="G42" s="5" t="s">
        <v>186</v>
      </c>
      <c r="H42" s="90"/>
    </row>
    <row r="43" spans="2:8" x14ac:dyDescent="0.35">
      <c r="B43" s="151" t="s">
        <v>122</v>
      </c>
      <c r="C43" s="5" t="s">
        <v>102</v>
      </c>
      <c r="D43" s="93"/>
      <c r="E43" s="150">
        <v>119737.81</v>
      </c>
      <c r="F43" s="5" t="s">
        <v>104</v>
      </c>
      <c r="G43" s="5" t="s">
        <v>187</v>
      </c>
      <c r="H43" s="90"/>
    </row>
    <row r="44" spans="2:8" x14ac:dyDescent="0.35">
      <c r="B44" s="108" t="s">
        <v>123</v>
      </c>
      <c r="C44" s="5" t="s">
        <v>102</v>
      </c>
      <c r="D44" s="93"/>
      <c r="E44" s="106">
        <v>144018.04</v>
      </c>
      <c r="F44" s="107" t="s">
        <v>104</v>
      </c>
      <c r="G44" s="107" t="s">
        <v>188</v>
      </c>
      <c r="H44" s="90"/>
    </row>
    <row r="45" spans="2:8" x14ac:dyDescent="0.35">
      <c r="B45" s="108" t="s">
        <v>124</v>
      </c>
      <c r="C45" s="5" t="s">
        <v>102</v>
      </c>
      <c r="D45" s="93"/>
      <c r="E45" s="106">
        <v>30937.77</v>
      </c>
      <c r="F45" s="107" t="s">
        <v>104</v>
      </c>
      <c r="G45" s="107" t="s">
        <v>189</v>
      </c>
      <c r="H45" s="90"/>
    </row>
    <row r="46" spans="2:8" x14ac:dyDescent="0.35">
      <c r="B46" s="108" t="s">
        <v>126</v>
      </c>
      <c r="C46" s="5" t="s">
        <v>125</v>
      </c>
      <c r="D46" s="93"/>
      <c r="E46" s="106">
        <v>255362.93</v>
      </c>
      <c r="F46" s="107" t="s">
        <v>127</v>
      </c>
      <c r="G46" s="107" t="s">
        <v>190</v>
      </c>
      <c r="H46" s="90"/>
    </row>
    <row r="47" spans="2:8" x14ac:dyDescent="0.35">
      <c r="B47" s="151" t="s">
        <v>137</v>
      </c>
      <c r="C47" s="5" t="s">
        <v>111</v>
      </c>
      <c r="D47" s="93"/>
      <c r="E47" s="150">
        <v>1847279856.3399999</v>
      </c>
      <c r="F47" s="5" t="s">
        <v>112</v>
      </c>
      <c r="G47" s="5" t="s">
        <v>179</v>
      </c>
      <c r="H47" s="90"/>
    </row>
    <row r="48" spans="2:8" x14ac:dyDescent="0.35">
      <c r="B48" s="151">
        <v>46053</v>
      </c>
      <c r="C48" s="5" t="s">
        <v>191</v>
      </c>
      <c r="D48" s="150">
        <v>11917.29</v>
      </c>
      <c r="E48" s="26"/>
      <c r="F48" s="5"/>
      <c r="G48" s="5" t="s">
        <v>174</v>
      </c>
      <c r="H48" s="90"/>
    </row>
    <row r="49" spans="2:8" x14ac:dyDescent="0.35">
      <c r="B49" s="92"/>
      <c r="C49" s="25"/>
      <c r="D49" s="93">
        <f>SUM(D35:D48)</f>
        <v>11917.29</v>
      </c>
      <c r="E49" s="93">
        <f>SUM(E35:E48)</f>
        <v>8924614563.1000023</v>
      </c>
      <c r="F49" s="25"/>
      <c r="G49" s="25"/>
      <c r="H49" s="92"/>
    </row>
    <row r="50" spans="2:8" x14ac:dyDescent="0.35">
      <c r="B50" s="25"/>
      <c r="C50" s="25"/>
      <c r="D50" s="25"/>
      <c r="E50" s="25"/>
      <c r="F50" s="25"/>
      <c r="G50" s="25"/>
    </row>
    <row r="51" spans="2:8" x14ac:dyDescent="0.35">
      <c r="B51" s="172" t="s">
        <v>25</v>
      </c>
      <c r="C51" s="172"/>
      <c r="D51" s="172"/>
      <c r="E51" s="172"/>
      <c r="F51" s="172"/>
      <c r="G51" s="172"/>
      <c r="H51" s="43"/>
    </row>
    <row r="53" spans="2:8" x14ac:dyDescent="0.35">
      <c r="B53" s="34" t="s">
        <v>2</v>
      </c>
      <c r="C53" s="34" t="s">
        <v>65</v>
      </c>
      <c r="D53" s="91" t="s">
        <v>4</v>
      </c>
      <c r="E53" s="91" t="s">
        <v>5</v>
      </c>
      <c r="F53" s="34" t="s">
        <v>62</v>
      </c>
      <c r="G53" s="34" t="s">
        <v>6</v>
      </c>
      <c r="H53" s="91" t="s">
        <v>63</v>
      </c>
    </row>
    <row r="54" spans="2:8" x14ac:dyDescent="0.35">
      <c r="B54" s="151">
        <v>46027</v>
      </c>
      <c r="C54" s="5" t="s">
        <v>167</v>
      </c>
      <c r="D54" s="150">
        <v>6904300000</v>
      </c>
      <c r="E54" s="150"/>
      <c r="F54" s="5" t="s">
        <v>146</v>
      </c>
      <c r="G54" s="10" t="s">
        <v>161</v>
      </c>
      <c r="H54" s="116" t="s">
        <v>144</v>
      </c>
    </row>
    <row r="55" spans="2:8" x14ac:dyDescent="0.35">
      <c r="B55" s="151">
        <v>46027</v>
      </c>
      <c r="C55" s="5" t="s">
        <v>168</v>
      </c>
      <c r="D55" s="150">
        <v>170053854.78999999</v>
      </c>
      <c r="E55" s="150"/>
      <c r="F55" s="5" t="s">
        <v>146</v>
      </c>
      <c r="G55" s="10" t="s">
        <v>161</v>
      </c>
      <c r="H55" s="116" t="s">
        <v>145</v>
      </c>
    </row>
    <row r="56" spans="2:8" x14ac:dyDescent="0.35">
      <c r="B56" s="151">
        <v>46050</v>
      </c>
      <c r="C56" s="5" t="s">
        <v>168</v>
      </c>
      <c r="D56" s="150">
        <v>43729909.670000002</v>
      </c>
      <c r="E56" s="150"/>
      <c r="F56" s="5" t="s">
        <v>157</v>
      </c>
      <c r="G56" s="10" t="s">
        <v>179</v>
      </c>
      <c r="H56" s="116" t="s">
        <v>144</v>
      </c>
    </row>
    <row r="57" spans="2:8" x14ac:dyDescent="0.35">
      <c r="B57" s="151">
        <v>46052</v>
      </c>
      <c r="C57" s="5" t="s">
        <v>142</v>
      </c>
      <c r="D57" s="150"/>
      <c r="E57" s="150">
        <v>500000</v>
      </c>
      <c r="F57" s="5" t="s">
        <v>171</v>
      </c>
      <c r="G57" s="10" t="s">
        <v>166</v>
      </c>
      <c r="H57" s="116" t="s">
        <v>145</v>
      </c>
    </row>
    <row r="58" spans="2:8" x14ac:dyDescent="0.35">
      <c r="D58" s="168">
        <f>SUM(D54:D57)</f>
        <v>7118083764.46</v>
      </c>
      <c r="E58" s="168">
        <f>SUM(E54:E57)</f>
        <v>500000</v>
      </c>
    </row>
  </sheetData>
  <mergeCells count="13">
    <mergeCell ref="B51:G5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8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28515625" style="12" customWidth="1"/>
    <col min="4" max="4" width="15.28515625" style="12" bestFit="1" customWidth="1"/>
    <col min="5" max="5" width="9.140625" style="12" bestFit="1" customWidth="1"/>
    <col min="6" max="6" width="8" style="12" bestFit="1" customWidth="1"/>
    <col min="7" max="7" width="41.5703125" style="12" customWidth="1"/>
    <col min="8" max="8" width="33.42578125" style="12" bestFit="1" customWidth="1"/>
    <col min="9" max="10" width="15.28515625" style="12" customWidth="1"/>
    <col min="11" max="11" width="10.85546875" style="13" bestFit="1" customWidth="1"/>
    <col min="12" max="12" width="38.42578125" style="12" bestFit="1" customWidth="1"/>
    <col min="13" max="16384" width="11.42578125" style="12"/>
  </cols>
  <sheetData>
    <row r="2" spans="2:11" x14ac:dyDescent="0.35">
      <c r="B2" s="42" t="s">
        <v>37</v>
      </c>
      <c r="C2" s="21" t="s">
        <v>39</v>
      </c>
    </row>
    <row r="3" spans="2:11" x14ac:dyDescent="0.35">
      <c r="B3" s="42" t="s">
        <v>40</v>
      </c>
      <c r="C3" s="21" t="s">
        <v>39</v>
      </c>
      <c r="F3" s="44"/>
    </row>
    <row r="4" spans="2:11" x14ac:dyDescent="0.35">
      <c r="B4" s="42" t="s">
        <v>38</v>
      </c>
      <c r="C4" s="21" t="s">
        <v>39</v>
      </c>
    </row>
    <row r="6" spans="2:11" x14ac:dyDescent="0.35">
      <c r="B6" s="177" t="s">
        <v>70</v>
      </c>
      <c r="C6" s="177"/>
      <c r="D6" s="45" t="s">
        <v>10</v>
      </c>
    </row>
    <row r="7" spans="2:11" x14ac:dyDescent="0.35">
      <c r="B7" s="178" t="s">
        <v>79</v>
      </c>
      <c r="C7" s="178"/>
      <c r="D7" s="46"/>
      <c r="F7" s="44"/>
    </row>
    <row r="8" spans="2:11" x14ac:dyDescent="0.35">
      <c r="B8" s="178" t="s">
        <v>80</v>
      </c>
      <c r="C8" s="178"/>
      <c r="D8" s="46"/>
    </row>
    <row r="9" spans="2:11" s="25" customFormat="1" x14ac:dyDescent="0.35">
      <c r="B9" s="47"/>
      <c r="C9" s="47"/>
      <c r="D9" s="48"/>
      <c r="K9" s="49"/>
    </row>
    <row r="10" spans="2:11" s="25" customFormat="1" x14ac:dyDescent="0.35">
      <c r="B10" s="177" t="s">
        <v>71</v>
      </c>
      <c r="C10" s="177"/>
      <c r="D10" s="45" t="s">
        <v>10</v>
      </c>
      <c r="K10" s="49"/>
    </row>
    <row r="11" spans="2:11" x14ac:dyDescent="0.35">
      <c r="B11" s="179" t="s">
        <v>72</v>
      </c>
      <c r="C11" s="180"/>
      <c r="D11" s="50">
        <f>+I42</f>
        <v>0</v>
      </c>
    </row>
    <row r="12" spans="2:11" x14ac:dyDescent="0.35">
      <c r="B12" s="175" t="s">
        <v>73</v>
      </c>
      <c r="C12" s="176"/>
      <c r="D12" s="46">
        <f>+J42</f>
        <v>0</v>
      </c>
    </row>
    <row r="13" spans="2:11" x14ac:dyDescent="0.35">
      <c r="B13" s="47"/>
      <c r="C13" s="47"/>
      <c r="D13" s="48"/>
    </row>
    <row r="14" spans="2:11" x14ac:dyDescent="0.35">
      <c r="B14" s="177" t="s">
        <v>74</v>
      </c>
      <c r="C14" s="177"/>
      <c r="D14" s="45" t="s">
        <v>10</v>
      </c>
    </row>
    <row r="15" spans="2:11" x14ac:dyDescent="0.35">
      <c r="B15" s="179" t="s">
        <v>75</v>
      </c>
      <c r="C15" s="180"/>
      <c r="D15" s="50">
        <f>+D7+D11-D12</f>
        <v>0</v>
      </c>
    </row>
    <row r="16" spans="2:11" x14ac:dyDescent="0.35">
      <c r="B16" s="175" t="s">
        <v>76</v>
      </c>
      <c r="C16" s="176"/>
      <c r="D16" s="46">
        <f>+D8</f>
        <v>0</v>
      </c>
    </row>
    <row r="17" spans="2:12" x14ac:dyDescent="0.35">
      <c r="B17" s="175" t="s">
        <v>66</v>
      </c>
      <c r="C17" s="176"/>
      <c r="D17" s="46">
        <f>+D15-D16</f>
        <v>0</v>
      </c>
    </row>
    <row r="19" spans="2:12" x14ac:dyDescent="0.35">
      <c r="B19" s="170" t="s">
        <v>77</v>
      </c>
      <c r="C19" s="170"/>
      <c r="D19" s="170"/>
      <c r="E19" s="170"/>
      <c r="F19" s="170"/>
      <c r="G19" s="170"/>
      <c r="H19" s="170"/>
      <c r="I19" s="170"/>
      <c r="J19" s="170"/>
      <c r="K19" s="170"/>
      <c r="L19" s="170"/>
    </row>
    <row r="20" spans="2:12" x14ac:dyDescent="0.35">
      <c r="B20" s="25"/>
      <c r="C20" s="25"/>
      <c r="D20" s="25"/>
      <c r="E20" s="25"/>
      <c r="F20" s="25"/>
      <c r="G20" s="1"/>
    </row>
    <row r="21" spans="2:12" x14ac:dyDescent="0.35">
      <c r="B21" s="51" t="s">
        <v>78</v>
      </c>
      <c r="C21" s="34" t="s">
        <v>69</v>
      </c>
      <c r="D21" s="52" t="s">
        <v>61</v>
      </c>
      <c r="E21" s="34" t="s">
        <v>28</v>
      </c>
      <c r="F21" s="34" t="s">
        <v>64</v>
      </c>
      <c r="G21" s="34" t="s">
        <v>62</v>
      </c>
      <c r="H21" s="34" t="s">
        <v>6</v>
      </c>
      <c r="I21" s="35" t="s">
        <v>19</v>
      </c>
      <c r="J21" s="35" t="s">
        <v>20</v>
      </c>
      <c r="K21" s="35" t="s">
        <v>63</v>
      </c>
      <c r="L21" s="34" t="s">
        <v>22</v>
      </c>
    </row>
    <row r="22" spans="2:12" x14ac:dyDescent="0.35">
      <c r="B22" s="53" t="str">
        <f>+PROPER(TEXT(C22,"mmmm"))</f>
        <v>Enero</v>
      </c>
      <c r="C22" s="31"/>
      <c r="D22" s="31"/>
      <c r="E22" s="26"/>
      <c r="F22" s="54"/>
      <c r="G22" s="54"/>
      <c r="H22" s="54"/>
      <c r="I22" s="55"/>
      <c r="J22" s="55"/>
      <c r="K22" s="56"/>
      <c r="L22" s="57"/>
    </row>
    <row r="23" spans="2:12" x14ac:dyDescent="0.35">
      <c r="B23" s="53"/>
      <c r="C23" s="31"/>
      <c r="D23" s="31"/>
      <c r="E23" s="26"/>
      <c r="F23" s="54"/>
      <c r="G23" s="54"/>
      <c r="H23" s="54"/>
      <c r="I23" s="55"/>
      <c r="J23" s="55"/>
      <c r="K23" s="56"/>
      <c r="L23" s="57"/>
    </row>
    <row r="24" spans="2:12" x14ac:dyDescent="0.35">
      <c r="B24" s="53"/>
      <c r="C24" s="31"/>
      <c r="D24" s="31"/>
      <c r="E24" s="26"/>
      <c r="F24" s="54"/>
      <c r="G24" s="54"/>
      <c r="H24" s="54"/>
      <c r="I24" s="55"/>
      <c r="J24" s="55"/>
      <c r="K24" s="56"/>
      <c r="L24" s="57"/>
    </row>
    <row r="25" spans="2:12" x14ac:dyDescent="0.35">
      <c r="B25" s="53"/>
      <c r="C25" s="31"/>
      <c r="D25" s="31"/>
      <c r="E25" s="26"/>
      <c r="F25" s="54"/>
      <c r="G25" s="54"/>
      <c r="H25" s="54"/>
      <c r="I25" s="55"/>
      <c r="J25" s="55"/>
      <c r="K25" s="56"/>
      <c r="L25" s="57"/>
    </row>
    <row r="26" spans="2:12" x14ac:dyDescent="0.35">
      <c r="B26" s="53"/>
      <c r="C26" s="31"/>
      <c r="D26" s="31"/>
      <c r="E26" s="26"/>
      <c r="F26" s="54"/>
      <c r="G26" s="54"/>
      <c r="H26" s="54"/>
      <c r="I26" s="55"/>
      <c r="J26" s="55"/>
      <c r="K26" s="56"/>
      <c r="L26" s="57"/>
    </row>
    <row r="27" spans="2:12" x14ac:dyDescent="0.35">
      <c r="B27" s="53"/>
      <c r="C27" s="31"/>
      <c r="D27" s="31"/>
      <c r="E27" s="26"/>
      <c r="F27" s="54"/>
      <c r="G27" s="54"/>
      <c r="H27" s="54"/>
      <c r="I27" s="55"/>
      <c r="J27" s="55"/>
      <c r="K27" s="56"/>
      <c r="L27" s="57"/>
    </row>
    <row r="28" spans="2:12" x14ac:dyDescent="0.35">
      <c r="B28" s="53"/>
      <c r="C28" s="31"/>
      <c r="D28" s="31"/>
      <c r="E28" s="26"/>
      <c r="F28" s="54"/>
      <c r="G28" s="54"/>
      <c r="H28" s="54"/>
      <c r="I28" s="55"/>
      <c r="J28" s="55"/>
      <c r="K28" s="56"/>
      <c r="L28" s="57"/>
    </row>
    <row r="29" spans="2:12" x14ac:dyDescent="0.35">
      <c r="B29" s="53"/>
      <c r="C29" s="31"/>
      <c r="D29" s="31"/>
      <c r="E29" s="26"/>
      <c r="F29" s="54"/>
      <c r="G29" s="54"/>
      <c r="H29" s="54"/>
      <c r="I29" s="55"/>
      <c r="J29" s="55"/>
      <c r="K29" s="56"/>
      <c r="L29" s="57"/>
    </row>
    <row r="30" spans="2:12" x14ac:dyDescent="0.35">
      <c r="B30" s="53"/>
      <c r="C30" s="31"/>
      <c r="D30" s="31"/>
      <c r="E30" s="26"/>
      <c r="F30" s="54"/>
      <c r="G30" s="54"/>
      <c r="H30" s="54"/>
      <c r="I30" s="55"/>
      <c r="J30" s="55"/>
      <c r="K30" s="56"/>
      <c r="L30" s="57"/>
    </row>
    <row r="31" spans="2:12" x14ac:dyDescent="0.35">
      <c r="B31" s="53"/>
      <c r="C31" s="31"/>
      <c r="D31" s="31"/>
      <c r="E31" s="26"/>
      <c r="F31" s="54"/>
      <c r="G31" s="54"/>
      <c r="H31" s="54"/>
      <c r="I31" s="55"/>
      <c r="J31" s="55"/>
      <c r="K31" s="56"/>
      <c r="L31" s="57"/>
    </row>
    <row r="32" spans="2:12" x14ac:dyDescent="0.35">
      <c r="B32" s="53"/>
      <c r="C32" s="31"/>
      <c r="D32" s="31"/>
      <c r="E32" s="26"/>
      <c r="F32" s="54"/>
      <c r="G32" s="54"/>
      <c r="H32" s="54"/>
      <c r="I32" s="55"/>
      <c r="J32" s="55"/>
      <c r="K32" s="56"/>
      <c r="L32" s="57"/>
    </row>
    <row r="33" spans="2:12" x14ac:dyDescent="0.35">
      <c r="B33" s="53"/>
      <c r="C33" s="31"/>
      <c r="D33" s="31"/>
      <c r="E33" s="26"/>
      <c r="F33" s="54"/>
      <c r="G33" s="54"/>
      <c r="H33" s="54"/>
      <c r="I33" s="55"/>
      <c r="J33" s="55"/>
      <c r="K33" s="56"/>
      <c r="L33" s="57"/>
    </row>
    <row r="34" spans="2:12" x14ac:dyDescent="0.35">
      <c r="B34" s="53"/>
      <c r="C34" s="31"/>
      <c r="D34" s="31"/>
      <c r="E34" s="26"/>
      <c r="F34" s="54"/>
      <c r="G34" s="54"/>
      <c r="H34" s="54"/>
      <c r="I34" s="55"/>
      <c r="J34" s="55"/>
      <c r="K34" s="56"/>
      <c r="L34" s="57"/>
    </row>
    <row r="35" spans="2:12" x14ac:dyDescent="0.35">
      <c r="B35" s="53"/>
      <c r="C35" s="31"/>
      <c r="D35" s="31"/>
      <c r="E35" s="26"/>
      <c r="F35" s="54"/>
      <c r="G35" s="54"/>
      <c r="H35" s="54"/>
      <c r="I35" s="55"/>
      <c r="J35" s="55"/>
      <c r="K35" s="56"/>
      <c r="L35" s="57"/>
    </row>
    <row r="36" spans="2:12" x14ac:dyDescent="0.35">
      <c r="B36" s="53"/>
      <c r="C36" s="31"/>
      <c r="D36" s="31"/>
      <c r="E36" s="26"/>
      <c r="F36" s="54"/>
      <c r="G36" s="54"/>
      <c r="H36" s="54"/>
      <c r="I36" s="55"/>
      <c r="J36" s="55"/>
      <c r="K36" s="56"/>
      <c r="L36" s="57"/>
    </row>
    <row r="37" spans="2:12" x14ac:dyDescent="0.35">
      <c r="B37" s="53"/>
      <c r="C37" s="31"/>
      <c r="D37" s="31"/>
      <c r="E37" s="26"/>
      <c r="F37" s="54"/>
      <c r="G37" s="54"/>
      <c r="H37" s="54"/>
      <c r="I37" s="55"/>
      <c r="J37" s="55"/>
      <c r="K37" s="56"/>
      <c r="L37" s="57"/>
    </row>
    <row r="38" spans="2:12" x14ac:dyDescent="0.35">
      <c r="B38" s="53"/>
      <c r="C38" s="31"/>
      <c r="D38" s="31"/>
      <c r="E38" s="26"/>
      <c r="F38" s="54"/>
      <c r="G38" s="54"/>
      <c r="H38" s="54"/>
      <c r="I38" s="55"/>
      <c r="J38" s="55"/>
      <c r="K38" s="56"/>
      <c r="L38" s="57"/>
    </row>
    <row r="39" spans="2:12" x14ac:dyDescent="0.35">
      <c r="B39" s="53"/>
      <c r="C39" s="31"/>
      <c r="D39" s="31"/>
      <c r="E39" s="26"/>
      <c r="F39" s="54"/>
      <c r="G39" s="54"/>
      <c r="H39" s="54"/>
      <c r="I39" s="55"/>
      <c r="J39" s="55"/>
      <c r="K39" s="56"/>
      <c r="L39" s="57"/>
    </row>
    <row r="40" spans="2:12" x14ac:dyDescent="0.35">
      <c r="B40" s="53"/>
      <c r="C40" s="31"/>
      <c r="D40" s="31"/>
      <c r="E40" s="26"/>
      <c r="F40" s="54"/>
      <c r="G40" s="54"/>
      <c r="H40" s="54"/>
      <c r="I40" s="55"/>
      <c r="J40" s="55"/>
      <c r="K40" s="56"/>
      <c r="L40" s="57"/>
    </row>
    <row r="41" spans="2:12" x14ac:dyDescent="0.35">
      <c r="B41" s="53"/>
      <c r="C41" s="31"/>
      <c r="D41" s="31"/>
      <c r="E41" s="26"/>
      <c r="F41" s="54"/>
      <c r="G41" s="54"/>
      <c r="H41" s="54"/>
      <c r="I41" s="55"/>
      <c r="J41" s="55"/>
      <c r="K41" s="56"/>
      <c r="L41" s="57"/>
    </row>
    <row r="42" spans="2:12" x14ac:dyDescent="0.35">
      <c r="I42" s="32">
        <f>SUM(I22:I41)</f>
        <v>0</v>
      </c>
      <c r="J42" s="32">
        <f>SUM(J22:J41)</f>
        <v>0</v>
      </c>
    </row>
    <row r="45" spans="2:12" x14ac:dyDescent="0.35">
      <c r="K45" s="12"/>
    </row>
    <row r="46" spans="2:12" x14ac:dyDescent="0.35">
      <c r="K46" s="12"/>
    </row>
    <row r="47" spans="2:12" x14ac:dyDescent="0.35">
      <c r="K47" s="12"/>
    </row>
    <row r="48" spans="2:12" x14ac:dyDescent="0.35">
      <c r="K48" s="12"/>
    </row>
    <row r="49" spans="11:11" x14ac:dyDescent="0.35">
      <c r="K49" s="12"/>
    </row>
    <row r="50" spans="11:11" x14ac:dyDescent="0.35">
      <c r="K50" s="12"/>
    </row>
    <row r="51" spans="11:11" x14ac:dyDescent="0.35">
      <c r="K51" s="12"/>
    </row>
    <row r="52" spans="11:11" x14ac:dyDescent="0.35">
      <c r="K52" s="12"/>
    </row>
    <row r="53" spans="11:11" x14ac:dyDescent="0.35">
      <c r="K53" s="12"/>
    </row>
    <row r="54" spans="11:11" x14ac:dyDescent="0.35">
      <c r="K54" s="12"/>
    </row>
    <row r="55" spans="11:11" x14ac:dyDescent="0.35">
      <c r="K55" s="12"/>
    </row>
    <row r="56" spans="11:11" x14ac:dyDescent="0.35">
      <c r="K56" s="12"/>
    </row>
    <row r="57" spans="11:11" x14ac:dyDescent="0.35">
      <c r="K57" s="12"/>
    </row>
    <row r="58" spans="11:11" x14ac:dyDescent="0.35">
      <c r="K58" s="12"/>
    </row>
    <row r="59" spans="11:11" x14ac:dyDescent="0.35">
      <c r="K59" s="12"/>
    </row>
    <row r="60" spans="11:11" x14ac:dyDescent="0.35">
      <c r="K60" s="12"/>
    </row>
    <row r="61" spans="11:11" x14ac:dyDescent="0.35">
      <c r="K61" s="12"/>
    </row>
    <row r="62" spans="11:11" x14ac:dyDescent="0.35">
      <c r="K62" s="12"/>
    </row>
    <row r="63" spans="11:11" x14ac:dyDescent="0.35">
      <c r="K63" s="12"/>
    </row>
    <row r="64" spans="11:11" x14ac:dyDescent="0.35">
      <c r="K64" s="12"/>
    </row>
    <row r="65" spans="11:11" x14ac:dyDescent="0.35">
      <c r="K65" s="12"/>
    </row>
    <row r="66" spans="11:11" x14ac:dyDescent="0.35">
      <c r="K66" s="12"/>
    </row>
    <row r="67" spans="11:11" x14ac:dyDescent="0.35">
      <c r="K67" s="12"/>
    </row>
    <row r="68" spans="11:11" x14ac:dyDescent="0.35">
      <c r="K68" s="12"/>
    </row>
    <row r="70" spans="11:11" x14ac:dyDescent="0.35">
      <c r="K70" s="12"/>
    </row>
    <row r="71" spans="11:11" x14ac:dyDescent="0.35">
      <c r="K71" s="12"/>
    </row>
    <row r="72" spans="11:11" x14ac:dyDescent="0.35">
      <c r="K72" s="12"/>
    </row>
    <row r="73" spans="11:11" x14ac:dyDescent="0.35">
      <c r="K73" s="12"/>
    </row>
    <row r="74" spans="11:11" x14ac:dyDescent="0.35">
      <c r="K74" s="12"/>
    </row>
    <row r="75" spans="11:11" x14ac:dyDescent="0.35">
      <c r="K75" s="12"/>
    </row>
    <row r="76" spans="11:11" x14ac:dyDescent="0.35">
      <c r="K76" s="12"/>
    </row>
    <row r="77" spans="11:11" x14ac:dyDescent="0.35">
      <c r="K77" s="12"/>
    </row>
    <row r="78" spans="11:11" x14ac:dyDescent="0.35">
      <c r="K78" s="12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0" t="s">
        <v>41</v>
      </c>
      <c r="H3" t="s">
        <v>88</v>
      </c>
    </row>
    <row r="4" spans="2:8" x14ac:dyDescent="0.25">
      <c r="B4" t="s">
        <v>31</v>
      </c>
      <c r="D4">
        <v>579702001</v>
      </c>
      <c r="F4" s="20" t="s">
        <v>42</v>
      </c>
      <c r="H4" t="s">
        <v>86</v>
      </c>
    </row>
    <row r="5" spans="2:8" x14ac:dyDescent="0.25">
      <c r="B5" t="s">
        <v>33</v>
      </c>
      <c r="D5">
        <v>6290002225</v>
      </c>
      <c r="F5" s="20" t="s">
        <v>43</v>
      </c>
      <c r="H5" t="s">
        <v>81</v>
      </c>
    </row>
    <row r="6" spans="2:8" x14ac:dyDescent="0.25">
      <c r="B6" t="s">
        <v>34</v>
      </c>
      <c r="D6">
        <v>6290002328</v>
      </c>
      <c r="F6" s="20" t="s">
        <v>44</v>
      </c>
      <c r="H6" t="s">
        <v>82</v>
      </c>
    </row>
    <row r="7" spans="2:8" x14ac:dyDescent="0.25">
      <c r="B7" t="s">
        <v>35</v>
      </c>
      <c r="D7">
        <v>6290035153</v>
      </c>
      <c r="F7" s="20" t="s">
        <v>45</v>
      </c>
      <c r="H7" t="s">
        <v>83</v>
      </c>
    </row>
    <row r="8" spans="2:8" x14ac:dyDescent="0.25">
      <c r="B8" t="s">
        <v>36</v>
      </c>
      <c r="D8">
        <v>6290046289</v>
      </c>
      <c r="F8" s="20" t="s">
        <v>46</v>
      </c>
      <c r="H8" t="s">
        <v>93</v>
      </c>
    </row>
    <row r="9" spans="2:8" x14ac:dyDescent="0.25">
      <c r="D9">
        <v>6290064906</v>
      </c>
      <c r="F9" s="20" t="s">
        <v>47</v>
      </c>
      <c r="H9" t="s">
        <v>89</v>
      </c>
    </row>
    <row r="10" spans="2:8" x14ac:dyDescent="0.25">
      <c r="D10">
        <v>1135970835</v>
      </c>
      <c r="F10" s="20" t="s">
        <v>48</v>
      </c>
      <c r="H10" t="s">
        <v>100</v>
      </c>
    </row>
    <row r="11" spans="2:8" x14ac:dyDescent="0.25">
      <c r="D11">
        <v>9406934115</v>
      </c>
      <c r="F11" s="20" t="s">
        <v>49</v>
      </c>
      <c r="H11" t="s">
        <v>84</v>
      </c>
    </row>
    <row r="12" spans="2:8" x14ac:dyDescent="0.25">
      <c r="D12">
        <v>44100000482</v>
      </c>
      <c r="F12" s="20" t="s">
        <v>50</v>
      </c>
      <c r="H12" t="s">
        <v>85</v>
      </c>
    </row>
    <row r="13" spans="2:8" x14ac:dyDescent="0.25">
      <c r="F13" s="20" t="s">
        <v>51</v>
      </c>
      <c r="H13" t="s">
        <v>90</v>
      </c>
    </row>
    <row r="14" spans="2:8" x14ac:dyDescent="0.25">
      <c r="F14" s="20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2026-04-23T14:57:50Z</cp:lastPrinted>
  <dcterms:created xsi:type="dcterms:W3CDTF">2025-12-17T13:21:20Z</dcterms:created>
  <dcterms:modified xsi:type="dcterms:W3CDTF">2026-04-23T14:57:52Z</dcterms:modified>
</cp:coreProperties>
</file>